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467d5a5d48b19970/Desktop/"/>
    </mc:Choice>
  </mc:AlternateContent>
  <xr:revisionPtr revIDLastSave="402" documentId="8_{6425AFB9-D95B-4E95-97B4-6DFD9A065B12}" xr6:coauthVersionLast="47" xr6:coauthVersionMax="47" xr10:uidLastSave="{3A5E5B46-CECB-4D10-953E-6AD1F64A13CB}"/>
  <bookViews>
    <workbookView xWindow="28680" yWindow="-120" windowWidth="29040" windowHeight="17520" xr2:uid="{00000000-000D-0000-FFFF-FFFF00000000}"/>
  </bookViews>
  <sheets>
    <sheet name="Portfolio Tracker " sheetId="4" r:id="rId1"/>
    <sheet name="Stock Market" sheetId="1" r:id="rId2"/>
    <sheet name="Mutual Fund" sheetId="2" r:id="rId3"/>
    <sheet name="Addition Module " sheetId="5" r:id="rId4"/>
    <sheet name="Analysis" sheetId="3" state="hidden" r:id="rId5"/>
  </sheets>
  <definedNames>
    <definedName name="_xlnm._FilterDatabase" localSheetId="0" hidden="1">'Portfolio Tracker '!$C$7:$K$57</definedName>
    <definedName name="_xlnm._FilterDatabase" localSheetId="1" hidden="1">'Stock Market'!#REF!</definedName>
    <definedName name="_xlcn.WorksheetConnection_KiteHoldings.xlsxStock1" hidden="1">Stock_Purchase[]</definedName>
    <definedName name="No_of_Shares">'Stock Market'!$G$5</definedName>
    <definedName name="_xlnm.Print_Area" localSheetId="3">'Addition Module '!$A$1:$F$16</definedName>
    <definedName name="_xlnm.Print_Area" localSheetId="1">'Stock Market'!$A$1:$L$72</definedName>
  </definedNames>
  <calcPr calcId="191029"/>
  <pivotCaches>
    <pivotCache cacheId="0" r:id="rId6"/>
    <pivotCache cacheId="1" r:id="rId7"/>
    <pivotCache cacheId="2" r:id="rId8"/>
  </pivotCaches>
  <extLst>
    <ext xmlns:x15="http://schemas.microsoft.com/office/spreadsheetml/2010/11/main" uri="{FCE2AD5D-F65C-4FA6-A056-5C36A1767C68}">
      <x15:dataModel>
        <x15:modelTables>
          <x15:modelTable id="Stock" name="Stock" connection="WorksheetConnection_Kite Holdings.xlsx!Stock"/>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2" l="1" a="1"/>
  <c r="E11" i="2" s="1"/>
  <c r="G11" i="2" s="1"/>
  <c r="F11" i="2"/>
  <c r="G5" i="1"/>
  <c r="K8" i="1" a="1"/>
  <c r="K8" i="1" s="1"/>
  <c r="K9" i="1" a="1"/>
  <c r="K9" i="1" s="1"/>
  <c r="K10" i="1" a="1"/>
  <c r="K10" i="1" s="1"/>
  <c r="K11" i="1" a="1"/>
  <c r="K11" i="1" s="1"/>
  <c r="K12" i="1" a="1"/>
  <c r="K12" i="1" s="1"/>
  <c r="K13" i="1" a="1"/>
  <c r="K13" i="1" s="1"/>
  <c r="K14" i="1" a="1"/>
  <c r="K14" i="1" s="1"/>
  <c r="K15" i="1" a="1"/>
  <c r="K15" i="1" s="1"/>
  <c r="K16" i="1" a="1"/>
  <c r="K16" i="1" s="1"/>
  <c r="K17" i="1" a="1"/>
  <c r="K17" i="1" s="1"/>
  <c r="K18" i="1" a="1"/>
  <c r="K18" i="1" s="1"/>
  <c r="K19" i="1" a="1"/>
  <c r="K19" i="1" s="1"/>
  <c r="K20" i="1" a="1"/>
  <c r="K20" i="1" s="1"/>
  <c r="K21" i="1" a="1"/>
  <c r="K21" i="1" s="1"/>
  <c r="K22" i="1" a="1"/>
  <c r="K22" i="1" s="1"/>
  <c r="K23" i="1" a="1"/>
  <c r="K23" i="1" s="1"/>
  <c r="K24" i="1" a="1"/>
  <c r="K24" i="1" s="1"/>
  <c r="K25" i="1" a="1"/>
  <c r="K25" i="1" s="1"/>
  <c r="K26" i="1" a="1"/>
  <c r="K26" i="1" s="1"/>
  <c r="K27" i="1" a="1"/>
  <c r="K27" i="1" s="1"/>
  <c r="K28" i="1" a="1"/>
  <c r="K28" i="1" s="1"/>
  <c r="K29" i="1" a="1"/>
  <c r="K29" i="1" s="1"/>
  <c r="K30" i="1" a="1"/>
  <c r="K30" i="1" s="1"/>
  <c r="K31" i="1" a="1"/>
  <c r="K31" i="1" s="1"/>
  <c r="K32" i="1" a="1"/>
  <c r="K32" i="1" s="1"/>
  <c r="K33" i="1" a="1"/>
  <c r="K33" i="1" s="1"/>
  <c r="K34" i="1" a="1"/>
  <c r="K34" i="1" s="1"/>
  <c r="K35" i="1" a="1"/>
  <c r="K35" i="1" s="1"/>
  <c r="K36" i="1" a="1"/>
  <c r="K36" i="1" s="1"/>
  <c r="K37" i="1" a="1"/>
  <c r="K37" i="1" s="1"/>
  <c r="K38" i="1" a="1"/>
  <c r="K38" i="1" s="1"/>
  <c r="K39" i="1" a="1"/>
  <c r="K39" i="1" s="1"/>
  <c r="K40" i="1" a="1"/>
  <c r="K40" i="1" s="1"/>
  <c r="K41" i="1" a="1"/>
  <c r="K41" i="1" s="1"/>
  <c r="K42" i="1" a="1"/>
  <c r="K42" i="1" s="1"/>
  <c r="K43" i="1" a="1"/>
  <c r="K43" i="1" s="1"/>
  <c r="K44" i="1" a="1"/>
  <c r="K44" i="1" s="1"/>
  <c r="K45" i="1" a="1"/>
  <c r="K45" i="1" s="1"/>
  <c r="K46" i="1" a="1"/>
  <c r="K46" i="1" s="1"/>
  <c r="K47" i="1" a="1"/>
  <c r="K47" i="1" s="1"/>
  <c r="K48" i="1" a="1"/>
  <c r="K48" i="1" s="1"/>
  <c r="K49" i="1" a="1"/>
  <c r="K49" i="1" s="1"/>
  <c r="K50" i="1" a="1"/>
  <c r="K50" i="1" s="1"/>
  <c r="K51" i="1" a="1"/>
  <c r="K51" i="1" s="1"/>
  <c r="K52" i="1" a="1"/>
  <c r="K52" i="1" s="1"/>
  <c r="K53" i="1" a="1"/>
  <c r="K53" i="1" s="1"/>
  <c r="K54" i="1" a="1"/>
  <c r="K54" i="1" s="1"/>
  <c r="K55" i="1" a="1"/>
  <c r="K55" i="1" s="1"/>
  <c r="K56" i="1" a="1"/>
  <c r="K56" i="1" s="1"/>
  <c r="K7" i="1" a="1"/>
  <c r="K7" i="1" s="1"/>
  <c r="F10" i="2"/>
  <c r="E10" i="2" a="1"/>
  <c r="E10" i="2" s="1"/>
  <c r="G10" i="2" s="1"/>
  <c r="H11" i="2" l="1"/>
  <c r="I11" i="2"/>
  <c r="I10" i="2"/>
  <c r="H10" i="2"/>
  <c r="D94" i="3" a="1"/>
  <c r="D94" i="3" s="1"/>
  <c r="C8" i="4" a="1"/>
  <c r="B97" i="4"/>
  <c r="B78" i="4"/>
  <c r="E66" i="3" a="1"/>
  <c r="E66" i="3" s="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Q8" i="1"/>
  <c r="N8" i="1"/>
  <c r="N9" i="1"/>
  <c r="Q9" i="1" s="1"/>
  <c r="E163" i="3" a="1"/>
  <c r="E165" i="3" a="1"/>
  <c r="P11" i="1" a="1"/>
  <c r="M11" i="1" a="1"/>
  <c r="E95" i="3" a="1"/>
  <c r="C8" i="4" l="1"/>
  <c r="E163" i="3"/>
  <c r="E95" i="3"/>
  <c r="E165" i="3"/>
  <c r="P11" i="1"/>
  <c r="M11" i="1"/>
  <c r="E9" i="2" a="1"/>
  <c r="E9" i="2" s="1"/>
  <c r="E8" i="2" a="1"/>
  <c r="E8" i="2" s="1"/>
  <c r="E7" i="2" a="1"/>
  <c r="E7" i="2"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7" i="1" a="1"/>
  <c r="G7" i="1" s="1"/>
  <c r="C60" i="4" a="1"/>
  <c r="C60" i="4" s="1"/>
  <c r="E60" i="4" s="1" a="1"/>
  <c r="E60" i="4" s="1"/>
  <c r="E134" i="3" a="1"/>
  <c r="E102" i="3" a="1"/>
  <c r="E121" i="3" a="1"/>
  <c r="E143" i="3" a="1"/>
  <c r="E129" i="3" a="1"/>
  <c r="E115" i="3" a="1"/>
  <c r="E116" i="3" a="1"/>
  <c r="E123" i="3" a="1"/>
  <c r="E131" i="3" a="1"/>
  <c r="E142" i="3" a="1"/>
  <c r="E106" i="3" a="1"/>
  <c r="E122" i="3" a="1"/>
  <c r="E97" i="3" a="1"/>
  <c r="E109" i="3" a="1"/>
  <c r="E139" i="3" a="1"/>
  <c r="E130" i="3" a="1"/>
  <c r="E128" i="3" a="1"/>
  <c r="E113" i="3" a="1"/>
  <c r="E137" i="3" a="1"/>
  <c r="E136" i="3" a="1"/>
  <c r="E110" i="3" a="1"/>
  <c r="E124" i="3" a="1"/>
  <c r="E133" i="3" a="1"/>
  <c r="E104" i="3" a="1"/>
  <c r="E101" i="3" a="1"/>
  <c r="E141" i="3" a="1"/>
  <c r="E112" i="3" a="1"/>
  <c r="E127" i="3" a="1"/>
  <c r="E120" i="3" a="1"/>
  <c r="E125" i="3" a="1"/>
  <c r="E100" i="3" a="1"/>
  <c r="E99" i="3" a="1"/>
  <c r="E114" i="3" a="1"/>
  <c r="E118" i="3" a="1"/>
  <c r="E93" i="3" a="1"/>
  <c r="E96" i="3" a="1"/>
  <c r="E108" i="3" a="1"/>
  <c r="E126" i="3" a="1"/>
  <c r="E103" i="3" a="1"/>
  <c r="E105" i="3" a="1"/>
  <c r="E138" i="3" a="1"/>
  <c r="E117" i="3" a="1"/>
  <c r="E132" i="3" a="1"/>
  <c r="E98" i="3" a="1"/>
  <c r="E135" i="3" a="1"/>
  <c r="E107" i="3" a="1"/>
  <c r="E111" i="3" a="1"/>
  <c r="E119" i="3" a="1"/>
  <c r="E140" i="3" a="1"/>
  <c r="E93" i="3" l="1"/>
  <c r="E117" i="3"/>
  <c r="E121" i="3"/>
  <c r="E125" i="3"/>
  <c r="E129" i="3"/>
  <c r="E133" i="3"/>
  <c r="E137" i="3"/>
  <c r="E141" i="3"/>
  <c r="E118" i="3"/>
  <c r="E122" i="3"/>
  <c r="E126" i="3"/>
  <c r="E130" i="3"/>
  <c r="E134" i="3"/>
  <c r="E138" i="3"/>
  <c r="E142" i="3"/>
  <c r="E143" i="3"/>
  <c r="E119" i="3"/>
  <c r="E123" i="3"/>
  <c r="E127" i="3"/>
  <c r="E131" i="3"/>
  <c r="E135" i="3"/>
  <c r="E139" i="3"/>
  <c r="E120" i="3"/>
  <c r="E124" i="3"/>
  <c r="E128" i="3"/>
  <c r="E132" i="3"/>
  <c r="E136" i="3"/>
  <c r="E140" i="3"/>
  <c r="E96" i="3"/>
  <c r="E100" i="3"/>
  <c r="E104" i="3"/>
  <c r="E108" i="3"/>
  <c r="E112" i="3"/>
  <c r="E101" i="3"/>
  <c r="E105" i="3"/>
  <c r="E109" i="3"/>
  <c r="E113" i="3"/>
  <c r="E114" i="3"/>
  <c r="E97" i="3"/>
  <c r="E102" i="3"/>
  <c r="E106" i="3"/>
  <c r="E110" i="3"/>
  <c r="E98" i="3"/>
  <c r="E116" i="3"/>
  <c r="E99" i="3"/>
  <c r="E103" i="3"/>
  <c r="E107" i="3"/>
  <c r="E111" i="3"/>
  <c r="E115" i="3"/>
  <c r="C71" i="4"/>
  <c r="I60" i="4" a="1"/>
  <c r="I60" i="4" s="1"/>
  <c r="I12" i="1"/>
  <c r="I17" i="1"/>
  <c r="I18" i="1"/>
  <c r="I25" i="1"/>
  <c r="I40" i="1"/>
  <c r="I43" i="1"/>
  <c r="I54" i="1"/>
  <c r="H12" i="1"/>
  <c r="H17" i="1"/>
  <c r="H18" i="1"/>
  <c r="H25" i="1"/>
  <c r="H40" i="1"/>
  <c r="H43" i="1"/>
  <c r="H54" i="1"/>
  <c r="E8" i="4" l="1" a="1"/>
  <c r="E8" i="4" s="1"/>
  <c r="G8" i="4" s="1" a="1"/>
  <c r="G8" i="4" s="1"/>
  <c r="F77" i="3" s="1"/>
  <c r="D8" i="4" a="1"/>
  <c r="D8" i="4" s="1"/>
  <c r="J43" i="1"/>
  <c r="F43" i="1"/>
  <c r="J40" i="1"/>
  <c r="F40" i="1"/>
  <c r="J54" i="1"/>
  <c r="F54" i="1"/>
  <c r="J25" i="1"/>
  <c r="F25" i="1"/>
  <c r="F18" i="1"/>
  <c r="J18" i="1"/>
  <c r="J17" i="1"/>
  <c r="F17" i="1"/>
  <c r="F12" i="1"/>
  <c r="J12" i="1"/>
  <c r="I8" i="4" l="1" a="1"/>
  <c r="I8" i="4" s="1"/>
  <c r="J8" i="4" s="1" a="1"/>
  <c r="J8" i="4" s="1"/>
  <c r="I71" i="4" l="1"/>
  <c r="I23" i="1"/>
  <c r="H23" i="1"/>
  <c r="F23" i="1" l="1"/>
  <c r="J23" i="1"/>
  <c r="G9" i="2"/>
  <c r="F9" i="2"/>
  <c r="I9" i="2" l="1"/>
  <c r="H9" i="2"/>
  <c r="I30" i="1" l="1"/>
  <c r="G8" i="2"/>
  <c r="G7" i="2"/>
  <c r="F8" i="2"/>
  <c r="F7" i="2"/>
  <c r="I27" i="1"/>
  <c r="H7" i="1"/>
  <c r="H8" i="1"/>
  <c r="H9" i="1"/>
  <c r="H10" i="1"/>
  <c r="H11" i="1"/>
  <c r="H13" i="1"/>
  <c r="H14" i="1"/>
  <c r="H15" i="1"/>
  <c r="H16" i="1"/>
  <c r="H19" i="1"/>
  <c r="H20" i="1"/>
  <c r="H21" i="1"/>
  <c r="H22" i="1"/>
  <c r="H24" i="1"/>
  <c r="H26" i="1"/>
  <c r="H27" i="1"/>
  <c r="H28" i="1"/>
  <c r="H29" i="1"/>
  <c r="H30" i="1"/>
  <c r="H31" i="1"/>
  <c r="H32" i="1"/>
  <c r="H33" i="1"/>
  <c r="H34" i="1"/>
  <c r="H35" i="1"/>
  <c r="H36" i="1"/>
  <c r="H37" i="1"/>
  <c r="H38" i="1"/>
  <c r="H39" i="1"/>
  <c r="H41" i="1"/>
  <c r="H42" i="1"/>
  <c r="H44" i="1"/>
  <c r="H45" i="1"/>
  <c r="H46" i="1"/>
  <c r="H47" i="1"/>
  <c r="H48" i="1"/>
  <c r="H49" i="1"/>
  <c r="H50" i="1"/>
  <c r="H51" i="1"/>
  <c r="H52" i="1"/>
  <c r="H53" i="1"/>
  <c r="H55" i="1"/>
  <c r="H56" i="1"/>
  <c r="F60" i="4" l="1" a="1"/>
  <c r="F60" i="4" s="1"/>
  <c r="I8" i="2"/>
  <c r="G60" i="4" a="1"/>
  <c r="G60" i="4" s="1"/>
  <c r="J60" i="4" s="1" a="1"/>
  <c r="J60" i="4" s="1"/>
  <c r="I7" i="2"/>
  <c r="F8" i="4" a="1"/>
  <c r="F8" i="4" s="1"/>
  <c r="F30" i="1"/>
  <c r="F27" i="1"/>
  <c r="I8" i="1"/>
  <c r="I7" i="1"/>
  <c r="I53" i="1"/>
  <c r="I49" i="1"/>
  <c r="I45" i="1"/>
  <c r="I39" i="1"/>
  <c r="I36" i="1"/>
  <c r="I32" i="1"/>
  <c r="I22" i="1"/>
  <c r="I16" i="1"/>
  <c r="I11" i="1"/>
  <c r="I52" i="1"/>
  <c r="I48" i="1"/>
  <c r="I44" i="1"/>
  <c r="I35" i="1"/>
  <c r="I31" i="1"/>
  <c r="I26" i="1"/>
  <c r="I21" i="1"/>
  <c r="I15" i="1"/>
  <c r="I10" i="1"/>
  <c r="I56" i="1"/>
  <c r="I51" i="1"/>
  <c r="I47" i="1"/>
  <c r="I42" i="1"/>
  <c r="I38" i="1"/>
  <c r="I34" i="1"/>
  <c r="I29" i="1"/>
  <c r="I20" i="1"/>
  <c r="I14" i="1"/>
  <c r="I9" i="1"/>
  <c r="F9" i="1" s="1"/>
  <c r="I55" i="1"/>
  <c r="I50" i="1"/>
  <c r="I46" i="1"/>
  <c r="I41" i="1"/>
  <c r="I37" i="1"/>
  <c r="I33" i="1"/>
  <c r="I28" i="1"/>
  <c r="I24" i="1"/>
  <c r="I19" i="1"/>
  <c r="I13" i="1"/>
  <c r="H8" i="2"/>
  <c r="H7" i="2"/>
  <c r="J27" i="1"/>
  <c r="J30" i="1"/>
  <c r="F71" i="4" l="1"/>
  <c r="H60" i="4" a="1"/>
  <c r="H60" i="4" s="1"/>
  <c r="G76" i="3" s="1"/>
  <c r="F76" i="3"/>
  <c r="G71" i="4"/>
  <c r="H8" i="4" a="1"/>
  <c r="H8" i="4" s="1"/>
  <c r="G77" i="3" s="1"/>
  <c r="J29" i="1"/>
  <c r="F29" i="1"/>
  <c r="J44" i="1"/>
  <c r="F44" i="1"/>
  <c r="J36" i="1"/>
  <c r="F36" i="1"/>
  <c r="J52" i="1"/>
  <c r="F52" i="1"/>
  <c r="J39" i="1"/>
  <c r="F39" i="1"/>
  <c r="J33" i="1"/>
  <c r="F33" i="1"/>
  <c r="J42" i="1"/>
  <c r="F42" i="1"/>
  <c r="J21" i="1"/>
  <c r="F21" i="1"/>
  <c r="J45" i="1"/>
  <c r="F45" i="1"/>
  <c r="J19" i="1"/>
  <c r="F19" i="1"/>
  <c r="J32" i="1"/>
  <c r="F32" i="1"/>
  <c r="J34" i="1"/>
  <c r="F34" i="1"/>
  <c r="J28" i="1"/>
  <c r="F28" i="1"/>
  <c r="J15" i="1"/>
  <c r="F15" i="1"/>
  <c r="J47" i="1"/>
  <c r="F47" i="1"/>
  <c r="J41" i="1"/>
  <c r="F41" i="1"/>
  <c r="J51" i="1"/>
  <c r="F51" i="1"/>
  <c r="J31" i="1"/>
  <c r="F31" i="1"/>
  <c r="J11" i="1"/>
  <c r="F11" i="1"/>
  <c r="J53" i="1"/>
  <c r="F53" i="1"/>
  <c r="J24" i="1"/>
  <c r="F24" i="1"/>
  <c r="J48" i="1"/>
  <c r="F48" i="1"/>
  <c r="J49" i="1"/>
  <c r="F49" i="1"/>
  <c r="J46" i="1"/>
  <c r="F46" i="1"/>
  <c r="J56" i="1"/>
  <c r="F56" i="1"/>
  <c r="J35" i="1"/>
  <c r="F35" i="1"/>
  <c r="J16" i="1"/>
  <c r="F16" i="1"/>
  <c r="J55" i="1"/>
  <c r="F55" i="1"/>
  <c r="J8" i="1"/>
  <c r="F8" i="1"/>
  <c r="J10" i="1"/>
  <c r="F10" i="1"/>
  <c r="J38" i="1"/>
  <c r="F38" i="1"/>
  <c r="J37" i="1"/>
  <c r="F37" i="1"/>
  <c r="J26" i="1"/>
  <c r="F26" i="1"/>
  <c r="J14" i="1"/>
  <c r="F14" i="1"/>
  <c r="J20" i="1"/>
  <c r="F20" i="1"/>
  <c r="J13" i="1"/>
  <c r="F13" i="1"/>
  <c r="J50" i="1"/>
  <c r="F50" i="1"/>
  <c r="J22" i="1"/>
  <c r="F22" i="1"/>
  <c r="J7" i="1"/>
  <c r="F7" i="1"/>
  <c r="J9" i="1"/>
  <c r="K60" i="4" l="1" a="1"/>
  <c r="K60" i="4" s="1"/>
  <c r="H71" i="4"/>
  <c r="K8" i="4" a="1"/>
  <c r="K8" i="4" s="1"/>
  <c r="K71" i="4" l="1"/>
  <c r="J7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D0256D-85A7-4F30-ABEF-B6D8DADB5B3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B88D9CD-E880-49A2-9267-DE7716B23191}" name="WorksheetConnection_Kite Holdings.xlsx!Stock" type="102" refreshedVersion="8" minRefreshableVersion="5">
    <extLst>
      <ext xmlns:x15="http://schemas.microsoft.com/office/spreadsheetml/2010/11/main" uri="{DE250136-89BD-433C-8126-D09CA5730AF9}">
        <x15:connection id="Stock" autoDelete="1">
          <x15:rangePr sourceName="_xlcn.WorksheetConnection_KiteHoldings.xlsxStock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078">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bk>
      <extLst>
        <ext uri="{3e2802c4-a4d2-4d8b-9148-e3be6c30e623}">
          <xlrd:rvb i="8471"/>
        </ext>
      </extLst>
    </bk>
    <bk>
      <extLst>
        <ext uri="{3e2802c4-a4d2-4d8b-9148-e3be6c30e623}">
          <xlrd:rvb i="8472"/>
        </ext>
      </extLst>
    </bk>
    <bk>
      <extLst>
        <ext uri="{3e2802c4-a4d2-4d8b-9148-e3be6c30e623}">
          <xlrd:rvb i="8473"/>
        </ext>
      </extLst>
    </bk>
    <bk>
      <extLst>
        <ext uri="{3e2802c4-a4d2-4d8b-9148-e3be6c30e623}">
          <xlrd:rvb i="8474"/>
        </ext>
      </extLst>
    </bk>
    <bk>
      <extLst>
        <ext uri="{3e2802c4-a4d2-4d8b-9148-e3be6c30e623}">
          <xlrd:rvb i="8475"/>
        </ext>
      </extLst>
    </bk>
    <bk>
      <extLst>
        <ext uri="{3e2802c4-a4d2-4d8b-9148-e3be6c30e623}">
          <xlrd:rvb i="8476"/>
        </ext>
      </extLst>
    </bk>
    <bk>
      <extLst>
        <ext uri="{3e2802c4-a4d2-4d8b-9148-e3be6c30e623}">
          <xlrd:rvb i="8477"/>
        </ext>
      </extLst>
    </bk>
    <bk>
      <extLst>
        <ext uri="{3e2802c4-a4d2-4d8b-9148-e3be6c30e623}">
          <xlrd:rvb i="8478"/>
        </ext>
      </extLst>
    </bk>
    <bk>
      <extLst>
        <ext uri="{3e2802c4-a4d2-4d8b-9148-e3be6c30e623}">
          <xlrd:rvb i="8479"/>
        </ext>
      </extLst>
    </bk>
    <bk>
      <extLst>
        <ext uri="{3e2802c4-a4d2-4d8b-9148-e3be6c30e623}">
          <xlrd:rvb i="8480"/>
        </ext>
      </extLst>
    </bk>
    <bk>
      <extLst>
        <ext uri="{3e2802c4-a4d2-4d8b-9148-e3be6c30e623}">
          <xlrd:rvb i="8481"/>
        </ext>
      </extLst>
    </bk>
    <bk>
      <extLst>
        <ext uri="{3e2802c4-a4d2-4d8b-9148-e3be6c30e623}">
          <xlrd:rvb i="8482"/>
        </ext>
      </extLst>
    </bk>
    <bk>
      <extLst>
        <ext uri="{3e2802c4-a4d2-4d8b-9148-e3be6c30e623}">
          <xlrd:rvb i="8483"/>
        </ext>
      </extLst>
    </bk>
    <bk>
      <extLst>
        <ext uri="{3e2802c4-a4d2-4d8b-9148-e3be6c30e623}">
          <xlrd:rvb i="8484"/>
        </ext>
      </extLst>
    </bk>
    <bk>
      <extLst>
        <ext uri="{3e2802c4-a4d2-4d8b-9148-e3be6c30e623}">
          <xlrd:rvb i="8485"/>
        </ext>
      </extLst>
    </bk>
    <bk>
      <extLst>
        <ext uri="{3e2802c4-a4d2-4d8b-9148-e3be6c30e623}">
          <xlrd:rvb i="8486"/>
        </ext>
      </extLst>
    </bk>
    <bk>
      <extLst>
        <ext uri="{3e2802c4-a4d2-4d8b-9148-e3be6c30e623}">
          <xlrd:rvb i="8487"/>
        </ext>
      </extLst>
    </bk>
    <bk>
      <extLst>
        <ext uri="{3e2802c4-a4d2-4d8b-9148-e3be6c30e623}">
          <xlrd:rvb i="8488"/>
        </ext>
      </extLst>
    </bk>
    <bk>
      <extLst>
        <ext uri="{3e2802c4-a4d2-4d8b-9148-e3be6c30e623}">
          <xlrd:rvb i="8489"/>
        </ext>
      </extLst>
    </bk>
    <bk>
      <extLst>
        <ext uri="{3e2802c4-a4d2-4d8b-9148-e3be6c30e623}">
          <xlrd:rvb i="8490"/>
        </ext>
      </extLst>
    </bk>
    <bk>
      <extLst>
        <ext uri="{3e2802c4-a4d2-4d8b-9148-e3be6c30e623}">
          <xlrd:rvb i="8491"/>
        </ext>
      </extLst>
    </bk>
    <bk>
      <extLst>
        <ext uri="{3e2802c4-a4d2-4d8b-9148-e3be6c30e623}">
          <xlrd:rvb i="8492"/>
        </ext>
      </extLst>
    </bk>
    <bk>
      <extLst>
        <ext uri="{3e2802c4-a4d2-4d8b-9148-e3be6c30e623}">
          <xlrd:rvb i="8493"/>
        </ext>
      </extLst>
    </bk>
    <bk>
      <extLst>
        <ext uri="{3e2802c4-a4d2-4d8b-9148-e3be6c30e623}">
          <xlrd:rvb i="8494"/>
        </ext>
      </extLst>
    </bk>
    <bk>
      <extLst>
        <ext uri="{3e2802c4-a4d2-4d8b-9148-e3be6c30e623}">
          <xlrd:rvb i="8495"/>
        </ext>
      </extLst>
    </bk>
    <bk>
      <extLst>
        <ext uri="{3e2802c4-a4d2-4d8b-9148-e3be6c30e623}">
          <xlrd:rvb i="8496"/>
        </ext>
      </extLst>
    </bk>
    <bk>
      <extLst>
        <ext uri="{3e2802c4-a4d2-4d8b-9148-e3be6c30e623}">
          <xlrd:rvb i="8497"/>
        </ext>
      </extLst>
    </bk>
    <bk>
      <extLst>
        <ext uri="{3e2802c4-a4d2-4d8b-9148-e3be6c30e623}">
          <xlrd:rvb i="8498"/>
        </ext>
      </extLst>
    </bk>
    <bk>
      <extLst>
        <ext uri="{3e2802c4-a4d2-4d8b-9148-e3be6c30e623}">
          <xlrd:rvb i="8499"/>
        </ext>
      </extLst>
    </bk>
    <bk>
      <extLst>
        <ext uri="{3e2802c4-a4d2-4d8b-9148-e3be6c30e623}">
          <xlrd:rvb i="8500"/>
        </ext>
      </extLst>
    </bk>
    <bk>
      <extLst>
        <ext uri="{3e2802c4-a4d2-4d8b-9148-e3be6c30e623}">
          <xlrd:rvb i="8501"/>
        </ext>
      </extLst>
    </bk>
    <bk>
      <extLst>
        <ext uri="{3e2802c4-a4d2-4d8b-9148-e3be6c30e623}">
          <xlrd:rvb i="8502"/>
        </ext>
      </extLst>
    </bk>
    <bk>
      <extLst>
        <ext uri="{3e2802c4-a4d2-4d8b-9148-e3be6c30e623}">
          <xlrd:rvb i="8503"/>
        </ext>
      </extLst>
    </bk>
    <bk>
      <extLst>
        <ext uri="{3e2802c4-a4d2-4d8b-9148-e3be6c30e623}">
          <xlrd:rvb i="8504"/>
        </ext>
      </extLst>
    </bk>
    <bk>
      <extLst>
        <ext uri="{3e2802c4-a4d2-4d8b-9148-e3be6c30e623}">
          <xlrd:rvb i="8505"/>
        </ext>
      </extLst>
    </bk>
    <bk>
      <extLst>
        <ext uri="{3e2802c4-a4d2-4d8b-9148-e3be6c30e623}">
          <xlrd:rvb i="8506"/>
        </ext>
      </extLst>
    </bk>
    <bk>
      <extLst>
        <ext uri="{3e2802c4-a4d2-4d8b-9148-e3be6c30e623}">
          <xlrd:rvb i="8507"/>
        </ext>
      </extLst>
    </bk>
    <bk>
      <extLst>
        <ext uri="{3e2802c4-a4d2-4d8b-9148-e3be6c30e623}">
          <xlrd:rvb i="8508"/>
        </ext>
      </extLst>
    </bk>
    <bk>
      <extLst>
        <ext uri="{3e2802c4-a4d2-4d8b-9148-e3be6c30e623}">
          <xlrd:rvb i="8509"/>
        </ext>
      </extLst>
    </bk>
    <bk>
      <extLst>
        <ext uri="{3e2802c4-a4d2-4d8b-9148-e3be6c30e623}">
          <xlrd:rvb i="8510"/>
        </ext>
      </extLst>
    </bk>
    <bk>
      <extLst>
        <ext uri="{3e2802c4-a4d2-4d8b-9148-e3be6c30e623}">
          <xlrd:rvb i="8511"/>
        </ext>
      </extLst>
    </bk>
    <bk>
      <extLst>
        <ext uri="{3e2802c4-a4d2-4d8b-9148-e3be6c30e623}">
          <xlrd:rvb i="8512"/>
        </ext>
      </extLst>
    </bk>
    <bk>
      <extLst>
        <ext uri="{3e2802c4-a4d2-4d8b-9148-e3be6c30e623}">
          <xlrd:rvb i="8513"/>
        </ext>
      </extLst>
    </bk>
    <bk>
      <extLst>
        <ext uri="{3e2802c4-a4d2-4d8b-9148-e3be6c30e623}">
          <xlrd:rvb i="8514"/>
        </ext>
      </extLst>
    </bk>
    <bk>
      <extLst>
        <ext uri="{3e2802c4-a4d2-4d8b-9148-e3be6c30e623}">
          <xlrd:rvb i="8515"/>
        </ext>
      </extLst>
    </bk>
    <bk>
      <extLst>
        <ext uri="{3e2802c4-a4d2-4d8b-9148-e3be6c30e623}">
          <xlrd:rvb i="8516"/>
        </ext>
      </extLst>
    </bk>
    <bk>
      <extLst>
        <ext uri="{3e2802c4-a4d2-4d8b-9148-e3be6c30e623}">
          <xlrd:rvb i="8517"/>
        </ext>
      </extLst>
    </bk>
    <bk>
      <extLst>
        <ext uri="{3e2802c4-a4d2-4d8b-9148-e3be6c30e623}">
          <xlrd:rvb i="8518"/>
        </ext>
      </extLst>
    </bk>
    <bk>
      <extLst>
        <ext uri="{3e2802c4-a4d2-4d8b-9148-e3be6c30e623}">
          <xlrd:rvb i="8519"/>
        </ext>
      </extLst>
    </bk>
    <bk>
      <extLst>
        <ext uri="{3e2802c4-a4d2-4d8b-9148-e3be6c30e623}">
          <xlrd:rvb i="8520"/>
        </ext>
      </extLst>
    </bk>
    <bk>
      <extLst>
        <ext uri="{3e2802c4-a4d2-4d8b-9148-e3be6c30e623}">
          <xlrd:rvb i="8521"/>
        </ext>
      </extLst>
    </bk>
    <bk>
      <extLst>
        <ext uri="{3e2802c4-a4d2-4d8b-9148-e3be6c30e623}">
          <xlrd:rvb i="8522"/>
        </ext>
      </extLst>
    </bk>
    <bk>
      <extLst>
        <ext uri="{3e2802c4-a4d2-4d8b-9148-e3be6c30e623}">
          <xlrd:rvb i="8523"/>
        </ext>
      </extLst>
    </bk>
    <bk>
      <extLst>
        <ext uri="{3e2802c4-a4d2-4d8b-9148-e3be6c30e623}">
          <xlrd:rvb i="8524"/>
        </ext>
      </extLst>
    </bk>
    <bk>
      <extLst>
        <ext uri="{3e2802c4-a4d2-4d8b-9148-e3be6c30e623}">
          <xlrd:rvb i="8525"/>
        </ext>
      </extLst>
    </bk>
    <bk>
      <extLst>
        <ext uri="{3e2802c4-a4d2-4d8b-9148-e3be6c30e623}">
          <xlrd:rvb i="8526"/>
        </ext>
      </extLst>
    </bk>
    <bk>
      <extLst>
        <ext uri="{3e2802c4-a4d2-4d8b-9148-e3be6c30e623}">
          <xlrd:rvb i="8527"/>
        </ext>
      </extLst>
    </bk>
    <bk>
      <extLst>
        <ext uri="{3e2802c4-a4d2-4d8b-9148-e3be6c30e623}">
          <xlrd:rvb i="8528"/>
        </ext>
      </extLst>
    </bk>
    <bk>
      <extLst>
        <ext uri="{3e2802c4-a4d2-4d8b-9148-e3be6c30e623}">
          <xlrd:rvb i="8529"/>
        </ext>
      </extLst>
    </bk>
    <bk>
      <extLst>
        <ext uri="{3e2802c4-a4d2-4d8b-9148-e3be6c30e623}">
          <xlrd:rvb i="8530"/>
        </ext>
      </extLst>
    </bk>
    <bk>
      <extLst>
        <ext uri="{3e2802c4-a4d2-4d8b-9148-e3be6c30e623}">
          <xlrd:rvb i="8531"/>
        </ext>
      </extLst>
    </bk>
    <bk>
      <extLst>
        <ext uri="{3e2802c4-a4d2-4d8b-9148-e3be6c30e623}">
          <xlrd:rvb i="8532"/>
        </ext>
      </extLst>
    </bk>
    <bk>
      <extLst>
        <ext uri="{3e2802c4-a4d2-4d8b-9148-e3be6c30e623}">
          <xlrd:rvb i="8533"/>
        </ext>
      </extLst>
    </bk>
    <bk>
      <extLst>
        <ext uri="{3e2802c4-a4d2-4d8b-9148-e3be6c30e623}">
          <xlrd:rvb i="8534"/>
        </ext>
      </extLst>
    </bk>
    <bk>
      <extLst>
        <ext uri="{3e2802c4-a4d2-4d8b-9148-e3be6c30e623}">
          <xlrd:rvb i="8535"/>
        </ext>
      </extLst>
    </bk>
    <bk>
      <extLst>
        <ext uri="{3e2802c4-a4d2-4d8b-9148-e3be6c30e623}">
          <xlrd:rvb i="8536"/>
        </ext>
      </extLst>
    </bk>
    <bk>
      <extLst>
        <ext uri="{3e2802c4-a4d2-4d8b-9148-e3be6c30e623}">
          <xlrd:rvb i="8537"/>
        </ext>
      </extLst>
    </bk>
    <bk>
      <extLst>
        <ext uri="{3e2802c4-a4d2-4d8b-9148-e3be6c30e623}">
          <xlrd:rvb i="8538"/>
        </ext>
      </extLst>
    </bk>
    <bk>
      <extLst>
        <ext uri="{3e2802c4-a4d2-4d8b-9148-e3be6c30e623}">
          <xlrd:rvb i="8539"/>
        </ext>
      </extLst>
    </bk>
    <bk>
      <extLst>
        <ext uri="{3e2802c4-a4d2-4d8b-9148-e3be6c30e623}">
          <xlrd:rvb i="8540"/>
        </ext>
      </extLst>
    </bk>
    <bk>
      <extLst>
        <ext uri="{3e2802c4-a4d2-4d8b-9148-e3be6c30e623}">
          <xlrd:rvb i="8541"/>
        </ext>
      </extLst>
    </bk>
    <bk>
      <extLst>
        <ext uri="{3e2802c4-a4d2-4d8b-9148-e3be6c30e623}">
          <xlrd:rvb i="8542"/>
        </ext>
      </extLst>
    </bk>
    <bk>
      <extLst>
        <ext uri="{3e2802c4-a4d2-4d8b-9148-e3be6c30e623}">
          <xlrd:rvb i="8543"/>
        </ext>
      </extLst>
    </bk>
    <bk>
      <extLst>
        <ext uri="{3e2802c4-a4d2-4d8b-9148-e3be6c30e623}">
          <xlrd:rvb i="8544"/>
        </ext>
      </extLst>
    </bk>
    <bk>
      <extLst>
        <ext uri="{3e2802c4-a4d2-4d8b-9148-e3be6c30e623}">
          <xlrd:rvb i="8545"/>
        </ext>
      </extLst>
    </bk>
    <bk>
      <extLst>
        <ext uri="{3e2802c4-a4d2-4d8b-9148-e3be6c30e623}">
          <xlrd:rvb i="8546"/>
        </ext>
      </extLst>
    </bk>
    <bk>
      <extLst>
        <ext uri="{3e2802c4-a4d2-4d8b-9148-e3be6c30e623}">
          <xlrd:rvb i="8547"/>
        </ext>
      </extLst>
    </bk>
    <bk>
      <extLst>
        <ext uri="{3e2802c4-a4d2-4d8b-9148-e3be6c30e623}">
          <xlrd:rvb i="8548"/>
        </ext>
      </extLst>
    </bk>
    <bk>
      <extLst>
        <ext uri="{3e2802c4-a4d2-4d8b-9148-e3be6c30e623}">
          <xlrd:rvb i="8549"/>
        </ext>
      </extLst>
    </bk>
    <bk>
      <extLst>
        <ext uri="{3e2802c4-a4d2-4d8b-9148-e3be6c30e623}">
          <xlrd:rvb i="8550"/>
        </ext>
      </extLst>
    </bk>
    <bk>
      <extLst>
        <ext uri="{3e2802c4-a4d2-4d8b-9148-e3be6c30e623}">
          <xlrd:rvb i="8551"/>
        </ext>
      </extLst>
    </bk>
    <bk>
      <extLst>
        <ext uri="{3e2802c4-a4d2-4d8b-9148-e3be6c30e623}">
          <xlrd:rvb i="8552"/>
        </ext>
      </extLst>
    </bk>
    <bk>
      <extLst>
        <ext uri="{3e2802c4-a4d2-4d8b-9148-e3be6c30e623}">
          <xlrd:rvb i="8553"/>
        </ext>
      </extLst>
    </bk>
    <bk>
      <extLst>
        <ext uri="{3e2802c4-a4d2-4d8b-9148-e3be6c30e623}">
          <xlrd:rvb i="8554"/>
        </ext>
      </extLst>
    </bk>
    <bk>
      <extLst>
        <ext uri="{3e2802c4-a4d2-4d8b-9148-e3be6c30e623}">
          <xlrd:rvb i="8555"/>
        </ext>
      </extLst>
    </bk>
    <bk>
      <extLst>
        <ext uri="{3e2802c4-a4d2-4d8b-9148-e3be6c30e623}">
          <xlrd:rvb i="8556"/>
        </ext>
      </extLst>
    </bk>
    <bk>
      <extLst>
        <ext uri="{3e2802c4-a4d2-4d8b-9148-e3be6c30e623}">
          <xlrd:rvb i="8557"/>
        </ext>
      </extLst>
    </bk>
    <bk>
      <extLst>
        <ext uri="{3e2802c4-a4d2-4d8b-9148-e3be6c30e623}">
          <xlrd:rvb i="8558"/>
        </ext>
      </extLst>
    </bk>
    <bk>
      <extLst>
        <ext uri="{3e2802c4-a4d2-4d8b-9148-e3be6c30e623}">
          <xlrd:rvb i="8559"/>
        </ext>
      </extLst>
    </bk>
    <bk>
      <extLst>
        <ext uri="{3e2802c4-a4d2-4d8b-9148-e3be6c30e623}">
          <xlrd:rvb i="8560"/>
        </ext>
      </extLst>
    </bk>
    <bk>
      <extLst>
        <ext uri="{3e2802c4-a4d2-4d8b-9148-e3be6c30e623}">
          <xlrd:rvb i="8561"/>
        </ext>
      </extLst>
    </bk>
    <bk>
      <extLst>
        <ext uri="{3e2802c4-a4d2-4d8b-9148-e3be6c30e623}">
          <xlrd:rvb i="8562"/>
        </ext>
      </extLst>
    </bk>
    <bk>
      <extLst>
        <ext uri="{3e2802c4-a4d2-4d8b-9148-e3be6c30e623}">
          <xlrd:rvb i="8563"/>
        </ext>
      </extLst>
    </bk>
    <bk>
      <extLst>
        <ext uri="{3e2802c4-a4d2-4d8b-9148-e3be6c30e623}">
          <xlrd:rvb i="8564"/>
        </ext>
      </extLst>
    </bk>
    <bk>
      <extLst>
        <ext uri="{3e2802c4-a4d2-4d8b-9148-e3be6c30e623}">
          <xlrd:rvb i="8565"/>
        </ext>
      </extLst>
    </bk>
    <bk>
      <extLst>
        <ext uri="{3e2802c4-a4d2-4d8b-9148-e3be6c30e623}">
          <xlrd:rvb i="8566"/>
        </ext>
      </extLst>
    </bk>
    <bk>
      <extLst>
        <ext uri="{3e2802c4-a4d2-4d8b-9148-e3be6c30e623}">
          <xlrd:rvb i="8567"/>
        </ext>
      </extLst>
    </bk>
    <bk>
      <extLst>
        <ext uri="{3e2802c4-a4d2-4d8b-9148-e3be6c30e623}">
          <xlrd:rvb i="8568"/>
        </ext>
      </extLst>
    </bk>
    <bk>
      <extLst>
        <ext uri="{3e2802c4-a4d2-4d8b-9148-e3be6c30e623}">
          <xlrd:rvb i="8569"/>
        </ext>
      </extLst>
    </bk>
    <bk>
      <extLst>
        <ext uri="{3e2802c4-a4d2-4d8b-9148-e3be6c30e623}">
          <xlrd:rvb i="8570"/>
        </ext>
      </extLst>
    </bk>
    <bk>
      <extLst>
        <ext uri="{3e2802c4-a4d2-4d8b-9148-e3be6c30e623}">
          <xlrd:rvb i="8571"/>
        </ext>
      </extLst>
    </bk>
    <bk>
      <extLst>
        <ext uri="{3e2802c4-a4d2-4d8b-9148-e3be6c30e623}">
          <xlrd:rvb i="8572"/>
        </ext>
      </extLst>
    </bk>
    <bk>
      <extLst>
        <ext uri="{3e2802c4-a4d2-4d8b-9148-e3be6c30e623}">
          <xlrd:rvb i="8573"/>
        </ext>
      </extLst>
    </bk>
    <bk>
      <extLst>
        <ext uri="{3e2802c4-a4d2-4d8b-9148-e3be6c30e623}">
          <xlrd:rvb i="8574"/>
        </ext>
      </extLst>
    </bk>
    <bk>
      <extLst>
        <ext uri="{3e2802c4-a4d2-4d8b-9148-e3be6c30e623}">
          <xlrd:rvb i="8575"/>
        </ext>
      </extLst>
    </bk>
    <bk>
      <extLst>
        <ext uri="{3e2802c4-a4d2-4d8b-9148-e3be6c30e623}">
          <xlrd:rvb i="8576"/>
        </ext>
      </extLst>
    </bk>
    <bk>
      <extLst>
        <ext uri="{3e2802c4-a4d2-4d8b-9148-e3be6c30e623}">
          <xlrd:rvb i="8577"/>
        </ext>
      </extLst>
    </bk>
    <bk>
      <extLst>
        <ext uri="{3e2802c4-a4d2-4d8b-9148-e3be6c30e623}">
          <xlrd:rvb i="8578"/>
        </ext>
      </extLst>
    </bk>
    <bk>
      <extLst>
        <ext uri="{3e2802c4-a4d2-4d8b-9148-e3be6c30e623}">
          <xlrd:rvb i="8579"/>
        </ext>
      </extLst>
    </bk>
    <bk>
      <extLst>
        <ext uri="{3e2802c4-a4d2-4d8b-9148-e3be6c30e623}">
          <xlrd:rvb i="8580"/>
        </ext>
      </extLst>
    </bk>
    <bk>
      <extLst>
        <ext uri="{3e2802c4-a4d2-4d8b-9148-e3be6c30e623}">
          <xlrd:rvb i="8581"/>
        </ext>
      </extLst>
    </bk>
    <bk>
      <extLst>
        <ext uri="{3e2802c4-a4d2-4d8b-9148-e3be6c30e623}">
          <xlrd:rvb i="8582"/>
        </ext>
      </extLst>
    </bk>
    <bk>
      <extLst>
        <ext uri="{3e2802c4-a4d2-4d8b-9148-e3be6c30e623}">
          <xlrd:rvb i="8583"/>
        </ext>
      </extLst>
    </bk>
    <bk>
      <extLst>
        <ext uri="{3e2802c4-a4d2-4d8b-9148-e3be6c30e623}">
          <xlrd:rvb i="8584"/>
        </ext>
      </extLst>
    </bk>
    <bk>
      <extLst>
        <ext uri="{3e2802c4-a4d2-4d8b-9148-e3be6c30e623}">
          <xlrd:rvb i="8585"/>
        </ext>
      </extLst>
    </bk>
    <bk>
      <extLst>
        <ext uri="{3e2802c4-a4d2-4d8b-9148-e3be6c30e623}">
          <xlrd:rvb i="8586"/>
        </ext>
      </extLst>
    </bk>
    <bk>
      <extLst>
        <ext uri="{3e2802c4-a4d2-4d8b-9148-e3be6c30e623}">
          <xlrd:rvb i="8587"/>
        </ext>
      </extLst>
    </bk>
    <bk>
      <extLst>
        <ext uri="{3e2802c4-a4d2-4d8b-9148-e3be6c30e623}">
          <xlrd:rvb i="8588"/>
        </ext>
      </extLst>
    </bk>
    <bk>
      <extLst>
        <ext uri="{3e2802c4-a4d2-4d8b-9148-e3be6c30e623}">
          <xlrd:rvb i="8589"/>
        </ext>
      </extLst>
    </bk>
    <bk>
      <extLst>
        <ext uri="{3e2802c4-a4d2-4d8b-9148-e3be6c30e623}">
          <xlrd:rvb i="8590"/>
        </ext>
      </extLst>
    </bk>
    <bk>
      <extLst>
        <ext uri="{3e2802c4-a4d2-4d8b-9148-e3be6c30e623}">
          <xlrd:rvb i="8591"/>
        </ext>
      </extLst>
    </bk>
    <bk>
      <extLst>
        <ext uri="{3e2802c4-a4d2-4d8b-9148-e3be6c30e623}">
          <xlrd:rvb i="8592"/>
        </ext>
      </extLst>
    </bk>
    <bk>
      <extLst>
        <ext uri="{3e2802c4-a4d2-4d8b-9148-e3be6c30e623}">
          <xlrd:rvb i="8593"/>
        </ext>
      </extLst>
    </bk>
    <bk>
      <extLst>
        <ext uri="{3e2802c4-a4d2-4d8b-9148-e3be6c30e623}">
          <xlrd:rvb i="8594"/>
        </ext>
      </extLst>
    </bk>
    <bk>
      <extLst>
        <ext uri="{3e2802c4-a4d2-4d8b-9148-e3be6c30e623}">
          <xlrd:rvb i="8595"/>
        </ext>
      </extLst>
    </bk>
    <bk>
      <extLst>
        <ext uri="{3e2802c4-a4d2-4d8b-9148-e3be6c30e623}">
          <xlrd:rvb i="8596"/>
        </ext>
      </extLst>
    </bk>
    <bk>
      <extLst>
        <ext uri="{3e2802c4-a4d2-4d8b-9148-e3be6c30e623}">
          <xlrd:rvb i="8597"/>
        </ext>
      </extLst>
    </bk>
    <bk>
      <extLst>
        <ext uri="{3e2802c4-a4d2-4d8b-9148-e3be6c30e623}">
          <xlrd:rvb i="8598"/>
        </ext>
      </extLst>
    </bk>
    <bk>
      <extLst>
        <ext uri="{3e2802c4-a4d2-4d8b-9148-e3be6c30e623}">
          <xlrd:rvb i="8599"/>
        </ext>
      </extLst>
    </bk>
    <bk>
      <extLst>
        <ext uri="{3e2802c4-a4d2-4d8b-9148-e3be6c30e623}">
          <xlrd:rvb i="8600"/>
        </ext>
      </extLst>
    </bk>
    <bk>
      <extLst>
        <ext uri="{3e2802c4-a4d2-4d8b-9148-e3be6c30e623}">
          <xlrd:rvb i="8601"/>
        </ext>
      </extLst>
    </bk>
    <bk>
      <extLst>
        <ext uri="{3e2802c4-a4d2-4d8b-9148-e3be6c30e623}">
          <xlrd:rvb i="8602"/>
        </ext>
      </extLst>
    </bk>
    <bk>
      <extLst>
        <ext uri="{3e2802c4-a4d2-4d8b-9148-e3be6c30e623}">
          <xlrd:rvb i="8603"/>
        </ext>
      </extLst>
    </bk>
    <bk>
      <extLst>
        <ext uri="{3e2802c4-a4d2-4d8b-9148-e3be6c30e623}">
          <xlrd:rvb i="8604"/>
        </ext>
      </extLst>
    </bk>
    <bk>
      <extLst>
        <ext uri="{3e2802c4-a4d2-4d8b-9148-e3be6c30e623}">
          <xlrd:rvb i="8605"/>
        </ext>
      </extLst>
    </bk>
    <bk>
      <extLst>
        <ext uri="{3e2802c4-a4d2-4d8b-9148-e3be6c30e623}">
          <xlrd:rvb i="8606"/>
        </ext>
      </extLst>
    </bk>
    <bk>
      <extLst>
        <ext uri="{3e2802c4-a4d2-4d8b-9148-e3be6c30e623}">
          <xlrd:rvb i="8607"/>
        </ext>
      </extLst>
    </bk>
    <bk>
      <extLst>
        <ext uri="{3e2802c4-a4d2-4d8b-9148-e3be6c30e623}">
          <xlrd:rvb i="8608"/>
        </ext>
      </extLst>
    </bk>
    <bk>
      <extLst>
        <ext uri="{3e2802c4-a4d2-4d8b-9148-e3be6c30e623}">
          <xlrd:rvb i="8609"/>
        </ext>
      </extLst>
    </bk>
    <bk>
      <extLst>
        <ext uri="{3e2802c4-a4d2-4d8b-9148-e3be6c30e623}">
          <xlrd:rvb i="8610"/>
        </ext>
      </extLst>
    </bk>
    <bk>
      <extLst>
        <ext uri="{3e2802c4-a4d2-4d8b-9148-e3be6c30e623}">
          <xlrd:rvb i="8611"/>
        </ext>
      </extLst>
    </bk>
    <bk>
      <extLst>
        <ext uri="{3e2802c4-a4d2-4d8b-9148-e3be6c30e623}">
          <xlrd:rvb i="8612"/>
        </ext>
      </extLst>
    </bk>
    <bk>
      <extLst>
        <ext uri="{3e2802c4-a4d2-4d8b-9148-e3be6c30e623}">
          <xlrd:rvb i="8613"/>
        </ext>
      </extLst>
    </bk>
    <bk>
      <extLst>
        <ext uri="{3e2802c4-a4d2-4d8b-9148-e3be6c30e623}">
          <xlrd:rvb i="8614"/>
        </ext>
      </extLst>
    </bk>
    <bk>
      <extLst>
        <ext uri="{3e2802c4-a4d2-4d8b-9148-e3be6c30e623}">
          <xlrd:rvb i="8615"/>
        </ext>
      </extLst>
    </bk>
    <bk>
      <extLst>
        <ext uri="{3e2802c4-a4d2-4d8b-9148-e3be6c30e623}">
          <xlrd:rvb i="8616"/>
        </ext>
      </extLst>
    </bk>
    <bk>
      <extLst>
        <ext uri="{3e2802c4-a4d2-4d8b-9148-e3be6c30e623}">
          <xlrd:rvb i="8617"/>
        </ext>
      </extLst>
    </bk>
    <bk>
      <extLst>
        <ext uri="{3e2802c4-a4d2-4d8b-9148-e3be6c30e623}">
          <xlrd:rvb i="8618"/>
        </ext>
      </extLst>
    </bk>
    <bk>
      <extLst>
        <ext uri="{3e2802c4-a4d2-4d8b-9148-e3be6c30e623}">
          <xlrd:rvb i="8619"/>
        </ext>
      </extLst>
    </bk>
    <bk>
      <extLst>
        <ext uri="{3e2802c4-a4d2-4d8b-9148-e3be6c30e623}">
          <xlrd:rvb i="8620"/>
        </ext>
      </extLst>
    </bk>
    <bk>
      <extLst>
        <ext uri="{3e2802c4-a4d2-4d8b-9148-e3be6c30e623}">
          <xlrd:rvb i="8621"/>
        </ext>
      </extLst>
    </bk>
    <bk>
      <extLst>
        <ext uri="{3e2802c4-a4d2-4d8b-9148-e3be6c30e623}">
          <xlrd:rvb i="8622"/>
        </ext>
      </extLst>
    </bk>
    <bk>
      <extLst>
        <ext uri="{3e2802c4-a4d2-4d8b-9148-e3be6c30e623}">
          <xlrd:rvb i="8623"/>
        </ext>
      </extLst>
    </bk>
    <bk>
      <extLst>
        <ext uri="{3e2802c4-a4d2-4d8b-9148-e3be6c30e623}">
          <xlrd:rvb i="8624"/>
        </ext>
      </extLst>
    </bk>
    <bk>
      <extLst>
        <ext uri="{3e2802c4-a4d2-4d8b-9148-e3be6c30e623}">
          <xlrd:rvb i="8625"/>
        </ext>
      </extLst>
    </bk>
    <bk>
      <extLst>
        <ext uri="{3e2802c4-a4d2-4d8b-9148-e3be6c30e623}">
          <xlrd:rvb i="8626"/>
        </ext>
      </extLst>
    </bk>
    <bk>
      <extLst>
        <ext uri="{3e2802c4-a4d2-4d8b-9148-e3be6c30e623}">
          <xlrd:rvb i="8627"/>
        </ext>
      </extLst>
    </bk>
    <bk>
      <extLst>
        <ext uri="{3e2802c4-a4d2-4d8b-9148-e3be6c30e623}">
          <xlrd:rvb i="8628"/>
        </ext>
      </extLst>
    </bk>
    <bk>
      <extLst>
        <ext uri="{3e2802c4-a4d2-4d8b-9148-e3be6c30e623}">
          <xlrd:rvb i="8629"/>
        </ext>
      </extLst>
    </bk>
    <bk>
      <extLst>
        <ext uri="{3e2802c4-a4d2-4d8b-9148-e3be6c30e623}">
          <xlrd:rvb i="8630"/>
        </ext>
      </extLst>
    </bk>
    <bk>
      <extLst>
        <ext uri="{3e2802c4-a4d2-4d8b-9148-e3be6c30e623}">
          <xlrd:rvb i="8631"/>
        </ext>
      </extLst>
    </bk>
    <bk>
      <extLst>
        <ext uri="{3e2802c4-a4d2-4d8b-9148-e3be6c30e623}">
          <xlrd:rvb i="8632"/>
        </ext>
      </extLst>
    </bk>
    <bk>
      <extLst>
        <ext uri="{3e2802c4-a4d2-4d8b-9148-e3be6c30e623}">
          <xlrd:rvb i="8633"/>
        </ext>
      </extLst>
    </bk>
    <bk>
      <extLst>
        <ext uri="{3e2802c4-a4d2-4d8b-9148-e3be6c30e623}">
          <xlrd:rvb i="8634"/>
        </ext>
      </extLst>
    </bk>
    <bk>
      <extLst>
        <ext uri="{3e2802c4-a4d2-4d8b-9148-e3be6c30e623}">
          <xlrd:rvb i="8635"/>
        </ext>
      </extLst>
    </bk>
    <bk>
      <extLst>
        <ext uri="{3e2802c4-a4d2-4d8b-9148-e3be6c30e623}">
          <xlrd:rvb i="8636"/>
        </ext>
      </extLst>
    </bk>
    <bk>
      <extLst>
        <ext uri="{3e2802c4-a4d2-4d8b-9148-e3be6c30e623}">
          <xlrd:rvb i="8637"/>
        </ext>
      </extLst>
    </bk>
    <bk>
      <extLst>
        <ext uri="{3e2802c4-a4d2-4d8b-9148-e3be6c30e623}">
          <xlrd:rvb i="8638"/>
        </ext>
      </extLst>
    </bk>
    <bk>
      <extLst>
        <ext uri="{3e2802c4-a4d2-4d8b-9148-e3be6c30e623}">
          <xlrd:rvb i="8639"/>
        </ext>
      </extLst>
    </bk>
    <bk>
      <extLst>
        <ext uri="{3e2802c4-a4d2-4d8b-9148-e3be6c30e623}">
          <xlrd:rvb i="8640"/>
        </ext>
      </extLst>
    </bk>
    <bk>
      <extLst>
        <ext uri="{3e2802c4-a4d2-4d8b-9148-e3be6c30e623}">
          <xlrd:rvb i="8641"/>
        </ext>
      </extLst>
    </bk>
    <bk>
      <extLst>
        <ext uri="{3e2802c4-a4d2-4d8b-9148-e3be6c30e623}">
          <xlrd:rvb i="8642"/>
        </ext>
      </extLst>
    </bk>
    <bk>
      <extLst>
        <ext uri="{3e2802c4-a4d2-4d8b-9148-e3be6c30e623}">
          <xlrd:rvb i="8643"/>
        </ext>
      </extLst>
    </bk>
    <bk>
      <extLst>
        <ext uri="{3e2802c4-a4d2-4d8b-9148-e3be6c30e623}">
          <xlrd:rvb i="8644"/>
        </ext>
      </extLst>
    </bk>
    <bk>
      <extLst>
        <ext uri="{3e2802c4-a4d2-4d8b-9148-e3be6c30e623}">
          <xlrd:rvb i="8645"/>
        </ext>
      </extLst>
    </bk>
    <bk>
      <extLst>
        <ext uri="{3e2802c4-a4d2-4d8b-9148-e3be6c30e623}">
          <xlrd:rvb i="8646"/>
        </ext>
      </extLst>
    </bk>
    <bk>
      <extLst>
        <ext uri="{3e2802c4-a4d2-4d8b-9148-e3be6c30e623}">
          <xlrd:rvb i="8647"/>
        </ext>
      </extLst>
    </bk>
    <bk>
      <extLst>
        <ext uri="{3e2802c4-a4d2-4d8b-9148-e3be6c30e623}">
          <xlrd:rvb i="8648"/>
        </ext>
      </extLst>
    </bk>
    <bk>
      <extLst>
        <ext uri="{3e2802c4-a4d2-4d8b-9148-e3be6c30e623}">
          <xlrd:rvb i="8649"/>
        </ext>
      </extLst>
    </bk>
    <bk>
      <extLst>
        <ext uri="{3e2802c4-a4d2-4d8b-9148-e3be6c30e623}">
          <xlrd:rvb i="8650"/>
        </ext>
      </extLst>
    </bk>
    <bk>
      <extLst>
        <ext uri="{3e2802c4-a4d2-4d8b-9148-e3be6c30e623}">
          <xlrd:rvb i="8651"/>
        </ext>
      </extLst>
    </bk>
    <bk>
      <extLst>
        <ext uri="{3e2802c4-a4d2-4d8b-9148-e3be6c30e623}">
          <xlrd:rvb i="8652"/>
        </ext>
      </extLst>
    </bk>
    <bk>
      <extLst>
        <ext uri="{3e2802c4-a4d2-4d8b-9148-e3be6c30e623}">
          <xlrd:rvb i="8653"/>
        </ext>
      </extLst>
    </bk>
    <bk>
      <extLst>
        <ext uri="{3e2802c4-a4d2-4d8b-9148-e3be6c30e623}">
          <xlrd:rvb i="8654"/>
        </ext>
      </extLst>
    </bk>
    <bk>
      <extLst>
        <ext uri="{3e2802c4-a4d2-4d8b-9148-e3be6c30e623}">
          <xlrd:rvb i="8655"/>
        </ext>
      </extLst>
    </bk>
    <bk>
      <extLst>
        <ext uri="{3e2802c4-a4d2-4d8b-9148-e3be6c30e623}">
          <xlrd:rvb i="8656"/>
        </ext>
      </extLst>
    </bk>
    <bk>
      <extLst>
        <ext uri="{3e2802c4-a4d2-4d8b-9148-e3be6c30e623}">
          <xlrd:rvb i="8657"/>
        </ext>
      </extLst>
    </bk>
    <bk>
      <extLst>
        <ext uri="{3e2802c4-a4d2-4d8b-9148-e3be6c30e623}">
          <xlrd:rvb i="8658"/>
        </ext>
      </extLst>
    </bk>
    <bk>
      <extLst>
        <ext uri="{3e2802c4-a4d2-4d8b-9148-e3be6c30e623}">
          <xlrd:rvb i="8659"/>
        </ext>
      </extLst>
    </bk>
    <bk>
      <extLst>
        <ext uri="{3e2802c4-a4d2-4d8b-9148-e3be6c30e623}">
          <xlrd:rvb i="8660"/>
        </ext>
      </extLst>
    </bk>
    <bk>
      <extLst>
        <ext uri="{3e2802c4-a4d2-4d8b-9148-e3be6c30e623}">
          <xlrd:rvb i="8661"/>
        </ext>
      </extLst>
    </bk>
    <bk>
      <extLst>
        <ext uri="{3e2802c4-a4d2-4d8b-9148-e3be6c30e623}">
          <xlrd:rvb i="8662"/>
        </ext>
      </extLst>
    </bk>
    <bk>
      <extLst>
        <ext uri="{3e2802c4-a4d2-4d8b-9148-e3be6c30e623}">
          <xlrd:rvb i="8663"/>
        </ext>
      </extLst>
    </bk>
    <bk>
      <extLst>
        <ext uri="{3e2802c4-a4d2-4d8b-9148-e3be6c30e623}">
          <xlrd:rvb i="8664"/>
        </ext>
      </extLst>
    </bk>
    <bk>
      <extLst>
        <ext uri="{3e2802c4-a4d2-4d8b-9148-e3be6c30e623}">
          <xlrd:rvb i="8665"/>
        </ext>
      </extLst>
    </bk>
    <bk>
      <extLst>
        <ext uri="{3e2802c4-a4d2-4d8b-9148-e3be6c30e623}">
          <xlrd:rvb i="8666"/>
        </ext>
      </extLst>
    </bk>
    <bk>
      <extLst>
        <ext uri="{3e2802c4-a4d2-4d8b-9148-e3be6c30e623}">
          <xlrd:rvb i="8667"/>
        </ext>
      </extLst>
    </bk>
    <bk>
      <extLst>
        <ext uri="{3e2802c4-a4d2-4d8b-9148-e3be6c30e623}">
          <xlrd:rvb i="8668"/>
        </ext>
      </extLst>
    </bk>
    <bk>
      <extLst>
        <ext uri="{3e2802c4-a4d2-4d8b-9148-e3be6c30e623}">
          <xlrd:rvb i="8669"/>
        </ext>
      </extLst>
    </bk>
    <bk>
      <extLst>
        <ext uri="{3e2802c4-a4d2-4d8b-9148-e3be6c30e623}">
          <xlrd:rvb i="8670"/>
        </ext>
      </extLst>
    </bk>
    <bk>
      <extLst>
        <ext uri="{3e2802c4-a4d2-4d8b-9148-e3be6c30e623}">
          <xlrd:rvb i="8671"/>
        </ext>
      </extLst>
    </bk>
    <bk>
      <extLst>
        <ext uri="{3e2802c4-a4d2-4d8b-9148-e3be6c30e623}">
          <xlrd:rvb i="8672"/>
        </ext>
      </extLst>
    </bk>
    <bk>
      <extLst>
        <ext uri="{3e2802c4-a4d2-4d8b-9148-e3be6c30e623}">
          <xlrd:rvb i="8673"/>
        </ext>
      </extLst>
    </bk>
    <bk>
      <extLst>
        <ext uri="{3e2802c4-a4d2-4d8b-9148-e3be6c30e623}">
          <xlrd:rvb i="8674"/>
        </ext>
      </extLst>
    </bk>
    <bk>
      <extLst>
        <ext uri="{3e2802c4-a4d2-4d8b-9148-e3be6c30e623}">
          <xlrd:rvb i="8675"/>
        </ext>
      </extLst>
    </bk>
    <bk>
      <extLst>
        <ext uri="{3e2802c4-a4d2-4d8b-9148-e3be6c30e623}">
          <xlrd:rvb i="8676"/>
        </ext>
      </extLst>
    </bk>
    <bk>
      <extLst>
        <ext uri="{3e2802c4-a4d2-4d8b-9148-e3be6c30e623}">
          <xlrd:rvb i="8677"/>
        </ext>
      </extLst>
    </bk>
    <bk>
      <extLst>
        <ext uri="{3e2802c4-a4d2-4d8b-9148-e3be6c30e623}">
          <xlrd:rvb i="8678"/>
        </ext>
      </extLst>
    </bk>
    <bk>
      <extLst>
        <ext uri="{3e2802c4-a4d2-4d8b-9148-e3be6c30e623}">
          <xlrd:rvb i="8679"/>
        </ext>
      </extLst>
    </bk>
    <bk>
      <extLst>
        <ext uri="{3e2802c4-a4d2-4d8b-9148-e3be6c30e623}">
          <xlrd:rvb i="8680"/>
        </ext>
      </extLst>
    </bk>
    <bk>
      <extLst>
        <ext uri="{3e2802c4-a4d2-4d8b-9148-e3be6c30e623}">
          <xlrd:rvb i="8681"/>
        </ext>
      </extLst>
    </bk>
    <bk>
      <extLst>
        <ext uri="{3e2802c4-a4d2-4d8b-9148-e3be6c30e623}">
          <xlrd:rvb i="8682"/>
        </ext>
      </extLst>
    </bk>
    <bk>
      <extLst>
        <ext uri="{3e2802c4-a4d2-4d8b-9148-e3be6c30e623}">
          <xlrd:rvb i="8683"/>
        </ext>
      </extLst>
    </bk>
    <bk>
      <extLst>
        <ext uri="{3e2802c4-a4d2-4d8b-9148-e3be6c30e623}">
          <xlrd:rvb i="8684"/>
        </ext>
      </extLst>
    </bk>
    <bk>
      <extLst>
        <ext uri="{3e2802c4-a4d2-4d8b-9148-e3be6c30e623}">
          <xlrd:rvb i="8685"/>
        </ext>
      </extLst>
    </bk>
    <bk>
      <extLst>
        <ext uri="{3e2802c4-a4d2-4d8b-9148-e3be6c30e623}">
          <xlrd:rvb i="8686"/>
        </ext>
      </extLst>
    </bk>
    <bk>
      <extLst>
        <ext uri="{3e2802c4-a4d2-4d8b-9148-e3be6c30e623}">
          <xlrd:rvb i="8687"/>
        </ext>
      </extLst>
    </bk>
    <bk>
      <extLst>
        <ext uri="{3e2802c4-a4d2-4d8b-9148-e3be6c30e623}">
          <xlrd:rvb i="8688"/>
        </ext>
      </extLst>
    </bk>
    <bk>
      <extLst>
        <ext uri="{3e2802c4-a4d2-4d8b-9148-e3be6c30e623}">
          <xlrd:rvb i="8689"/>
        </ext>
      </extLst>
    </bk>
    <bk>
      <extLst>
        <ext uri="{3e2802c4-a4d2-4d8b-9148-e3be6c30e623}">
          <xlrd:rvb i="8690"/>
        </ext>
      </extLst>
    </bk>
    <bk>
      <extLst>
        <ext uri="{3e2802c4-a4d2-4d8b-9148-e3be6c30e623}">
          <xlrd:rvb i="8691"/>
        </ext>
      </extLst>
    </bk>
    <bk>
      <extLst>
        <ext uri="{3e2802c4-a4d2-4d8b-9148-e3be6c30e623}">
          <xlrd:rvb i="8692"/>
        </ext>
      </extLst>
    </bk>
    <bk>
      <extLst>
        <ext uri="{3e2802c4-a4d2-4d8b-9148-e3be6c30e623}">
          <xlrd:rvb i="8693"/>
        </ext>
      </extLst>
    </bk>
    <bk>
      <extLst>
        <ext uri="{3e2802c4-a4d2-4d8b-9148-e3be6c30e623}">
          <xlrd:rvb i="8694"/>
        </ext>
      </extLst>
    </bk>
    <bk>
      <extLst>
        <ext uri="{3e2802c4-a4d2-4d8b-9148-e3be6c30e623}">
          <xlrd:rvb i="8695"/>
        </ext>
      </extLst>
    </bk>
    <bk>
      <extLst>
        <ext uri="{3e2802c4-a4d2-4d8b-9148-e3be6c30e623}">
          <xlrd:rvb i="8696"/>
        </ext>
      </extLst>
    </bk>
    <bk>
      <extLst>
        <ext uri="{3e2802c4-a4d2-4d8b-9148-e3be6c30e623}">
          <xlrd:rvb i="8697"/>
        </ext>
      </extLst>
    </bk>
    <bk>
      <extLst>
        <ext uri="{3e2802c4-a4d2-4d8b-9148-e3be6c30e623}">
          <xlrd:rvb i="8698"/>
        </ext>
      </extLst>
    </bk>
    <bk>
      <extLst>
        <ext uri="{3e2802c4-a4d2-4d8b-9148-e3be6c30e623}">
          <xlrd:rvb i="8699"/>
        </ext>
      </extLst>
    </bk>
    <bk>
      <extLst>
        <ext uri="{3e2802c4-a4d2-4d8b-9148-e3be6c30e623}">
          <xlrd:rvb i="8700"/>
        </ext>
      </extLst>
    </bk>
    <bk>
      <extLst>
        <ext uri="{3e2802c4-a4d2-4d8b-9148-e3be6c30e623}">
          <xlrd:rvb i="8701"/>
        </ext>
      </extLst>
    </bk>
    <bk>
      <extLst>
        <ext uri="{3e2802c4-a4d2-4d8b-9148-e3be6c30e623}">
          <xlrd:rvb i="8702"/>
        </ext>
      </extLst>
    </bk>
    <bk>
      <extLst>
        <ext uri="{3e2802c4-a4d2-4d8b-9148-e3be6c30e623}">
          <xlrd:rvb i="8703"/>
        </ext>
      </extLst>
    </bk>
    <bk>
      <extLst>
        <ext uri="{3e2802c4-a4d2-4d8b-9148-e3be6c30e623}">
          <xlrd:rvb i="8704"/>
        </ext>
      </extLst>
    </bk>
    <bk>
      <extLst>
        <ext uri="{3e2802c4-a4d2-4d8b-9148-e3be6c30e623}">
          <xlrd:rvb i="8705"/>
        </ext>
      </extLst>
    </bk>
    <bk>
      <extLst>
        <ext uri="{3e2802c4-a4d2-4d8b-9148-e3be6c30e623}">
          <xlrd:rvb i="8706"/>
        </ext>
      </extLst>
    </bk>
    <bk>
      <extLst>
        <ext uri="{3e2802c4-a4d2-4d8b-9148-e3be6c30e623}">
          <xlrd:rvb i="8707"/>
        </ext>
      </extLst>
    </bk>
    <bk>
      <extLst>
        <ext uri="{3e2802c4-a4d2-4d8b-9148-e3be6c30e623}">
          <xlrd:rvb i="8708"/>
        </ext>
      </extLst>
    </bk>
    <bk>
      <extLst>
        <ext uri="{3e2802c4-a4d2-4d8b-9148-e3be6c30e623}">
          <xlrd:rvb i="8709"/>
        </ext>
      </extLst>
    </bk>
    <bk>
      <extLst>
        <ext uri="{3e2802c4-a4d2-4d8b-9148-e3be6c30e623}">
          <xlrd:rvb i="8710"/>
        </ext>
      </extLst>
    </bk>
    <bk>
      <extLst>
        <ext uri="{3e2802c4-a4d2-4d8b-9148-e3be6c30e623}">
          <xlrd:rvb i="8711"/>
        </ext>
      </extLst>
    </bk>
    <bk>
      <extLst>
        <ext uri="{3e2802c4-a4d2-4d8b-9148-e3be6c30e623}">
          <xlrd:rvb i="8712"/>
        </ext>
      </extLst>
    </bk>
    <bk>
      <extLst>
        <ext uri="{3e2802c4-a4d2-4d8b-9148-e3be6c30e623}">
          <xlrd:rvb i="8713"/>
        </ext>
      </extLst>
    </bk>
    <bk>
      <extLst>
        <ext uri="{3e2802c4-a4d2-4d8b-9148-e3be6c30e623}">
          <xlrd:rvb i="8714"/>
        </ext>
      </extLst>
    </bk>
    <bk>
      <extLst>
        <ext uri="{3e2802c4-a4d2-4d8b-9148-e3be6c30e623}">
          <xlrd:rvb i="8715"/>
        </ext>
      </extLst>
    </bk>
    <bk>
      <extLst>
        <ext uri="{3e2802c4-a4d2-4d8b-9148-e3be6c30e623}">
          <xlrd:rvb i="8716"/>
        </ext>
      </extLst>
    </bk>
    <bk>
      <extLst>
        <ext uri="{3e2802c4-a4d2-4d8b-9148-e3be6c30e623}">
          <xlrd:rvb i="8717"/>
        </ext>
      </extLst>
    </bk>
    <bk>
      <extLst>
        <ext uri="{3e2802c4-a4d2-4d8b-9148-e3be6c30e623}">
          <xlrd:rvb i="8718"/>
        </ext>
      </extLst>
    </bk>
    <bk>
      <extLst>
        <ext uri="{3e2802c4-a4d2-4d8b-9148-e3be6c30e623}">
          <xlrd:rvb i="8719"/>
        </ext>
      </extLst>
    </bk>
    <bk>
      <extLst>
        <ext uri="{3e2802c4-a4d2-4d8b-9148-e3be6c30e623}">
          <xlrd:rvb i="8720"/>
        </ext>
      </extLst>
    </bk>
    <bk>
      <extLst>
        <ext uri="{3e2802c4-a4d2-4d8b-9148-e3be6c30e623}">
          <xlrd:rvb i="8721"/>
        </ext>
      </extLst>
    </bk>
    <bk>
      <extLst>
        <ext uri="{3e2802c4-a4d2-4d8b-9148-e3be6c30e623}">
          <xlrd:rvb i="8722"/>
        </ext>
      </extLst>
    </bk>
    <bk>
      <extLst>
        <ext uri="{3e2802c4-a4d2-4d8b-9148-e3be6c30e623}">
          <xlrd:rvb i="8723"/>
        </ext>
      </extLst>
    </bk>
    <bk>
      <extLst>
        <ext uri="{3e2802c4-a4d2-4d8b-9148-e3be6c30e623}">
          <xlrd:rvb i="8724"/>
        </ext>
      </extLst>
    </bk>
    <bk>
      <extLst>
        <ext uri="{3e2802c4-a4d2-4d8b-9148-e3be6c30e623}">
          <xlrd:rvb i="8725"/>
        </ext>
      </extLst>
    </bk>
    <bk>
      <extLst>
        <ext uri="{3e2802c4-a4d2-4d8b-9148-e3be6c30e623}">
          <xlrd:rvb i="8726"/>
        </ext>
      </extLst>
    </bk>
    <bk>
      <extLst>
        <ext uri="{3e2802c4-a4d2-4d8b-9148-e3be6c30e623}">
          <xlrd:rvb i="8727"/>
        </ext>
      </extLst>
    </bk>
    <bk>
      <extLst>
        <ext uri="{3e2802c4-a4d2-4d8b-9148-e3be6c30e623}">
          <xlrd:rvb i="8728"/>
        </ext>
      </extLst>
    </bk>
    <bk>
      <extLst>
        <ext uri="{3e2802c4-a4d2-4d8b-9148-e3be6c30e623}">
          <xlrd:rvb i="8729"/>
        </ext>
      </extLst>
    </bk>
    <bk>
      <extLst>
        <ext uri="{3e2802c4-a4d2-4d8b-9148-e3be6c30e623}">
          <xlrd:rvb i="8730"/>
        </ext>
      </extLst>
    </bk>
    <bk>
      <extLst>
        <ext uri="{3e2802c4-a4d2-4d8b-9148-e3be6c30e623}">
          <xlrd:rvb i="8731"/>
        </ext>
      </extLst>
    </bk>
    <bk>
      <extLst>
        <ext uri="{3e2802c4-a4d2-4d8b-9148-e3be6c30e623}">
          <xlrd:rvb i="8732"/>
        </ext>
      </extLst>
    </bk>
    <bk>
      <extLst>
        <ext uri="{3e2802c4-a4d2-4d8b-9148-e3be6c30e623}">
          <xlrd:rvb i="8733"/>
        </ext>
      </extLst>
    </bk>
    <bk>
      <extLst>
        <ext uri="{3e2802c4-a4d2-4d8b-9148-e3be6c30e623}">
          <xlrd:rvb i="8734"/>
        </ext>
      </extLst>
    </bk>
    <bk>
      <extLst>
        <ext uri="{3e2802c4-a4d2-4d8b-9148-e3be6c30e623}">
          <xlrd:rvb i="8735"/>
        </ext>
      </extLst>
    </bk>
    <bk>
      <extLst>
        <ext uri="{3e2802c4-a4d2-4d8b-9148-e3be6c30e623}">
          <xlrd:rvb i="8736"/>
        </ext>
      </extLst>
    </bk>
    <bk>
      <extLst>
        <ext uri="{3e2802c4-a4d2-4d8b-9148-e3be6c30e623}">
          <xlrd:rvb i="8737"/>
        </ext>
      </extLst>
    </bk>
    <bk>
      <extLst>
        <ext uri="{3e2802c4-a4d2-4d8b-9148-e3be6c30e623}">
          <xlrd:rvb i="8738"/>
        </ext>
      </extLst>
    </bk>
    <bk>
      <extLst>
        <ext uri="{3e2802c4-a4d2-4d8b-9148-e3be6c30e623}">
          <xlrd:rvb i="8739"/>
        </ext>
      </extLst>
    </bk>
    <bk>
      <extLst>
        <ext uri="{3e2802c4-a4d2-4d8b-9148-e3be6c30e623}">
          <xlrd:rvb i="8740"/>
        </ext>
      </extLst>
    </bk>
    <bk>
      <extLst>
        <ext uri="{3e2802c4-a4d2-4d8b-9148-e3be6c30e623}">
          <xlrd:rvb i="8741"/>
        </ext>
      </extLst>
    </bk>
    <bk>
      <extLst>
        <ext uri="{3e2802c4-a4d2-4d8b-9148-e3be6c30e623}">
          <xlrd:rvb i="8742"/>
        </ext>
      </extLst>
    </bk>
    <bk>
      <extLst>
        <ext uri="{3e2802c4-a4d2-4d8b-9148-e3be6c30e623}">
          <xlrd:rvb i="8743"/>
        </ext>
      </extLst>
    </bk>
    <bk>
      <extLst>
        <ext uri="{3e2802c4-a4d2-4d8b-9148-e3be6c30e623}">
          <xlrd:rvb i="8744"/>
        </ext>
      </extLst>
    </bk>
    <bk>
      <extLst>
        <ext uri="{3e2802c4-a4d2-4d8b-9148-e3be6c30e623}">
          <xlrd:rvb i="8745"/>
        </ext>
      </extLst>
    </bk>
    <bk>
      <extLst>
        <ext uri="{3e2802c4-a4d2-4d8b-9148-e3be6c30e623}">
          <xlrd:rvb i="8746"/>
        </ext>
      </extLst>
    </bk>
    <bk>
      <extLst>
        <ext uri="{3e2802c4-a4d2-4d8b-9148-e3be6c30e623}">
          <xlrd:rvb i="8747"/>
        </ext>
      </extLst>
    </bk>
    <bk>
      <extLst>
        <ext uri="{3e2802c4-a4d2-4d8b-9148-e3be6c30e623}">
          <xlrd:rvb i="8748"/>
        </ext>
      </extLst>
    </bk>
    <bk>
      <extLst>
        <ext uri="{3e2802c4-a4d2-4d8b-9148-e3be6c30e623}">
          <xlrd:rvb i="8749"/>
        </ext>
      </extLst>
    </bk>
    <bk>
      <extLst>
        <ext uri="{3e2802c4-a4d2-4d8b-9148-e3be6c30e623}">
          <xlrd:rvb i="8750"/>
        </ext>
      </extLst>
    </bk>
    <bk>
      <extLst>
        <ext uri="{3e2802c4-a4d2-4d8b-9148-e3be6c30e623}">
          <xlrd:rvb i="8751"/>
        </ext>
      </extLst>
    </bk>
    <bk>
      <extLst>
        <ext uri="{3e2802c4-a4d2-4d8b-9148-e3be6c30e623}">
          <xlrd:rvb i="8752"/>
        </ext>
      </extLst>
    </bk>
    <bk>
      <extLst>
        <ext uri="{3e2802c4-a4d2-4d8b-9148-e3be6c30e623}">
          <xlrd:rvb i="8753"/>
        </ext>
      </extLst>
    </bk>
    <bk>
      <extLst>
        <ext uri="{3e2802c4-a4d2-4d8b-9148-e3be6c30e623}">
          <xlrd:rvb i="8754"/>
        </ext>
      </extLst>
    </bk>
    <bk>
      <extLst>
        <ext uri="{3e2802c4-a4d2-4d8b-9148-e3be6c30e623}">
          <xlrd:rvb i="8755"/>
        </ext>
      </extLst>
    </bk>
    <bk>
      <extLst>
        <ext uri="{3e2802c4-a4d2-4d8b-9148-e3be6c30e623}">
          <xlrd:rvb i="8756"/>
        </ext>
      </extLst>
    </bk>
    <bk>
      <extLst>
        <ext uri="{3e2802c4-a4d2-4d8b-9148-e3be6c30e623}">
          <xlrd:rvb i="8757"/>
        </ext>
      </extLst>
    </bk>
    <bk>
      <extLst>
        <ext uri="{3e2802c4-a4d2-4d8b-9148-e3be6c30e623}">
          <xlrd:rvb i="8758"/>
        </ext>
      </extLst>
    </bk>
    <bk>
      <extLst>
        <ext uri="{3e2802c4-a4d2-4d8b-9148-e3be6c30e623}">
          <xlrd:rvb i="8759"/>
        </ext>
      </extLst>
    </bk>
    <bk>
      <extLst>
        <ext uri="{3e2802c4-a4d2-4d8b-9148-e3be6c30e623}">
          <xlrd:rvb i="8760"/>
        </ext>
      </extLst>
    </bk>
    <bk>
      <extLst>
        <ext uri="{3e2802c4-a4d2-4d8b-9148-e3be6c30e623}">
          <xlrd:rvb i="8761"/>
        </ext>
      </extLst>
    </bk>
    <bk>
      <extLst>
        <ext uri="{3e2802c4-a4d2-4d8b-9148-e3be6c30e623}">
          <xlrd:rvb i="8762"/>
        </ext>
      </extLst>
    </bk>
    <bk>
      <extLst>
        <ext uri="{3e2802c4-a4d2-4d8b-9148-e3be6c30e623}">
          <xlrd:rvb i="8763"/>
        </ext>
      </extLst>
    </bk>
    <bk>
      <extLst>
        <ext uri="{3e2802c4-a4d2-4d8b-9148-e3be6c30e623}">
          <xlrd:rvb i="8764"/>
        </ext>
      </extLst>
    </bk>
    <bk>
      <extLst>
        <ext uri="{3e2802c4-a4d2-4d8b-9148-e3be6c30e623}">
          <xlrd:rvb i="8765"/>
        </ext>
      </extLst>
    </bk>
    <bk>
      <extLst>
        <ext uri="{3e2802c4-a4d2-4d8b-9148-e3be6c30e623}">
          <xlrd:rvb i="8766"/>
        </ext>
      </extLst>
    </bk>
    <bk>
      <extLst>
        <ext uri="{3e2802c4-a4d2-4d8b-9148-e3be6c30e623}">
          <xlrd:rvb i="8767"/>
        </ext>
      </extLst>
    </bk>
    <bk>
      <extLst>
        <ext uri="{3e2802c4-a4d2-4d8b-9148-e3be6c30e623}">
          <xlrd:rvb i="8768"/>
        </ext>
      </extLst>
    </bk>
    <bk>
      <extLst>
        <ext uri="{3e2802c4-a4d2-4d8b-9148-e3be6c30e623}">
          <xlrd:rvb i="8769"/>
        </ext>
      </extLst>
    </bk>
    <bk>
      <extLst>
        <ext uri="{3e2802c4-a4d2-4d8b-9148-e3be6c30e623}">
          <xlrd:rvb i="8770"/>
        </ext>
      </extLst>
    </bk>
    <bk>
      <extLst>
        <ext uri="{3e2802c4-a4d2-4d8b-9148-e3be6c30e623}">
          <xlrd:rvb i="8771"/>
        </ext>
      </extLst>
    </bk>
    <bk>
      <extLst>
        <ext uri="{3e2802c4-a4d2-4d8b-9148-e3be6c30e623}">
          <xlrd:rvb i="8772"/>
        </ext>
      </extLst>
    </bk>
    <bk>
      <extLst>
        <ext uri="{3e2802c4-a4d2-4d8b-9148-e3be6c30e623}">
          <xlrd:rvb i="8773"/>
        </ext>
      </extLst>
    </bk>
    <bk>
      <extLst>
        <ext uri="{3e2802c4-a4d2-4d8b-9148-e3be6c30e623}">
          <xlrd:rvb i="8774"/>
        </ext>
      </extLst>
    </bk>
    <bk>
      <extLst>
        <ext uri="{3e2802c4-a4d2-4d8b-9148-e3be6c30e623}">
          <xlrd:rvb i="8775"/>
        </ext>
      </extLst>
    </bk>
    <bk>
      <extLst>
        <ext uri="{3e2802c4-a4d2-4d8b-9148-e3be6c30e623}">
          <xlrd:rvb i="8776"/>
        </ext>
      </extLst>
    </bk>
    <bk>
      <extLst>
        <ext uri="{3e2802c4-a4d2-4d8b-9148-e3be6c30e623}">
          <xlrd:rvb i="8777"/>
        </ext>
      </extLst>
    </bk>
    <bk>
      <extLst>
        <ext uri="{3e2802c4-a4d2-4d8b-9148-e3be6c30e623}">
          <xlrd:rvb i="8778"/>
        </ext>
      </extLst>
    </bk>
    <bk>
      <extLst>
        <ext uri="{3e2802c4-a4d2-4d8b-9148-e3be6c30e623}">
          <xlrd:rvb i="8779"/>
        </ext>
      </extLst>
    </bk>
    <bk>
      <extLst>
        <ext uri="{3e2802c4-a4d2-4d8b-9148-e3be6c30e623}">
          <xlrd:rvb i="8780"/>
        </ext>
      </extLst>
    </bk>
    <bk>
      <extLst>
        <ext uri="{3e2802c4-a4d2-4d8b-9148-e3be6c30e623}">
          <xlrd:rvb i="8781"/>
        </ext>
      </extLst>
    </bk>
    <bk>
      <extLst>
        <ext uri="{3e2802c4-a4d2-4d8b-9148-e3be6c30e623}">
          <xlrd:rvb i="8782"/>
        </ext>
      </extLst>
    </bk>
    <bk>
      <extLst>
        <ext uri="{3e2802c4-a4d2-4d8b-9148-e3be6c30e623}">
          <xlrd:rvb i="8783"/>
        </ext>
      </extLst>
    </bk>
    <bk>
      <extLst>
        <ext uri="{3e2802c4-a4d2-4d8b-9148-e3be6c30e623}">
          <xlrd:rvb i="8784"/>
        </ext>
      </extLst>
    </bk>
    <bk>
      <extLst>
        <ext uri="{3e2802c4-a4d2-4d8b-9148-e3be6c30e623}">
          <xlrd:rvb i="8785"/>
        </ext>
      </extLst>
    </bk>
    <bk>
      <extLst>
        <ext uri="{3e2802c4-a4d2-4d8b-9148-e3be6c30e623}">
          <xlrd:rvb i="8786"/>
        </ext>
      </extLst>
    </bk>
    <bk>
      <extLst>
        <ext uri="{3e2802c4-a4d2-4d8b-9148-e3be6c30e623}">
          <xlrd:rvb i="8787"/>
        </ext>
      </extLst>
    </bk>
    <bk>
      <extLst>
        <ext uri="{3e2802c4-a4d2-4d8b-9148-e3be6c30e623}">
          <xlrd:rvb i="8788"/>
        </ext>
      </extLst>
    </bk>
    <bk>
      <extLst>
        <ext uri="{3e2802c4-a4d2-4d8b-9148-e3be6c30e623}">
          <xlrd:rvb i="8789"/>
        </ext>
      </extLst>
    </bk>
    <bk>
      <extLst>
        <ext uri="{3e2802c4-a4d2-4d8b-9148-e3be6c30e623}">
          <xlrd:rvb i="8790"/>
        </ext>
      </extLst>
    </bk>
    <bk>
      <extLst>
        <ext uri="{3e2802c4-a4d2-4d8b-9148-e3be6c30e623}">
          <xlrd:rvb i="8791"/>
        </ext>
      </extLst>
    </bk>
    <bk>
      <extLst>
        <ext uri="{3e2802c4-a4d2-4d8b-9148-e3be6c30e623}">
          <xlrd:rvb i="8792"/>
        </ext>
      </extLst>
    </bk>
    <bk>
      <extLst>
        <ext uri="{3e2802c4-a4d2-4d8b-9148-e3be6c30e623}">
          <xlrd:rvb i="8793"/>
        </ext>
      </extLst>
    </bk>
    <bk>
      <extLst>
        <ext uri="{3e2802c4-a4d2-4d8b-9148-e3be6c30e623}">
          <xlrd:rvb i="8794"/>
        </ext>
      </extLst>
    </bk>
    <bk>
      <extLst>
        <ext uri="{3e2802c4-a4d2-4d8b-9148-e3be6c30e623}">
          <xlrd:rvb i="8795"/>
        </ext>
      </extLst>
    </bk>
    <bk>
      <extLst>
        <ext uri="{3e2802c4-a4d2-4d8b-9148-e3be6c30e623}">
          <xlrd:rvb i="8796"/>
        </ext>
      </extLst>
    </bk>
    <bk>
      <extLst>
        <ext uri="{3e2802c4-a4d2-4d8b-9148-e3be6c30e623}">
          <xlrd:rvb i="8797"/>
        </ext>
      </extLst>
    </bk>
    <bk>
      <extLst>
        <ext uri="{3e2802c4-a4d2-4d8b-9148-e3be6c30e623}">
          <xlrd:rvb i="8798"/>
        </ext>
      </extLst>
    </bk>
    <bk>
      <extLst>
        <ext uri="{3e2802c4-a4d2-4d8b-9148-e3be6c30e623}">
          <xlrd:rvb i="8799"/>
        </ext>
      </extLst>
    </bk>
    <bk>
      <extLst>
        <ext uri="{3e2802c4-a4d2-4d8b-9148-e3be6c30e623}">
          <xlrd:rvb i="8800"/>
        </ext>
      </extLst>
    </bk>
    <bk>
      <extLst>
        <ext uri="{3e2802c4-a4d2-4d8b-9148-e3be6c30e623}">
          <xlrd:rvb i="8801"/>
        </ext>
      </extLst>
    </bk>
    <bk>
      <extLst>
        <ext uri="{3e2802c4-a4d2-4d8b-9148-e3be6c30e623}">
          <xlrd:rvb i="8802"/>
        </ext>
      </extLst>
    </bk>
    <bk>
      <extLst>
        <ext uri="{3e2802c4-a4d2-4d8b-9148-e3be6c30e623}">
          <xlrd:rvb i="8803"/>
        </ext>
      </extLst>
    </bk>
    <bk>
      <extLst>
        <ext uri="{3e2802c4-a4d2-4d8b-9148-e3be6c30e623}">
          <xlrd:rvb i="8804"/>
        </ext>
      </extLst>
    </bk>
    <bk>
      <extLst>
        <ext uri="{3e2802c4-a4d2-4d8b-9148-e3be6c30e623}">
          <xlrd:rvb i="8805"/>
        </ext>
      </extLst>
    </bk>
    <bk>
      <extLst>
        <ext uri="{3e2802c4-a4d2-4d8b-9148-e3be6c30e623}">
          <xlrd:rvb i="8806"/>
        </ext>
      </extLst>
    </bk>
    <bk>
      <extLst>
        <ext uri="{3e2802c4-a4d2-4d8b-9148-e3be6c30e623}">
          <xlrd:rvb i="8807"/>
        </ext>
      </extLst>
    </bk>
    <bk>
      <extLst>
        <ext uri="{3e2802c4-a4d2-4d8b-9148-e3be6c30e623}">
          <xlrd:rvb i="8808"/>
        </ext>
      </extLst>
    </bk>
    <bk>
      <extLst>
        <ext uri="{3e2802c4-a4d2-4d8b-9148-e3be6c30e623}">
          <xlrd:rvb i="8809"/>
        </ext>
      </extLst>
    </bk>
    <bk>
      <extLst>
        <ext uri="{3e2802c4-a4d2-4d8b-9148-e3be6c30e623}">
          <xlrd:rvb i="8810"/>
        </ext>
      </extLst>
    </bk>
    <bk>
      <extLst>
        <ext uri="{3e2802c4-a4d2-4d8b-9148-e3be6c30e623}">
          <xlrd:rvb i="8811"/>
        </ext>
      </extLst>
    </bk>
    <bk>
      <extLst>
        <ext uri="{3e2802c4-a4d2-4d8b-9148-e3be6c30e623}">
          <xlrd:rvb i="8812"/>
        </ext>
      </extLst>
    </bk>
    <bk>
      <extLst>
        <ext uri="{3e2802c4-a4d2-4d8b-9148-e3be6c30e623}">
          <xlrd:rvb i="8813"/>
        </ext>
      </extLst>
    </bk>
    <bk>
      <extLst>
        <ext uri="{3e2802c4-a4d2-4d8b-9148-e3be6c30e623}">
          <xlrd:rvb i="8814"/>
        </ext>
      </extLst>
    </bk>
    <bk>
      <extLst>
        <ext uri="{3e2802c4-a4d2-4d8b-9148-e3be6c30e623}">
          <xlrd:rvb i="8815"/>
        </ext>
      </extLst>
    </bk>
    <bk>
      <extLst>
        <ext uri="{3e2802c4-a4d2-4d8b-9148-e3be6c30e623}">
          <xlrd:rvb i="8816"/>
        </ext>
      </extLst>
    </bk>
    <bk>
      <extLst>
        <ext uri="{3e2802c4-a4d2-4d8b-9148-e3be6c30e623}">
          <xlrd:rvb i="8817"/>
        </ext>
      </extLst>
    </bk>
    <bk>
      <extLst>
        <ext uri="{3e2802c4-a4d2-4d8b-9148-e3be6c30e623}">
          <xlrd:rvb i="8818"/>
        </ext>
      </extLst>
    </bk>
    <bk>
      <extLst>
        <ext uri="{3e2802c4-a4d2-4d8b-9148-e3be6c30e623}">
          <xlrd:rvb i="8819"/>
        </ext>
      </extLst>
    </bk>
    <bk>
      <extLst>
        <ext uri="{3e2802c4-a4d2-4d8b-9148-e3be6c30e623}">
          <xlrd:rvb i="8820"/>
        </ext>
      </extLst>
    </bk>
    <bk>
      <extLst>
        <ext uri="{3e2802c4-a4d2-4d8b-9148-e3be6c30e623}">
          <xlrd:rvb i="8821"/>
        </ext>
      </extLst>
    </bk>
    <bk>
      <extLst>
        <ext uri="{3e2802c4-a4d2-4d8b-9148-e3be6c30e623}">
          <xlrd:rvb i="8822"/>
        </ext>
      </extLst>
    </bk>
    <bk>
      <extLst>
        <ext uri="{3e2802c4-a4d2-4d8b-9148-e3be6c30e623}">
          <xlrd:rvb i="8823"/>
        </ext>
      </extLst>
    </bk>
    <bk>
      <extLst>
        <ext uri="{3e2802c4-a4d2-4d8b-9148-e3be6c30e623}">
          <xlrd:rvb i="8824"/>
        </ext>
      </extLst>
    </bk>
    <bk>
      <extLst>
        <ext uri="{3e2802c4-a4d2-4d8b-9148-e3be6c30e623}">
          <xlrd:rvb i="8825"/>
        </ext>
      </extLst>
    </bk>
    <bk>
      <extLst>
        <ext uri="{3e2802c4-a4d2-4d8b-9148-e3be6c30e623}">
          <xlrd:rvb i="8826"/>
        </ext>
      </extLst>
    </bk>
    <bk>
      <extLst>
        <ext uri="{3e2802c4-a4d2-4d8b-9148-e3be6c30e623}">
          <xlrd:rvb i="8827"/>
        </ext>
      </extLst>
    </bk>
    <bk>
      <extLst>
        <ext uri="{3e2802c4-a4d2-4d8b-9148-e3be6c30e623}">
          <xlrd:rvb i="8828"/>
        </ext>
      </extLst>
    </bk>
    <bk>
      <extLst>
        <ext uri="{3e2802c4-a4d2-4d8b-9148-e3be6c30e623}">
          <xlrd:rvb i="8829"/>
        </ext>
      </extLst>
    </bk>
    <bk>
      <extLst>
        <ext uri="{3e2802c4-a4d2-4d8b-9148-e3be6c30e623}">
          <xlrd:rvb i="8830"/>
        </ext>
      </extLst>
    </bk>
    <bk>
      <extLst>
        <ext uri="{3e2802c4-a4d2-4d8b-9148-e3be6c30e623}">
          <xlrd:rvb i="8831"/>
        </ext>
      </extLst>
    </bk>
    <bk>
      <extLst>
        <ext uri="{3e2802c4-a4d2-4d8b-9148-e3be6c30e623}">
          <xlrd:rvb i="8832"/>
        </ext>
      </extLst>
    </bk>
    <bk>
      <extLst>
        <ext uri="{3e2802c4-a4d2-4d8b-9148-e3be6c30e623}">
          <xlrd:rvb i="8833"/>
        </ext>
      </extLst>
    </bk>
    <bk>
      <extLst>
        <ext uri="{3e2802c4-a4d2-4d8b-9148-e3be6c30e623}">
          <xlrd:rvb i="8834"/>
        </ext>
      </extLst>
    </bk>
    <bk>
      <extLst>
        <ext uri="{3e2802c4-a4d2-4d8b-9148-e3be6c30e623}">
          <xlrd:rvb i="8835"/>
        </ext>
      </extLst>
    </bk>
    <bk>
      <extLst>
        <ext uri="{3e2802c4-a4d2-4d8b-9148-e3be6c30e623}">
          <xlrd:rvb i="8836"/>
        </ext>
      </extLst>
    </bk>
    <bk>
      <extLst>
        <ext uri="{3e2802c4-a4d2-4d8b-9148-e3be6c30e623}">
          <xlrd:rvb i="8837"/>
        </ext>
      </extLst>
    </bk>
    <bk>
      <extLst>
        <ext uri="{3e2802c4-a4d2-4d8b-9148-e3be6c30e623}">
          <xlrd:rvb i="8838"/>
        </ext>
      </extLst>
    </bk>
    <bk>
      <extLst>
        <ext uri="{3e2802c4-a4d2-4d8b-9148-e3be6c30e623}">
          <xlrd:rvb i="8839"/>
        </ext>
      </extLst>
    </bk>
    <bk>
      <extLst>
        <ext uri="{3e2802c4-a4d2-4d8b-9148-e3be6c30e623}">
          <xlrd:rvb i="8840"/>
        </ext>
      </extLst>
    </bk>
    <bk>
      <extLst>
        <ext uri="{3e2802c4-a4d2-4d8b-9148-e3be6c30e623}">
          <xlrd:rvb i="8841"/>
        </ext>
      </extLst>
    </bk>
    <bk>
      <extLst>
        <ext uri="{3e2802c4-a4d2-4d8b-9148-e3be6c30e623}">
          <xlrd:rvb i="8842"/>
        </ext>
      </extLst>
    </bk>
    <bk>
      <extLst>
        <ext uri="{3e2802c4-a4d2-4d8b-9148-e3be6c30e623}">
          <xlrd:rvb i="8843"/>
        </ext>
      </extLst>
    </bk>
    <bk>
      <extLst>
        <ext uri="{3e2802c4-a4d2-4d8b-9148-e3be6c30e623}">
          <xlrd:rvb i="8844"/>
        </ext>
      </extLst>
    </bk>
    <bk>
      <extLst>
        <ext uri="{3e2802c4-a4d2-4d8b-9148-e3be6c30e623}">
          <xlrd:rvb i="8845"/>
        </ext>
      </extLst>
    </bk>
    <bk>
      <extLst>
        <ext uri="{3e2802c4-a4d2-4d8b-9148-e3be6c30e623}">
          <xlrd:rvb i="8846"/>
        </ext>
      </extLst>
    </bk>
    <bk>
      <extLst>
        <ext uri="{3e2802c4-a4d2-4d8b-9148-e3be6c30e623}">
          <xlrd:rvb i="8847"/>
        </ext>
      </extLst>
    </bk>
    <bk>
      <extLst>
        <ext uri="{3e2802c4-a4d2-4d8b-9148-e3be6c30e623}">
          <xlrd:rvb i="8848"/>
        </ext>
      </extLst>
    </bk>
    <bk>
      <extLst>
        <ext uri="{3e2802c4-a4d2-4d8b-9148-e3be6c30e623}">
          <xlrd:rvb i="8849"/>
        </ext>
      </extLst>
    </bk>
    <bk>
      <extLst>
        <ext uri="{3e2802c4-a4d2-4d8b-9148-e3be6c30e623}">
          <xlrd:rvb i="8850"/>
        </ext>
      </extLst>
    </bk>
    <bk>
      <extLst>
        <ext uri="{3e2802c4-a4d2-4d8b-9148-e3be6c30e623}">
          <xlrd:rvb i="8851"/>
        </ext>
      </extLst>
    </bk>
    <bk>
      <extLst>
        <ext uri="{3e2802c4-a4d2-4d8b-9148-e3be6c30e623}">
          <xlrd:rvb i="8852"/>
        </ext>
      </extLst>
    </bk>
    <bk>
      <extLst>
        <ext uri="{3e2802c4-a4d2-4d8b-9148-e3be6c30e623}">
          <xlrd:rvb i="8853"/>
        </ext>
      </extLst>
    </bk>
    <bk>
      <extLst>
        <ext uri="{3e2802c4-a4d2-4d8b-9148-e3be6c30e623}">
          <xlrd:rvb i="8854"/>
        </ext>
      </extLst>
    </bk>
    <bk>
      <extLst>
        <ext uri="{3e2802c4-a4d2-4d8b-9148-e3be6c30e623}">
          <xlrd:rvb i="8855"/>
        </ext>
      </extLst>
    </bk>
    <bk>
      <extLst>
        <ext uri="{3e2802c4-a4d2-4d8b-9148-e3be6c30e623}">
          <xlrd:rvb i="8856"/>
        </ext>
      </extLst>
    </bk>
    <bk>
      <extLst>
        <ext uri="{3e2802c4-a4d2-4d8b-9148-e3be6c30e623}">
          <xlrd:rvb i="8857"/>
        </ext>
      </extLst>
    </bk>
    <bk>
      <extLst>
        <ext uri="{3e2802c4-a4d2-4d8b-9148-e3be6c30e623}">
          <xlrd:rvb i="8858"/>
        </ext>
      </extLst>
    </bk>
    <bk>
      <extLst>
        <ext uri="{3e2802c4-a4d2-4d8b-9148-e3be6c30e623}">
          <xlrd:rvb i="8859"/>
        </ext>
      </extLst>
    </bk>
    <bk>
      <extLst>
        <ext uri="{3e2802c4-a4d2-4d8b-9148-e3be6c30e623}">
          <xlrd:rvb i="8860"/>
        </ext>
      </extLst>
    </bk>
    <bk>
      <extLst>
        <ext uri="{3e2802c4-a4d2-4d8b-9148-e3be6c30e623}">
          <xlrd:rvb i="8861"/>
        </ext>
      </extLst>
    </bk>
    <bk>
      <extLst>
        <ext uri="{3e2802c4-a4d2-4d8b-9148-e3be6c30e623}">
          <xlrd:rvb i="8862"/>
        </ext>
      </extLst>
    </bk>
    <bk>
      <extLst>
        <ext uri="{3e2802c4-a4d2-4d8b-9148-e3be6c30e623}">
          <xlrd:rvb i="8863"/>
        </ext>
      </extLst>
    </bk>
    <bk>
      <extLst>
        <ext uri="{3e2802c4-a4d2-4d8b-9148-e3be6c30e623}">
          <xlrd:rvb i="8864"/>
        </ext>
      </extLst>
    </bk>
    <bk>
      <extLst>
        <ext uri="{3e2802c4-a4d2-4d8b-9148-e3be6c30e623}">
          <xlrd:rvb i="8865"/>
        </ext>
      </extLst>
    </bk>
    <bk>
      <extLst>
        <ext uri="{3e2802c4-a4d2-4d8b-9148-e3be6c30e623}">
          <xlrd:rvb i="8866"/>
        </ext>
      </extLst>
    </bk>
    <bk>
      <extLst>
        <ext uri="{3e2802c4-a4d2-4d8b-9148-e3be6c30e623}">
          <xlrd:rvb i="8867"/>
        </ext>
      </extLst>
    </bk>
    <bk>
      <extLst>
        <ext uri="{3e2802c4-a4d2-4d8b-9148-e3be6c30e623}">
          <xlrd:rvb i="8868"/>
        </ext>
      </extLst>
    </bk>
    <bk>
      <extLst>
        <ext uri="{3e2802c4-a4d2-4d8b-9148-e3be6c30e623}">
          <xlrd:rvb i="8869"/>
        </ext>
      </extLst>
    </bk>
    <bk>
      <extLst>
        <ext uri="{3e2802c4-a4d2-4d8b-9148-e3be6c30e623}">
          <xlrd:rvb i="8870"/>
        </ext>
      </extLst>
    </bk>
    <bk>
      <extLst>
        <ext uri="{3e2802c4-a4d2-4d8b-9148-e3be6c30e623}">
          <xlrd:rvb i="8871"/>
        </ext>
      </extLst>
    </bk>
    <bk>
      <extLst>
        <ext uri="{3e2802c4-a4d2-4d8b-9148-e3be6c30e623}">
          <xlrd:rvb i="8872"/>
        </ext>
      </extLst>
    </bk>
    <bk>
      <extLst>
        <ext uri="{3e2802c4-a4d2-4d8b-9148-e3be6c30e623}">
          <xlrd:rvb i="8873"/>
        </ext>
      </extLst>
    </bk>
    <bk>
      <extLst>
        <ext uri="{3e2802c4-a4d2-4d8b-9148-e3be6c30e623}">
          <xlrd:rvb i="8874"/>
        </ext>
      </extLst>
    </bk>
    <bk>
      <extLst>
        <ext uri="{3e2802c4-a4d2-4d8b-9148-e3be6c30e623}">
          <xlrd:rvb i="8875"/>
        </ext>
      </extLst>
    </bk>
    <bk>
      <extLst>
        <ext uri="{3e2802c4-a4d2-4d8b-9148-e3be6c30e623}">
          <xlrd:rvb i="8876"/>
        </ext>
      </extLst>
    </bk>
    <bk>
      <extLst>
        <ext uri="{3e2802c4-a4d2-4d8b-9148-e3be6c30e623}">
          <xlrd:rvb i="8877"/>
        </ext>
      </extLst>
    </bk>
    <bk>
      <extLst>
        <ext uri="{3e2802c4-a4d2-4d8b-9148-e3be6c30e623}">
          <xlrd:rvb i="8878"/>
        </ext>
      </extLst>
    </bk>
    <bk>
      <extLst>
        <ext uri="{3e2802c4-a4d2-4d8b-9148-e3be6c30e623}">
          <xlrd:rvb i="8879"/>
        </ext>
      </extLst>
    </bk>
    <bk>
      <extLst>
        <ext uri="{3e2802c4-a4d2-4d8b-9148-e3be6c30e623}">
          <xlrd:rvb i="8880"/>
        </ext>
      </extLst>
    </bk>
    <bk>
      <extLst>
        <ext uri="{3e2802c4-a4d2-4d8b-9148-e3be6c30e623}">
          <xlrd:rvb i="8881"/>
        </ext>
      </extLst>
    </bk>
    <bk>
      <extLst>
        <ext uri="{3e2802c4-a4d2-4d8b-9148-e3be6c30e623}">
          <xlrd:rvb i="8882"/>
        </ext>
      </extLst>
    </bk>
    <bk>
      <extLst>
        <ext uri="{3e2802c4-a4d2-4d8b-9148-e3be6c30e623}">
          <xlrd:rvb i="8883"/>
        </ext>
      </extLst>
    </bk>
    <bk>
      <extLst>
        <ext uri="{3e2802c4-a4d2-4d8b-9148-e3be6c30e623}">
          <xlrd:rvb i="8884"/>
        </ext>
      </extLst>
    </bk>
    <bk>
      <extLst>
        <ext uri="{3e2802c4-a4d2-4d8b-9148-e3be6c30e623}">
          <xlrd:rvb i="8885"/>
        </ext>
      </extLst>
    </bk>
    <bk>
      <extLst>
        <ext uri="{3e2802c4-a4d2-4d8b-9148-e3be6c30e623}">
          <xlrd:rvb i="8886"/>
        </ext>
      </extLst>
    </bk>
    <bk>
      <extLst>
        <ext uri="{3e2802c4-a4d2-4d8b-9148-e3be6c30e623}">
          <xlrd:rvb i="8887"/>
        </ext>
      </extLst>
    </bk>
    <bk>
      <extLst>
        <ext uri="{3e2802c4-a4d2-4d8b-9148-e3be6c30e623}">
          <xlrd:rvb i="8888"/>
        </ext>
      </extLst>
    </bk>
    <bk>
      <extLst>
        <ext uri="{3e2802c4-a4d2-4d8b-9148-e3be6c30e623}">
          <xlrd:rvb i="8889"/>
        </ext>
      </extLst>
    </bk>
    <bk>
      <extLst>
        <ext uri="{3e2802c4-a4d2-4d8b-9148-e3be6c30e623}">
          <xlrd:rvb i="8890"/>
        </ext>
      </extLst>
    </bk>
    <bk>
      <extLst>
        <ext uri="{3e2802c4-a4d2-4d8b-9148-e3be6c30e623}">
          <xlrd:rvb i="8891"/>
        </ext>
      </extLst>
    </bk>
    <bk>
      <extLst>
        <ext uri="{3e2802c4-a4d2-4d8b-9148-e3be6c30e623}">
          <xlrd:rvb i="8892"/>
        </ext>
      </extLst>
    </bk>
    <bk>
      <extLst>
        <ext uri="{3e2802c4-a4d2-4d8b-9148-e3be6c30e623}">
          <xlrd:rvb i="8893"/>
        </ext>
      </extLst>
    </bk>
    <bk>
      <extLst>
        <ext uri="{3e2802c4-a4d2-4d8b-9148-e3be6c30e623}">
          <xlrd:rvb i="8894"/>
        </ext>
      </extLst>
    </bk>
    <bk>
      <extLst>
        <ext uri="{3e2802c4-a4d2-4d8b-9148-e3be6c30e623}">
          <xlrd:rvb i="8895"/>
        </ext>
      </extLst>
    </bk>
    <bk>
      <extLst>
        <ext uri="{3e2802c4-a4d2-4d8b-9148-e3be6c30e623}">
          <xlrd:rvb i="8896"/>
        </ext>
      </extLst>
    </bk>
    <bk>
      <extLst>
        <ext uri="{3e2802c4-a4d2-4d8b-9148-e3be6c30e623}">
          <xlrd:rvb i="8897"/>
        </ext>
      </extLst>
    </bk>
    <bk>
      <extLst>
        <ext uri="{3e2802c4-a4d2-4d8b-9148-e3be6c30e623}">
          <xlrd:rvb i="8898"/>
        </ext>
      </extLst>
    </bk>
    <bk>
      <extLst>
        <ext uri="{3e2802c4-a4d2-4d8b-9148-e3be6c30e623}">
          <xlrd:rvb i="8899"/>
        </ext>
      </extLst>
    </bk>
    <bk>
      <extLst>
        <ext uri="{3e2802c4-a4d2-4d8b-9148-e3be6c30e623}">
          <xlrd:rvb i="8900"/>
        </ext>
      </extLst>
    </bk>
    <bk>
      <extLst>
        <ext uri="{3e2802c4-a4d2-4d8b-9148-e3be6c30e623}">
          <xlrd:rvb i="8901"/>
        </ext>
      </extLst>
    </bk>
    <bk>
      <extLst>
        <ext uri="{3e2802c4-a4d2-4d8b-9148-e3be6c30e623}">
          <xlrd:rvb i="8902"/>
        </ext>
      </extLst>
    </bk>
    <bk>
      <extLst>
        <ext uri="{3e2802c4-a4d2-4d8b-9148-e3be6c30e623}">
          <xlrd:rvb i="8903"/>
        </ext>
      </extLst>
    </bk>
    <bk>
      <extLst>
        <ext uri="{3e2802c4-a4d2-4d8b-9148-e3be6c30e623}">
          <xlrd:rvb i="8904"/>
        </ext>
      </extLst>
    </bk>
    <bk>
      <extLst>
        <ext uri="{3e2802c4-a4d2-4d8b-9148-e3be6c30e623}">
          <xlrd:rvb i="8905"/>
        </ext>
      </extLst>
    </bk>
    <bk>
      <extLst>
        <ext uri="{3e2802c4-a4d2-4d8b-9148-e3be6c30e623}">
          <xlrd:rvb i="8906"/>
        </ext>
      </extLst>
    </bk>
    <bk>
      <extLst>
        <ext uri="{3e2802c4-a4d2-4d8b-9148-e3be6c30e623}">
          <xlrd:rvb i="8907"/>
        </ext>
      </extLst>
    </bk>
    <bk>
      <extLst>
        <ext uri="{3e2802c4-a4d2-4d8b-9148-e3be6c30e623}">
          <xlrd:rvb i="8908"/>
        </ext>
      </extLst>
    </bk>
    <bk>
      <extLst>
        <ext uri="{3e2802c4-a4d2-4d8b-9148-e3be6c30e623}">
          <xlrd:rvb i="8909"/>
        </ext>
      </extLst>
    </bk>
    <bk>
      <extLst>
        <ext uri="{3e2802c4-a4d2-4d8b-9148-e3be6c30e623}">
          <xlrd:rvb i="8910"/>
        </ext>
      </extLst>
    </bk>
    <bk>
      <extLst>
        <ext uri="{3e2802c4-a4d2-4d8b-9148-e3be6c30e623}">
          <xlrd:rvb i="8911"/>
        </ext>
      </extLst>
    </bk>
    <bk>
      <extLst>
        <ext uri="{3e2802c4-a4d2-4d8b-9148-e3be6c30e623}">
          <xlrd:rvb i="8912"/>
        </ext>
      </extLst>
    </bk>
    <bk>
      <extLst>
        <ext uri="{3e2802c4-a4d2-4d8b-9148-e3be6c30e623}">
          <xlrd:rvb i="8913"/>
        </ext>
      </extLst>
    </bk>
    <bk>
      <extLst>
        <ext uri="{3e2802c4-a4d2-4d8b-9148-e3be6c30e623}">
          <xlrd:rvb i="8914"/>
        </ext>
      </extLst>
    </bk>
    <bk>
      <extLst>
        <ext uri="{3e2802c4-a4d2-4d8b-9148-e3be6c30e623}">
          <xlrd:rvb i="8915"/>
        </ext>
      </extLst>
    </bk>
    <bk>
      <extLst>
        <ext uri="{3e2802c4-a4d2-4d8b-9148-e3be6c30e623}">
          <xlrd:rvb i="8916"/>
        </ext>
      </extLst>
    </bk>
    <bk>
      <extLst>
        <ext uri="{3e2802c4-a4d2-4d8b-9148-e3be6c30e623}">
          <xlrd:rvb i="8917"/>
        </ext>
      </extLst>
    </bk>
    <bk>
      <extLst>
        <ext uri="{3e2802c4-a4d2-4d8b-9148-e3be6c30e623}">
          <xlrd:rvb i="8918"/>
        </ext>
      </extLst>
    </bk>
    <bk>
      <extLst>
        <ext uri="{3e2802c4-a4d2-4d8b-9148-e3be6c30e623}">
          <xlrd:rvb i="8919"/>
        </ext>
      </extLst>
    </bk>
    <bk>
      <extLst>
        <ext uri="{3e2802c4-a4d2-4d8b-9148-e3be6c30e623}">
          <xlrd:rvb i="8920"/>
        </ext>
      </extLst>
    </bk>
    <bk>
      <extLst>
        <ext uri="{3e2802c4-a4d2-4d8b-9148-e3be6c30e623}">
          <xlrd:rvb i="8921"/>
        </ext>
      </extLst>
    </bk>
    <bk>
      <extLst>
        <ext uri="{3e2802c4-a4d2-4d8b-9148-e3be6c30e623}">
          <xlrd:rvb i="8922"/>
        </ext>
      </extLst>
    </bk>
    <bk>
      <extLst>
        <ext uri="{3e2802c4-a4d2-4d8b-9148-e3be6c30e623}">
          <xlrd:rvb i="8923"/>
        </ext>
      </extLst>
    </bk>
    <bk>
      <extLst>
        <ext uri="{3e2802c4-a4d2-4d8b-9148-e3be6c30e623}">
          <xlrd:rvb i="8924"/>
        </ext>
      </extLst>
    </bk>
    <bk>
      <extLst>
        <ext uri="{3e2802c4-a4d2-4d8b-9148-e3be6c30e623}">
          <xlrd:rvb i="8925"/>
        </ext>
      </extLst>
    </bk>
    <bk>
      <extLst>
        <ext uri="{3e2802c4-a4d2-4d8b-9148-e3be6c30e623}">
          <xlrd:rvb i="8926"/>
        </ext>
      </extLst>
    </bk>
    <bk>
      <extLst>
        <ext uri="{3e2802c4-a4d2-4d8b-9148-e3be6c30e623}">
          <xlrd:rvb i="8927"/>
        </ext>
      </extLst>
    </bk>
    <bk>
      <extLst>
        <ext uri="{3e2802c4-a4d2-4d8b-9148-e3be6c30e623}">
          <xlrd:rvb i="8928"/>
        </ext>
      </extLst>
    </bk>
    <bk>
      <extLst>
        <ext uri="{3e2802c4-a4d2-4d8b-9148-e3be6c30e623}">
          <xlrd:rvb i="8929"/>
        </ext>
      </extLst>
    </bk>
    <bk>
      <extLst>
        <ext uri="{3e2802c4-a4d2-4d8b-9148-e3be6c30e623}">
          <xlrd:rvb i="8930"/>
        </ext>
      </extLst>
    </bk>
    <bk>
      <extLst>
        <ext uri="{3e2802c4-a4d2-4d8b-9148-e3be6c30e623}">
          <xlrd:rvb i="8931"/>
        </ext>
      </extLst>
    </bk>
    <bk>
      <extLst>
        <ext uri="{3e2802c4-a4d2-4d8b-9148-e3be6c30e623}">
          <xlrd:rvb i="8932"/>
        </ext>
      </extLst>
    </bk>
    <bk>
      <extLst>
        <ext uri="{3e2802c4-a4d2-4d8b-9148-e3be6c30e623}">
          <xlrd:rvb i="8933"/>
        </ext>
      </extLst>
    </bk>
    <bk>
      <extLst>
        <ext uri="{3e2802c4-a4d2-4d8b-9148-e3be6c30e623}">
          <xlrd:rvb i="8934"/>
        </ext>
      </extLst>
    </bk>
    <bk>
      <extLst>
        <ext uri="{3e2802c4-a4d2-4d8b-9148-e3be6c30e623}">
          <xlrd:rvb i="8935"/>
        </ext>
      </extLst>
    </bk>
    <bk>
      <extLst>
        <ext uri="{3e2802c4-a4d2-4d8b-9148-e3be6c30e623}">
          <xlrd:rvb i="8936"/>
        </ext>
      </extLst>
    </bk>
    <bk>
      <extLst>
        <ext uri="{3e2802c4-a4d2-4d8b-9148-e3be6c30e623}">
          <xlrd:rvb i="8937"/>
        </ext>
      </extLst>
    </bk>
    <bk>
      <extLst>
        <ext uri="{3e2802c4-a4d2-4d8b-9148-e3be6c30e623}">
          <xlrd:rvb i="8938"/>
        </ext>
      </extLst>
    </bk>
    <bk>
      <extLst>
        <ext uri="{3e2802c4-a4d2-4d8b-9148-e3be6c30e623}">
          <xlrd:rvb i="8939"/>
        </ext>
      </extLst>
    </bk>
    <bk>
      <extLst>
        <ext uri="{3e2802c4-a4d2-4d8b-9148-e3be6c30e623}">
          <xlrd:rvb i="8940"/>
        </ext>
      </extLst>
    </bk>
    <bk>
      <extLst>
        <ext uri="{3e2802c4-a4d2-4d8b-9148-e3be6c30e623}">
          <xlrd:rvb i="8941"/>
        </ext>
      </extLst>
    </bk>
    <bk>
      <extLst>
        <ext uri="{3e2802c4-a4d2-4d8b-9148-e3be6c30e623}">
          <xlrd:rvb i="8942"/>
        </ext>
      </extLst>
    </bk>
    <bk>
      <extLst>
        <ext uri="{3e2802c4-a4d2-4d8b-9148-e3be6c30e623}">
          <xlrd:rvb i="8943"/>
        </ext>
      </extLst>
    </bk>
    <bk>
      <extLst>
        <ext uri="{3e2802c4-a4d2-4d8b-9148-e3be6c30e623}">
          <xlrd:rvb i="8944"/>
        </ext>
      </extLst>
    </bk>
    <bk>
      <extLst>
        <ext uri="{3e2802c4-a4d2-4d8b-9148-e3be6c30e623}">
          <xlrd:rvb i="8945"/>
        </ext>
      </extLst>
    </bk>
    <bk>
      <extLst>
        <ext uri="{3e2802c4-a4d2-4d8b-9148-e3be6c30e623}">
          <xlrd:rvb i="8946"/>
        </ext>
      </extLst>
    </bk>
    <bk>
      <extLst>
        <ext uri="{3e2802c4-a4d2-4d8b-9148-e3be6c30e623}">
          <xlrd:rvb i="8947"/>
        </ext>
      </extLst>
    </bk>
    <bk>
      <extLst>
        <ext uri="{3e2802c4-a4d2-4d8b-9148-e3be6c30e623}">
          <xlrd:rvb i="8948"/>
        </ext>
      </extLst>
    </bk>
    <bk>
      <extLst>
        <ext uri="{3e2802c4-a4d2-4d8b-9148-e3be6c30e623}">
          <xlrd:rvb i="8949"/>
        </ext>
      </extLst>
    </bk>
    <bk>
      <extLst>
        <ext uri="{3e2802c4-a4d2-4d8b-9148-e3be6c30e623}">
          <xlrd:rvb i="8950"/>
        </ext>
      </extLst>
    </bk>
    <bk>
      <extLst>
        <ext uri="{3e2802c4-a4d2-4d8b-9148-e3be6c30e623}">
          <xlrd:rvb i="8951"/>
        </ext>
      </extLst>
    </bk>
    <bk>
      <extLst>
        <ext uri="{3e2802c4-a4d2-4d8b-9148-e3be6c30e623}">
          <xlrd:rvb i="8952"/>
        </ext>
      </extLst>
    </bk>
    <bk>
      <extLst>
        <ext uri="{3e2802c4-a4d2-4d8b-9148-e3be6c30e623}">
          <xlrd:rvb i="8953"/>
        </ext>
      </extLst>
    </bk>
    <bk>
      <extLst>
        <ext uri="{3e2802c4-a4d2-4d8b-9148-e3be6c30e623}">
          <xlrd:rvb i="8954"/>
        </ext>
      </extLst>
    </bk>
    <bk>
      <extLst>
        <ext uri="{3e2802c4-a4d2-4d8b-9148-e3be6c30e623}">
          <xlrd:rvb i="8955"/>
        </ext>
      </extLst>
    </bk>
    <bk>
      <extLst>
        <ext uri="{3e2802c4-a4d2-4d8b-9148-e3be6c30e623}">
          <xlrd:rvb i="8956"/>
        </ext>
      </extLst>
    </bk>
    <bk>
      <extLst>
        <ext uri="{3e2802c4-a4d2-4d8b-9148-e3be6c30e623}">
          <xlrd:rvb i="8957"/>
        </ext>
      </extLst>
    </bk>
    <bk>
      <extLst>
        <ext uri="{3e2802c4-a4d2-4d8b-9148-e3be6c30e623}">
          <xlrd:rvb i="8958"/>
        </ext>
      </extLst>
    </bk>
    <bk>
      <extLst>
        <ext uri="{3e2802c4-a4d2-4d8b-9148-e3be6c30e623}">
          <xlrd:rvb i="8959"/>
        </ext>
      </extLst>
    </bk>
    <bk>
      <extLst>
        <ext uri="{3e2802c4-a4d2-4d8b-9148-e3be6c30e623}">
          <xlrd:rvb i="8960"/>
        </ext>
      </extLst>
    </bk>
    <bk>
      <extLst>
        <ext uri="{3e2802c4-a4d2-4d8b-9148-e3be6c30e623}">
          <xlrd:rvb i="8961"/>
        </ext>
      </extLst>
    </bk>
    <bk>
      <extLst>
        <ext uri="{3e2802c4-a4d2-4d8b-9148-e3be6c30e623}">
          <xlrd:rvb i="8962"/>
        </ext>
      </extLst>
    </bk>
    <bk>
      <extLst>
        <ext uri="{3e2802c4-a4d2-4d8b-9148-e3be6c30e623}">
          <xlrd:rvb i="8963"/>
        </ext>
      </extLst>
    </bk>
    <bk>
      <extLst>
        <ext uri="{3e2802c4-a4d2-4d8b-9148-e3be6c30e623}">
          <xlrd:rvb i="8964"/>
        </ext>
      </extLst>
    </bk>
    <bk>
      <extLst>
        <ext uri="{3e2802c4-a4d2-4d8b-9148-e3be6c30e623}">
          <xlrd:rvb i="8965"/>
        </ext>
      </extLst>
    </bk>
    <bk>
      <extLst>
        <ext uri="{3e2802c4-a4d2-4d8b-9148-e3be6c30e623}">
          <xlrd:rvb i="8966"/>
        </ext>
      </extLst>
    </bk>
    <bk>
      <extLst>
        <ext uri="{3e2802c4-a4d2-4d8b-9148-e3be6c30e623}">
          <xlrd:rvb i="8967"/>
        </ext>
      </extLst>
    </bk>
    <bk>
      <extLst>
        <ext uri="{3e2802c4-a4d2-4d8b-9148-e3be6c30e623}">
          <xlrd:rvb i="8968"/>
        </ext>
      </extLst>
    </bk>
    <bk>
      <extLst>
        <ext uri="{3e2802c4-a4d2-4d8b-9148-e3be6c30e623}">
          <xlrd:rvb i="8969"/>
        </ext>
      </extLst>
    </bk>
    <bk>
      <extLst>
        <ext uri="{3e2802c4-a4d2-4d8b-9148-e3be6c30e623}">
          <xlrd:rvb i="8970"/>
        </ext>
      </extLst>
    </bk>
    <bk>
      <extLst>
        <ext uri="{3e2802c4-a4d2-4d8b-9148-e3be6c30e623}">
          <xlrd:rvb i="8971"/>
        </ext>
      </extLst>
    </bk>
    <bk>
      <extLst>
        <ext uri="{3e2802c4-a4d2-4d8b-9148-e3be6c30e623}">
          <xlrd:rvb i="8972"/>
        </ext>
      </extLst>
    </bk>
    <bk>
      <extLst>
        <ext uri="{3e2802c4-a4d2-4d8b-9148-e3be6c30e623}">
          <xlrd:rvb i="8973"/>
        </ext>
      </extLst>
    </bk>
    <bk>
      <extLst>
        <ext uri="{3e2802c4-a4d2-4d8b-9148-e3be6c30e623}">
          <xlrd:rvb i="8974"/>
        </ext>
      </extLst>
    </bk>
    <bk>
      <extLst>
        <ext uri="{3e2802c4-a4d2-4d8b-9148-e3be6c30e623}">
          <xlrd:rvb i="8975"/>
        </ext>
      </extLst>
    </bk>
    <bk>
      <extLst>
        <ext uri="{3e2802c4-a4d2-4d8b-9148-e3be6c30e623}">
          <xlrd:rvb i="8976"/>
        </ext>
      </extLst>
    </bk>
    <bk>
      <extLst>
        <ext uri="{3e2802c4-a4d2-4d8b-9148-e3be6c30e623}">
          <xlrd:rvb i="8977"/>
        </ext>
      </extLst>
    </bk>
    <bk>
      <extLst>
        <ext uri="{3e2802c4-a4d2-4d8b-9148-e3be6c30e623}">
          <xlrd:rvb i="8978"/>
        </ext>
      </extLst>
    </bk>
    <bk>
      <extLst>
        <ext uri="{3e2802c4-a4d2-4d8b-9148-e3be6c30e623}">
          <xlrd:rvb i="8979"/>
        </ext>
      </extLst>
    </bk>
    <bk>
      <extLst>
        <ext uri="{3e2802c4-a4d2-4d8b-9148-e3be6c30e623}">
          <xlrd:rvb i="8980"/>
        </ext>
      </extLst>
    </bk>
    <bk>
      <extLst>
        <ext uri="{3e2802c4-a4d2-4d8b-9148-e3be6c30e623}">
          <xlrd:rvb i="8981"/>
        </ext>
      </extLst>
    </bk>
    <bk>
      <extLst>
        <ext uri="{3e2802c4-a4d2-4d8b-9148-e3be6c30e623}">
          <xlrd:rvb i="8982"/>
        </ext>
      </extLst>
    </bk>
    <bk>
      <extLst>
        <ext uri="{3e2802c4-a4d2-4d8b-9148-e3be6c30e623}">
          <xlrd:rvb i="8983"/>
        </ext>
      </extLst>
    </bk>
    <bk>
      <extLst>
        <ext uri="{3e2802c4-a4d2-4d8b-9148-e3be6c30e623}">
          <xlrd:rvb i="8984"/>
        </ext>
      </extLst>
    </bk>
    <bk>
      <extLst>
        <ext uri="{3e2802c4-a4d2-4d8b-9148-e3be6c30e623}">
          <xlrd:rvb i="8985"/>
        </ext>
      </extLst>
    </bk>
    <bk>
      <extLst>
        <ext uri="{3e2802c4-a4d2-4d8b-9148-e3be6c30e623}">
          <xlrd:rvb i="8986"/>
        </ext>
      </extLst>
    </bk>
    <bk>
      <extLst>
        <ext uri="{3e2802c4-a4d2-4d8b-9148-e3be6c30e623}">
          <xlrd:rvb i="8987"/>
        </ext>
      </extLst>
    </bk>
    <bk>
      <extLst>
        <ext uri="{3e2802c4-a4d2-4d8b-9148-e3be6c30e623}">
          <xlrd:rvb i="8988"/>
        </ext>
      </extLst>
    </bk>
    <bk>
      <extLst>
        <ext uri="{3e2802c4-a4d2-4d8b-9148-e3be6c30e623}">
          <xlrd:rvb i="8989"/>
        </ext>
      </extLst>
    </bk>
    <bk>
      <extLst>
        <ext uri="{3e2802c4-a4d2-4d8b-9148-e3be6c30e623}">
          <xlrd:rvb i="8990"/>
        </ext>
      </extLst>
    </bk>
    <bk>
      <extLst>
        <ext uri="{3e2802c4-a4d2-4d8b-9148-e3be6c30e623}">
          <xlrd:rvb i="8991"/>
        </ext>
      </extLst>
    </bk>
    <bk>
      <extLst>
        <ext uri="{3e2802c4-a4d2-4d8b-9148-e3be6c30e623}">
          <xlrd:rvb i="8992"/>
        </ext>
      </extLst>
    </bk>
    <bk>
      <extLst>
        <ext uri="{3e2802c4-a4d2-4d8b-9148-e3be6c30e623}">
          <xlrd:rvb i="8993"/>
        </ext>
      </extLst>
    </bk>
    <bk>
      <extLst>
        <ext uri="{3e2802c4-a4d2-4d8b-9148-e3be6c30e623}">
          <xlrd:rvb i="8994"/>
        </ext>
      </extLst>
    </bk>
    <bk>
      <extLst>
        <ext uri="{3e2802c4-a4d2-4d8b-9148-e3be6c30e623}">
          <xlrd:rvb i="8995"/>
        </ext>
      </extLst>
    </bk>
    <bk>
      <extLst>
        <ext uri="{3e2802c4-a4d2-4d8b-9148-e3be6c30e623}">
          <xlrd:rvb i="8996"/>
        </ext>
      </extLst>
    </bk>
    <bk>
      <extLst>
        <ext uri="{3e2802c4-a4d2-4d8b-9148-e3be6c30e623}">
          <xlrd:rvb i="8997"/>
        </ext>
      </extLst>
    </bk>
    <bk>
      <extLst>
        <ext uri="{3e2802c4-a4d2-4d8b-9148-e3be6c30e623}">
          <xlrd:rvb i="8998"/>
        </ext>
      </extLst>
    </bk>
    <bk>
      <extLst>
        <ext uri="{3e2802c4-a4d2-4d8b-9148-e3be6c30e623}">
          <xlrd:rvb i="8999"/>
        </ext>
      </extLst>
    </bk>
    <bk>
      <extLst>
        <ext uri="{3e2802c4-a4d2-4d8b-9148-e3be6c30e623}">
          <xlrd:rvb i="9000"/>
        </ext>
      </extLst>
    </bk>
    <bk>
      <extLst>
        <ext uri="{3e2802c4-a4d2-4d8b-9148-e3be6c30e623}">
          <xlrd:rvb i="9001"/>
        </ext>
      </extLst>
    </bk>
    <bk>
      <extLst>
        <ext uri="{3e2802c4-a4d2-4d8b-9148-e3be6c30e623}">
          <xlrd:rvb i="9002"/>
        </ext>
      </extLst>
    </bk>
    <bk>
      <extLst>
        <ext uri="{3e2802c4-a4d2-4d8b-9148-e3be6c30e623}">
          <xlrd:rvb i="9003"/>
        </ext>
      </extLst>
    </bk>
    <bk>
      <extLst>
        <ext uri="{3e2802c4-a4d2-4d8b-9148-e3be6c30e623}">
          <xlrd:rvb i="9004"/>
        </ext>
      </extLst>
    </bk>
    <bk>
      <extLst>
        <ext uri="{3e2802c4-a4d2-4d8b-9148-e3be6c30e623}">
          <xlrd:rvb i="9005"/>
        </ext>
      </extLst>
    </bk>
    <bk>
      <extLst>
        <ext uri="{3e2802c4-a4d2-4d8b-9148-e3be6c30e623}">
          <xlrd:rvb i="9006"/>
        </ext>
      </extLst>
    </bk>
    <bk>
      <extLst>
        <ext uri="{3e2802c4-a4d2-4d8b-9148-e3be6c30e623}">
          <xlrd:rvb i="9007"/>
        </ext>
      </extLst>
    </bk>
    <bk>
      <extLst>
        <ext uri="{3e2802c4-a4d2-4d8b-9148-e3be6c30e623}">
          <xlrd:rvb i="9008"/>
        </ext>
      </extLst>
    </bk>
    <bk>
      <extLst>
        <ext uri="{3e2802c4-a4d2-4d8b-9148-e3be6c30e623}">
          <xlrd:rvb i="9009"/>
        </ext>
      </extLst>
    </bk>
    <bk>
      <extLst>
        <ext uri="{3e2802c4-a4d2-4d8b-9148-e3be6c30e623}">
          <xlrd:rvb i="9010"/>
        </ext>
      </extLst>
    </bk>
    <bk>
      <extLst>
        <ext uri="{3e2802c4-a4d2-4d8b-9148-e3be6c30e623}">
          <xlrd:rvb i="9011"/>
        </ext>
      </extLst>
    </bk>
    <bk>
      <extLst>
        <ext uri="{3e2802c4-a4d2-4d8b-9148-e3be6c30e623}">
          <xlrd:rvb i="9012"/>
        </ext>
      </extLst>
    </bk>
    <bk>
      <extLst>
        <ext uri="{3e2802c4-a4d2-4d8b-9148-e3be6c30e623}">
          <xlrd:rvb i="9013"/>
        </ext>
      </extLst>
    </bk>
    <bk>
      <extLst>
        <ext uri="{3e2802c4-a4d2-4d8b-9148-e3be6c30e623}">
          <xlrd:rvb i="9014"/>
        </ext>
      </extLst>
    </bk>
    <bk>
      <extLst>
        <ext uri="{3e2802c4-a4d2-4d8b-9148-e3be6c30e623}">
          <xlrd:rvb i="9015"/>
        </ext>
      </extLst>
    </bk>
    <bk>
      <extLst>
        <ext uri="{3e2802c4-a4d2-4d8b-9148-e3be6c30e623}">
          <xlrd:rvb i="9016"/>
        </ext>
      </extLst>
    </bk>
    <bk>
      <extLst>
        <ext uri="{3e2802c4-a4d2-4d8b-9148-e3be6c30e623}">
          <xlrd:rvb i="9017"/>
        </ext>
      </extLst>
    </bk>
    <bk>
      <extLst>
        <ext uri="{3e2802c4-a4d2-4d8b-9148-e3be6c30e623}">
          <xlrd:rvb i="9018"/>
        </ext>
      </extLst>
    </bk>
    <bk>
      <extLst>
        <ext uri="{3e2802c4-a4d2-4d8b-9148-e3be6c30e623}">
          <xlrd:rvb i="9019"/>
        </ext>
      </extLst>
    </bk>
    <bk>
      <extLst>
        <ext uri="{3e2802c4-a4d2-4d8b-9148-e3be6c30e623}">
          <xlrd:rvb i="9020"/>
        </ext>
      </extLst>
    </bk>
    <bk>
      <extLst>
        <ext uri="{3e2802c4-a4d2-4d8b-9148-e3be6c30e623}">
          <xlrd:rvb i="9021"/>
        </ext>
      </extLst>
    </bk>
    <bk>
      <extLst>
        <ext uri="{3e2802c4-a4d2-4d8b-9148-e3be6c30e623}">
          <xlrd:rvb i="9022"/>
        </ext>
      </extLst>
    </bk>
    <bk>
      <extLst>
        <ext uri="{3e2802c4-a4d2-4d8b-9148-e3be6c30e623}">
          <xlrd:rvb i="9023"/>
        </ext>
      </extLst>
    </bk>
    <bk>
      <extLst>
        <ext uri="{3e2802c4-a4d2-4d8b-9148-e3be6c30e623}">
          <xlrd:rvb i="9024"/>
        </ext>
      </extLst>
    </bk>
    <bk>
      <extLst>
        <ext uri="{3e2802c4-a4d2-4d8b-9148-e3be6c30e623}">
          <xlrd:rvb i="9025"/>
        </ext>
      </extLst>
    </bk>
    <bk>
      <extLst>
        <ext uri="{3e2802c4-a4d2-4d8b-9148-e3be6c30e623}">
          <xlrd:rvb i="9026"/>
        </ext>
      </extLst>
    </bk>
    <bk>
      <extLst>
        <ext uri="{3e2802c4-a4d2-4d8b-9148-e3be6c30e623}">
          <xlrd:rvb i="9027"/>
        </ext>
      </extLst>
    </bk>
    <bk>
      <extLst>
        <ext uri="{3e2802c4-a4d2-4d8b-9148-e3be6c30e623}">
          <xlrd:rvb i="9028"/>
        </ext>
      </extLst>
    </bk>
    <bk>
      <extLst>
        <ext uri="{3e2802c4-a4d2-4d8b-9148-e3be6c30e623}">
          <xlrd:rvb i="9029"/>
        </ext>
      </extLst>
    </bk>
    <bk>
      <extLst>
        <ext uri="{3e2802c4-a4d2-4d8b-9148-e3be6c30e623}">
          <xlrd:rvb i="9030"/>
        </ext>
      </extLst>
    </bk>
    <bk>
      <extLst>
        <ext uri="{3e2802c4-a4d2-4d8b-9148-e3be6c30e623}">
          <xlrd:rvb i="9031"/>
        </ext>
      </extLst>
    </bk>
    <bk>
      <extLst>
        <ext uri="{3e2802c4-a4d2-4d8b-9148-e3be6c30e623}">
          <xlrd:rvb i="9032"/>
        </ext>
      </extLst>
    </bk>
    <bk>
      <extLst>
        <ext uri="{3e2802c4-a4d2-4d8b-9148-e3be6c30e623}">
          <xlrd:rvb i="9033"/>
        </ext>
      </extLst>
    </bk>
    <bk>
      <extLst>
        <ext uri="{3e2802c4-a4d2-4d8b-9148-e3be6c30e623}">
          <xlrd:rvb i="9034"/>
        </ext>
      </extLst>
    </bk>
    <bk>
      <extLst>
        <ext uri="{3e2802c4-a4d2-4d8b-9148-e3be6c30e623}">
          <xlrd:rvb i="9035"/>
        </ext>
      </extLst>
    </bk>
    <bk>
      <extLst>
        <ext uri="{3e2802c4-a4d2-4d8b-9148-e3be6c30e623}">
          <xlrd:rvb i="9036"/>
        </ext>
      </extLst>
    </bk>
    <bk>
      <extLst>
        <ext uri="{3e2802c4-a4d2-4d8b-9148-e3be6c30e623}">
          <xlrd:rvb i="9037"/>
        </ext>
      </extLst>
    </bk>
    <bk>
      <extLst>
        <ext uri="{3e2802c4-a4d2-4d8b-9148-e3be6c30e623}">
          <xlrd:rvb i="9038"/>
        </ext>
      </extLst>
    </bk>
    <bk>
      <extLst>
        <ext uri="{3e2802c4-a4d2-4d8b-9148-e3be6c30e623}">
          <xlrd:rvb i="9039"/>
        </ext>
      </extLst>
    </bk>
    <bk>
      <extLst>
        <ext uri="{3e2802c4-a4d2-4d8b-9148-e3be6c30e623}">
          <xlrd:rvb i="9040"/>
        </ext>
      </extLst>
    </bk>
    <bk>
      <extLst>
        <ext uri="{3e2802c4-a4d2-4d8b-9148-e3be6c30e623}">
          <xlrd:rvb i="9041"/>
        </ext>
      </extLst>
    </bk>
    <bk>
      <extLst>
        <ext uri="{3e2802c4-a4d2-4d8b-9148-e3be6c30e623}">
          <xlrd:rvb i="9042"/>
        </ext>
      </extLst>
    </bk>
    <bk>
      <extLst>
        <ext uri="{3e2802c4-a4d2-4d8b-9148-e3be6c30e623}">
          <xlrd:rvb i="9043"/>
        </ext>
      </extLst>
    </bk>
    <bk>
      <extLst>
        <ext uri="{3e2802c4-a4d2-4d8b-9148-e3be6c30e623}">
          <xlrd:rvb i="9044"/>
        </ext>
      </extLst>
    </bk>
    <bk>
      <extLst>
        <ext uri="{3e2802c4-a4d2-4d8b-9148-e3be6c30e623}">
          <xlrd:rvb i="9045"/>
        </ext>
      </extLst>
    </bk>
    <bk>
      <extLst>
        <ext uri="{3e2802c4-a4d2-4d8b-9148-e3be6c30e623}">
          <xlrd:rvb i="9046"/>
        </ext>
      </extLst>
    </bk>
    <bk>
      <extLst>
        <ext uri="{3e2802c4-a4d2-4d8b-9148-e3be6c30e623}">
          <xlrd:rvb i="9047"/>
        </ext>
      </extLst>
    </bk>
    <bk>
      <extLst>
        <ext uri="{3e2802c4-a4d2-4d8b-9148-e3be6c30e623}">
          <xlrd:rvb i="9048"/>
        </ext>
      </extLst>
    </bk>
    <bk>
      <extLst>
        <ext uri="{3e2802c4-a4d2-4d8b-9148-e3be6c30e623}">
          <xlrd:rvb i="9049"/>
        </ext>
      </extLst>
    </bk>
    <bk>
      <extLst>
        <ext uri="{3e2802c4-a4d2-4d8b-9148-e3be6c30e623}">
          <xlrd:rvb i="9050"/>
        </ext>
      </extLst>
    </bk>
    <bk>
      <extLst>
        <ext uri="{3e2802c4-a4d2-4d8b-9148-e3be6c30e623}">
          <xlrd:rvb i="9051"/>
        </ext>
      </extLst>
    </bk>
    <bk>
      <extLst>
        <ext uri="{3e2802c4-a4d2-4d8b-9148-e3be6c30e623}">
          <xlrd:rvb i="9052"/>
        </ext>
      </extLst>
    </bk>
    <bk>
      <extLst>
        <ext uri="{3e2802c4-a4d2-4d8b-9148-e3be6c30e623}">
          <xlrd:rvb i="9053"/>
        </ext>
      </extLst>
    </bk>
    <bk>
      <extLst>
        <ext uri="{3e2802c4-a4d2-4d8b-9148-e3be6c30e623}">
          <xlrd:rvb i="9054"/>
        </ext>
      </extLst>
    </bk>
    <bk>
      <extLst>
        <ext uri="{3e2802c4-a4d2-4d8b-9148-e3be6c30e623}">
          <xlrd:rvb i="9055"/>
        </ext>
      </extLst>
    </bk>
    <bk>
      <extLst>
        <ext uri="{3e2802c4-a4d2-4d8b-9148-e3be6c30e623}">
          <xlrd:rvb i="9056"/>
        </ext>
      </extLst>
    </bk>
    <bk>
      <extLst>
        <ext uri="{3e2802c4-a4d2-4d8b-9148-e3be6c30e623}">
          <xlrd:rvb i="9057"/>
        </ext>
      </extLst>
    </bk>
    <bk>
      <extLst>
        <ext uri="{3e2802c4-a4d2-4d8b-9148-e3be6c30e623}">
          <xlrd:rvb i="9058"/>
        </ext>
      </extLst>
    </bk>
    <bk>
      <extLst>
        <ext uri="{3e2802c4-a4d2-4d8b-9148-e3be6c30e623}">
          <xlrd:rvb i="9059"/>
        </ext>
      </extLst>
    </bk>
    <bk>
      <extLst>
        <ext uri="{3e2802c4-a4d2-4d8b-9148-e3be6c30e623}">
          <xlrd:rvb i="9060"/>
        </ext>
      </extLst>
    </bk>
    <bk>
      <extLst>
        <ext uri="{3e2802c4-a4d2-4d8b-9148-e3be6c30e623}">
          <xlrd:rvb i="9061"/>
        </ext>
      </extLst>
    </bk>
    <bk>
      <extLst>
        <ext uri="{3e2802c4-a4d2-4d8b-9148-e3be6c30e623}">
          <xlrd:rvb i="9062"/>
        </ext>
      </extLst>
    </bk>
    <bk>
      <extLst>
        <ext uri="{3e2802c4-a4d2-4d8b-9148-e3be6c30e623}">
          <xlrd:rvb i="9063"/>
        </ext>
      </extLst>
    </bk>
    <bk>
      <extLst>
        <ext uri="{3e2802c4-a4d2-4d8b-9148-e3be6c30e623}">
          <xlrd:rvb i="9064"/>
        </ext>
      </extLst>
    </bk>
    <bk>
      <extLst>
        <ext uri="{3e2802c4-a4d2-4d8b-9148-e3be6c30e623}">
          <xlrd:rvb i="9065"/>
        </ext>
      </extLst>
    </bk>
    <bk>
      <extLst>
        <ext uri="{3e2802c4-a4d2-4d8b-9148-e3be6c30e623}">
          <xlrd:rvb i="9066"/>
        </ext>
      </extLst>
    </bk>
    <bk>
      <extLst>
        <ext uri="{3e2802c4-a4d2-4d8b-9148-e3be6c30e623}">
          <xlrd:rvb i="9067"/>
        </ext>
      </extLst>
    </bk>
    <bk>
      <extLst>
        <ext uri="{3e2802c4-a4d2-4d8b-9148-e3be6c30e623}">
          <xlrd:rvb i="9068"/>
        </ext>
      </extLst>
    </bk>
    <bk>
      <extLst>
        <ext uri="{3e2802c4-a4d2-4d8b-9148-e3be6c30e623}">
          <xlrd:rvb i="9069"/>
        </ext>
      </extLst>
    </bk>
    <bk>
      <extLst>
        <ext uri="{3e2802c4-a4d2-4d8b-9148-e3be6c30e623}">
          <xlrd:rvb i="9070"/>
        </ext>
      </extLst>
    </bk>
    <bk>
      <extLst>
        <ext uri="{3e2802c4-a4d2-4d8b-9148-e3be6c30e623}">
          <xlrd:rvb i="9071"/>
        </ext>
      </extLst>
    </bk>
    <bk>
      <extLst>
        <ext uri="{3e2802c4-a4d2-4d8b-9148-e3be6c30e623}">
          <xlrd:rvb i="9072"/>
        </ext>
      </extLst>
    </bk>
    <bk>
      <extLst>
        <ext uri="{3e2802c4-a4d2-4d8b-9148-e3be6c30e623}">
          <xlrd:rvb i="9073"/>
        </ext>
      </extLst>
    </bk>
    <bk>
      <extLst>
        <ext uri="{3e2802c4-a4d2-4d8b-9148-e3be6c30e623}">
          <xlrd:rvb i="9074"/>
        </ext>
      </extLst>
    </bk>
    <bk>
      <extLst>
        <ext uri="{3e2802c4-a4d2-4d8b-9148-e3be6c30e623}">
          <xlrd:rvb i="9075"/>
        </ext>
      </extLst>
    </bk>
    <bk>
      <extLst>
        <ext uri="{3e2802c4-a4d2-4d8b-9148-e3be6c30e623}">
          <xlrd:rvb i="9076"/>
        </ext>
      </extLst>
    </bk>
    <bk>
      <extLst>
        <ext uri="{3e2802c4-a4d2-4d8b-9148-e3be6c30e623}">
          <xlrd:rvb i="9077"/>
        </ext>
      </extLst>
    </bk>
    <bk>
      <extLst>
        <ext uri="{3e2802c4-a4d2-4d8b-9148-e3be6c30e623}">
          <xlrd:rvb i="9078"/>
        </ext>
      </extLst>
    </bk>
    <bk>
      <extLst>
        <ext uri="{3e2802c4-a4d2-4d8b-9148-e3be6c30e623}">
          <xlrd:rvb i="9079"/>
        </ext>
      </extLst>
    </bk>
    <bk>
      <extLst>
        <ext uri="{3e2802c4-a4d2-4d8b-9148-e3be6c30e623}">
          <xlrd:rvb i="9080"/>
        </ext>
      </extLst>
    </bk>
    <bk>
      <extLst>
        <ext uri="{3e2802c4-a4d2-4d8b-9148-e3be6c30e623}">
          <xlrd:rvb i="9081"/>
        </ext>
      </extLst>
    </bk>
    <bk>
      <extLst>
        <ext uri="{3e2802c4-a4d2-4d8b-9148-e3be6c30e623}">
          <xlrd:rvb i="9082"/>
        </ext>
      </extLst>
    </bk>
    <bk>
      <extLst>
        <ext uri="{3e2802c4-a4d2-4d8b-9148-e3be6c30e623}">
          <xlrd:rvb i="9083"/>
        </ext>
      </extLst>
    </bk>
    <bk>
      <extLst>
        <ext uri="{3e2802c4-a4d2-4d8b-9148-e3be6c30e623}">
          <xlrd:rvb i="9084"/>
        </ext>
      </extLst>
    </bk>
    <bk>
      <extLst>
        <ext uri="{3e2802c4-a4d2-4d8b-9148-e3be6c30e623}">
          <xlrd:rvb i="9085"/>
        </ext>
      </extLst>
    </bk>
    <bk>
      <extLst>
        <ext uri="{3e2802c4-a4d2-4d8b-9148-e3be6c30e623}">
          <xlrd:rvb i="9086"/>
        </ext>
      </extLst>
    </bk>
    <bk>
      <extLst>
        <ext uri="{3e2802c4-a4d2-4d8b-9148-e3be6c30e623}">
          <xlrd:rvb i="9087"/>
        </ext>
      </extLst>
    </bk>
    <bk>
      <extLst>
        <ext uri="{3e2802c4-a4d2-4d8b-9148-e3be6c30e623}">
          <xlrd:rvb i="9088"/>
        </ext>
      </extLst>
    </bk>
    <bk>
      <extLst>
        <ext uri="{3e2802c4-a4d2-4d8b-9148-e3be6c30e623}">
          <xlrd:rvb i="9089"/>
        </ext>
      </extLst>
    </bk>
    <bk>
      <extLst>
        <ext uri="{3e2802c4-a4d2-4d8b-9148-e3be6c30e623}">
          <xlrd:rvb i="9090"/>
        </ext>
      </extLst>
    </bk>
    <bk>
      <extLst>
        <ext uri="{3e2802c4-a4d2-4d8b-9148-e3be6c30e623}">
          <xlrd:rvb i="9091"/>
        </ext>
      </extLst>
    </bk>
    <bk>
      <extLst>
        <ext uri="{3e2802c4-a4d2-4d8b-9148-e3be6c30e623}">
          <xlrd:rvb i="9092"/>
        </ext>
      </extLst>
    </bk>
    <bk>
      <extLst>
        <ext uri="{3e2802c4-a4d2-4d8b-9148-e3be6c30e623}">
          <xlrd:rvb i="9093"/>
        </ext>
      </extLst>
    </bk>
    <bk>
      <extLst>
        <ext uri="{3e2802c4-a4d2-4d8b-9148-e3be6c30e623}">
          <xlrd:rvb i="9094"/>
        </ext>
      </extLst>
    </bk>
    <bk>
      <extLst>
        <ext uri="{3e2802c4-a4d2-4d8b-9148-e3be6c30e623}">
          <xlrd:rvb i="9095"/>
        </ext>
      </extLst>
    </bk>
    <bk>
      <extLst>
        <ext uri="{3e2802c4-a4d2-4d8b-9148-e3be6c30e623}">
          <xlrd:rvb i="9096"/>
        </ext>
      </extLst>
    </bk>
    <bk>
      <extLst>
        <ext uri="{3e2802c4-a4d2-4d8b-9148-e3be6c30e623}">
          <xlrd:rvb i="9097"/>
        </ext>
      </extLst>
    </bk>
    <bk>
      <extLst>
        <ext uri="{3e2802c4-a4d2-4d8b-9148-e3be6c30e623}">
          <xlrd:rvb i="9098"/>
        </ext>
      </extLst>
    </bk>
    <bk>
      <extLst>
        <ext uri="{3e2802c4-a4d2-4d8b-9148-e3be6c30e623}">
          <xlrd:rvb i="9099"/>
        </ext>
      </extLst>
    </bk>
    <bk>
      <extLst>
        <ext uri="{3e2802c4-a4d2-4d8b-9148-e3be6c30e623}">
          <xlrd:rvb i="9100"/>
        </ext>
      </extLst>
    </bk>
    <bk>
      <extLst>
        <ext uri="{3e2802c4-a4d2-4d8b-9148-e3be6c30e623}">
          <xlrd:rvb i="9101"/>
        </ext>
      </extLst>
    </bk>
    <bk>
      <extLst>
        <ext uri="{3e2802c4-a4d2-4d8b-9148-e3be6c30e623}">
          <xlrd:rvb i="9102"/>
        </ext>
      </extLst>
    </bk>
    <bk>
      <extLst>
        <ext uri="{3e2802c4-a4d2-4d8b-9148-e3be6c30e623}">
          <xlrd:rvb i="9103"/>
        </ext>
      </extLst>
    </bk>
    <bk>
      <extLst>
        <ext uri="{3e2802c4-a4d2-4d8b-9148-e3be6c30e623}">
          <xlrd:rvb i="9104"/>
        </ext>
      </extLst>
    </bk>
    <bk>
      <extLst>
        <ext uri="{3e2802c4-a4d2-4d8b-9148-e3be6c30e623}">
          <xlrd:rvb i="9105"/>
        </ext>
      </extLst>
    </bk>
    <bk>
      <extLst>
        <ext uri="{3e2802c4-a4d2-4d8b-9148-e3be6c30e623}">
          <xlrd:rvb i="9106"/>
        </ext>
      </extLst>
    </bk>
    <bk>
      <extLst>
        <ext uri="{3e2802c4-a4d2-4d8b-9148-e3be6c30e623}">
          <xlrd:rvb i="9107"/>
        </ext>
      </extLst>
    </bk>
    <bk>
      <extLst>
        <ext uri="{3e2802c4-a4d2-4d8b-9148-e3be6c30e623}">
          <xlrd:rvb i="9108"/>
        </ext>
      </extLst>
    </bk>
    <bk>
      <extLst>
        <ext uri="{3e2802c4-a4d2-4d8b-9148-e3be6c30e623}">
          <xlrd:rvb i="9109"/>
        </ext>
      </extLst>
    </bk>
    <bk>
      <extLst>
        <ext uri="{3e2802c4-a4d2-4d8b-9148-e3be6c30e623}">
          <xlrd:rvb i="9110"/>
        </ext>
      </extLst>
    </bk>
    <bk>
      <extLst>
        <ext uri="{3e2802c4-a4d2-4d8b-9148-e3be6c30e623}">
          <xlrd:rvb i="9111"/>
        </ext>
      </extLst>
    </bk>
    <bk>
      <extLst>
        <ext uri="{3e2802c4-a4d2-4d8b-9148-e3be6c30e623}">
          <xlrd:rvb i="9112"/>
        </ext>
      </extLst>
    </bk>
    <bk>
      <extLst>
        <ext uri="{3e2802c4-a4d2-4d8b-9148-e3be6c30e623}">
          <xlrd:rvb i="9113"/>
        </ext>
      </extLst>
    </bk>
    <bk>
      <extLst>
        <ext uri="{3e2802c4-a4d2-4d8b-9148-e3be6c30e623}">
          <xlrd:rvb i="9114"/>
        </ext>
      </extLst>
    </bk>
    <bk>
      <extLst>
        <ext uri="{3e2802c4-a4d2-4d8b-9148-e3be6c30e623}">
          <xlrd:rvb i="9115"/>
        </ext>
      </extLst>
    </bk>
    <bk>
      <extLst>
        <ext uri="{3e2802c4-a4d2-4d8b-9148-e3be6c30e623}">
          <xlrd:rvb i="9116"/>
        </ext>
      </extLst>
    </bk>
    <bk>
      <extLst>
        <ext uri="{3e2802c4-a4d2-4d8b-9148-e3be6c30e623}">
          <xlrd:rvb i="9117"/>
        </ext>
      </extLst>
    </bk>
    <bk>
      <extLst>
        <ext uri="{3e2802c4-a4d2-4d8b-9148-e3be6c30e623}">
          <xlrd:rvb i="9118"/>
        </ext>
      </extLst>
    </bk>
    <bk>
      <extLst>
        <ext uri="{3e2802c4-a4d2-4d8b-9148-e3be6c30e623}">
          <xlrd:rvb i="9119"/>
        </ext>
      </extLst>
    </bk>
    <bk>
      <extLst>
        <ext uri="{3e2802c4-a4d2-4d8b-9148-e3be6c30e623}">
          <xlrd:rvb i="9120"/>
        </ext>
      </extLst>
    </bk>
    <bk>
      <extLst>
        <ext uri="{3e2802c4-a4d2-4d8b-9148-e3be6c30e623}">
          <xlrd:rvb i="9121"/>
        </ext>
      </extLst>
    </bk>
    <bk>
      <extLst>
        <ext uri="{3e2802c4-a4d2-4d8b-9148-e3be6c30e623}">
          <xlrd:rvb i="9122"/>
        </ext>
      </extLst>
    </bk>
    <bk>
      <extLst>
        <ext uri="{3e2802c4-a4d2-4d8b-9148-e3be6c30e623}">
          <xlrd:rvb i="9123"/>
        </ext>
      </extLst>
    </bk>
    <bk>
      <extLst>
        <ext uri="{3e2802c4-a4d2-4d8b-9148-e3be6c30e623}">
          <xlrd:rvb i="9124"/>
        </ext>
      </extLst>
    </bk>
    <bk>
      <extLst>
        <ext uri="{3e2802c4-a4d2-4d8b-9148-e3be6c30e623}">
          <xlrd:rvb i="9125"/>
        </ext>
      </extLst>
    </bk>
    <bk>
      <extLst>
        <ext uri="{3e2802c4-a4d2-4d8b-9148-e3be6c30e623}">
          <xlrd:rvb i="9126"/>
        </ext>
      </extLst>
    </bk>
    <bk>
      <extLst>
        <ext uri="{3e2802c4-a4d2-4d8b-9148-e3be6c30e623}">
          <xlrd:rvb i="9127"/>
        </ext>
      </extLst>
    </bk>
    <bk>
      <extLst>
        <ext uri="{3e2802c4-a4d2-4d8b-9148-e3be6c30e623}">
          <xlrd:rvb i="9128"/>
        </ext>
      </extLst>
    </bk>
    <bk>
      <extLst>
        <ext uri="{3e2802c4-a4d2-4d8b-9148-e3be6c30e623}">
          <xlrd:rvb i="9129"/>
        </ext>
      </extLst>
    </bk>
    <bk>
      <extLst>
        <ext uri="{3e2802c4-a4d2-4d8b-9148-e3be6c30e623}">
          <xlrd:rvb i="9130"/>
        </ext>
      </extLst>
    </bk>
    <bk>
      <extLst>
        <ext uri="{3e2802c4-a4d2-4d8b-9148-e3be6c30e623}">
          <xlrd:rvb i="9131"/>
        </ext>
      </extLst>
    </bk>
    <bk>
      <extLst>
        <ext uri="{3e2802c4-a4d2-4d8b-9148-e3be6c30e623}">
          <xlrd:rvb i="9132"/>
        </ext>
      </extLst>
    </bk>
    <bk>
      <extLst>
        <ext uri="{3e2802c4-a4d2-4d8b-9148-e3be6c30e623}">
          <xlrd:rvb i="9133"/>
        </ext>
      </extLst>
    </bk>
    <bk>
      <extLst>
        <ext uri="{3e2802c4-a4d2-4d8b-9148-e3be6c30e623}">
          <xlrd:rvb i="9134"/>
        </ext>
      </extLst>
    </bk>
    <bk>
      <extLst>
        <ext uri="{3e2802c4-a4d2-4d8b-9148-e3be6c30e623}">
          <xlrd:rvb i="9135"/>
        </ext>
      </extLst>
    </bk>
    <bk>
      <extLst>
        <ext uri="{3e2802c4-a4d2-4d8b-9148-e3be6c30e623}">
          <xlrd:rvb i="9136"/>
        </ext>
      </extLst>
    </bk>
    <bk>
      <extLst>
        <ext uri="{3e2802c4-a4d2-4d8b-9148-e3be6c30e623}">
          <xlrd:rvb i="9137"/>
        </ext>
      </extLst>
    </bk>
    <bk>
      <extLst>
        <ext uri="{3e2802c4-a4d2-4d8b-9148-e3be6c30e623}">
          <xlrd:rvb i="9138"/>
        </ext>
      </extLst>
    </bk>
    <bk>
      <extLst>
        <ext uri="{3e2802c4-a4d2-4d8b-9148-e3be6c30e623}">
          <xlrd:rvb i="9139"/>
        </ext>
      </extLst>
    </bk>
    <bk>
      <extLst>
        <ext uri="{3e2802c4-a4d2-4d8b-9148-e3be6c30e623}">
          <xlrd:rvb i="9140"/>
        </ext>
      </extLst>
    </bk>
    <bk>
      <extLst>
        <ext uri="{3e2802c4-a4d2-4d8b-9148-e3be6c30e623}">
          <xlrd:rvb i="9141"/>
        </ext>
      </extLst>
    </bk>
    <bk>
      <extLst>
        <ext uri="{3e2802c4-a4d2-4d8b-9148-e3be6c30e623}">
          <xlrd:rvb i="9142"/>
        </ext>
      </extLst>
    </bk>
    <bk>
      <extLst>
        <ext uri="{3e2802c4-a4d2-4d8b-9148-e3be6c30e623}">
          <xlrd:rvb i="9143"/>
        </ext>
      </extLst>
    </bk>
    <bk>
      <extLst>
        <ext uri="{3e2802c4-a4d2-4d8b-9148-e3be6c30e623}">
          <xlrd:rvb i="9144"/>
        </ext>
      </extLst>
    </bk>
    <bk>
      <extLst>
        <ext uri="{3e2802c4-a4d2-4d8b-9148-e3be6c30e623}">
          <xlrd:rvb i="9145"/>
        </ext>
      </extLst>
    </bk>
    <bk>
      <extLst>
        <ext uri="{3e2802c4-a4d2-4d8b-9148-e3be6c30e623}">
          <xlrd:rvb i="9146"/>
        </ext>
      </extLst>
    </bk>
    <bk>
      <extLst>
        <ext uri="{3e2802c4-a4d2-4d8b-9148-e3be6c30e623}">
          <xlrd:rvb i="9147"/>
        </ext>
      </extLst>
    </bk>
    <bk>
      <extLst>
        <ext uri="{3e2802c4-a4d2-4d8b-9148-e3be6c30e623}">
          <xlrd:rvb i="9148"/>
        </ext>
      </extLst>
    </bk>
    <bk>
      <extLst>
        <ext uri="{3e2802c4-a4d2-4d8b-9148-e3be6c30e623}">
          <xlrd:rvb i="9149"/>
        </ext>
      </extLst>
    </bk>
    <bk>
      <extLst>
        <ext uri="{3e2802c4-a4d2-4d8b-9148-e3be6c30e623}">
          <xlrd:rvb i="9150"/>
        </ext>
      </extLst>
    </bk>
    <bk>
      <extLst>
        <ext uri="{3e2802c4-a4d2-4d8b-9148-e3be6c30e623}">
          <xlrd:rvb i="9151"/>
        </ext>
      </extLst>
    </bk>
    <bk>
      <extLst>
        <ext uri="{3e2802c4-a4d2-4d8b-9148-e3be6c30e623}">
          <xlrd:rvb i="9152"/>
        </ext>
      </extLst>
    </bk>
    <bk>
      <extLst>
        <ext uri="{3e2802c4-a4d2-4d8b-9148-e3be6c30e623}">
          <xlrd:rvb i="9153"/>
        </ext>
      </extLst>
    </bk>
    <bk>
      <extLst>
        <ext uri="{3e2802c4-a4d2-4d8b-9148-e3be6c30e623}">
          <xlrd:rvb i="9154"/>
        </ext>
      </extLst>
    </bk>
    <bk>
      <extLst>
        <ext uri="{3e2802c4-a4d2-4d8b-9148-e3be6c30e623}">
          <xlrd:rvb i="9155"/>
        </ext>
      </extLst>
    </bk>
    <bk>
      <extLst>
        <ext uri="{3e2802c4-a4d2-4d8b-9148-e3be6c30e623}">
          <xlrd:rvb i="9156"/>
        </ext>
      </extLst>
    </bk>
    <bk>
      <extLst>
        <ext uri="{3e2802c4-a4d2-4d8b-9148-e3be6c30e623}">
          <xlrd:rvb i="9157"/>
        </ext>
      </extLst>
    </bk>
    <bk>
      <extLst>
        <ext uri="{3e2802c4-a4d2-4d8b-9148-e3be6c30e623}">
          <xlrd:rvb i="9158"/>
        </ext>
      </extLst>
    </bk>
    <bk>
      <extLst>
        <ext uri="{3e2802c4-a4d2-4d8b-9148-e3be6c30e623}">
          <xlrd:rvb i="9159"/>
        </ext>
      </extLst>
    </bk>
    <bk>
      <extLst>
        <ext uri="{3e2802c4-a4d2-4d8b-9148-e3be6c30e623}">
          <xlrd:rvb i="9160"/>
        </ext>
      </extLst>
    </bk>
    <bk>
      <extLst>
        <ext uri="{3e2802c4-a4d2-4d8b-9148-e3be6c30e623}">
          <xlrd:rvb i="9161"/>
        </ext>
      </extLst>
    </bk>
    <bk>
      <extLst>
        <ext uri="{3e2802c4-a4d2-4d8b-9148-e3be6c30e623}">
          <xlrd:rvb i="9162"/>
        </ext>
      </extLst>
    </bk>
    <bk>
      <extLst>
        <ext uri="{3e2802c4-a4d2-4d8b-9148-e3be6c30e623}">
          <xlrd:rvb i="9163"/>
        </ext>
      </extLst>
    </bk>
    <bk>
      <extLst>
        <ext uri="{3e2802c4-a4d2-4d8b-9148-e3be6c30e623}">
          <xlrd:rvb i="9164"/>
        </ext>
      </extLst>
    </bk>
    <bk>
      <extLst>
        <ext uri="{3e2802c4-a4d2-4d8b-9148-e3be6c30e623}">
          <xlrd:rvb i="9165"/>
        </ext>
      </extLst>
    </bk>
    <bk>
      <extLst>
        <ext uri="{3e2802c4-a4d2-4d8b-9148-e3be6c30e623}">
          <xlrd:rvb i="9166"/>
        </ext>
      </extLst>
    </bk>
    <bk>
      <extLst>
        <ext uri="{3e2802c4-a4d2-4d8b-9148-e3be6c30e623}">
          <xlrd:rvb i="9167"/>
        </ext>
      </extLst>
    </bk>
    <bk>
      <extLst>
        <ext uri="{3e2802c4-a4d2-4d8b-9148-e3be6c30e623}">
          <xlrd:rvb i="9168"/>
        </ext>
      </extLst>
    </bk>
    <bk>
      <extLst>
        <ext uri="{3e2802c4-a4d2-4d8b-9148-e3be6c30e623}">
          <xlrd:rvb i="9169"/>
        </ext>
      </extLst>
    </bk>
    <bk>
      <extLst>
        <ext uri="{3e2802c4-a4d2-4d8b-9148-e3be6c30e623}">
          <xlrd:rvb i="9170"/>
        </ext>
      </extLst>
    </bk>
    <bk>
      <extLst>
        <ext uri="{3e2802c4-a4d2-4d8b-9148-e3be6c30e623}">
          <xlrd:rvb i="9171"/>
        </ext>
      </extLst>
    </bk>
    <bk>
      <extLst>
        <ext uri="{3e2802c4-a4d2-4d8b-9148-e3be6c30e623}">
          <xlrd:rvb i="9172"/>
        </ext>
      </extLst>
    </bk>
    <bk>
      <extLst>
        <ext uri="{3e2802c4-a4d2-4d8b-9148-e3be6c30e623}">
          <xlrd:rvb i="9173"/>
        </ext>
      </extLst>
    </bk>
    <bk>
      <extLst>
        <ext uri="{3e2802c4-a4d2-4d8b-9148-e3be6c30e623}">
          <xlrd:rvb i="9174"/>
        </ext>
      </extLst>
    </bk>
    <bk>
      <extLst>
        <ext uri="{3e2802c4-a4d2-4d8b-9148-e3be6c30e623}">
          <xlrd:rvb i="9175"/>
        </ext>
      </extLst>
    </bk>
    <bk>
      <extLst>
        <ext uri="{3e2802c4-a4d2-4d8b-9148-e3be6c30e623}">
          <xlrd:rvb i="9176"/>
        </ext>
      </extLst>
    </bk>
    <bk>
      <extLst>
        <ext uri="{3e2802c4-a4d2-4d8b-9148-e3be6c30e623}">
          <xlrd:rvb i="9177"/>
        </ext>
      </extLst>
    </bk>
    <bk>
      <extLst>
        <ext uri="{3e2802c4-a4d2-4d8b-9148-e3be6c30e623}">
          <xlrd:rvb i="9178"/>
        </ext>
      </extLst>
    </bk>
    <bk>
      <extLst>
        <ext uri="{3e2802c4-a4d2-4d8b-9148-e3be6c30e623}">
          <xlrd:rvb i="9179"/>
        </ext>
      </extLst>
    </bk>
    <bk>
      <extLst>
        <ext uri="{3e2802c4-a4d2-4d8b-9148-e3be6c30e623}">
          <xlrd:rvb i="9180"/>
        </ext>
      </extLst>
    </bk>
    <bk>
      <extLst>
        <ext uri="{3e2802c4-a4d2-4d8b-9148-e3be6c30e623}">
          <xlrd:rvb i="9181"/>
        </ext>
      </extLst>
    </bk>
    <bk>
      <extLst>
        <ext uri="{3e2802c4-a4d2-4d8b-9148-e3be6c30e623}">
          <xlrd:rvb i="9182"/>
        </ext>
      </extLst>
    </bk>
    <bk>
      <extLst>
        <ext uri="{3e2802c4-a4d2-4d8b-9148-e3be6c30e623}">
          <xlrd:rvb i="9183"/>
        </ext>
      </extLst>
    </bk>
    <bk>
      <extLst>
        <ext uri="{3e2802c4-a4d2-4d8b-9148-e3be6c30e623}">
          <xlrd:rvb i="9184"/>
        </ext>
      </extLst>
    </bk>
    <bk>
      <extLst>
        <ext uri="{3e2802c4-a4d2-4d8b-9148-e3be6c30e623}">
          <xlrd:rvb i="9185"/>
        </ext>
      </extLst>
    </bk>
    <bk>
      <extLst>
        <ext uri="{3e2802c4-a4d2-4d8b-9148-e3be6c30e623}">
          <xlrd:rvb i="9186"/>
        </ext>
      </extLst>
    </bk>
    <bk>
      <extLst>
        <ext uri="{3e2802c4-a4d2-4d8b-9148-e3be6c30e623}">
          <xlrd:rvb i="9187"/>
        </ext>
      </extLst>
    </bk>
    <bk>
      <extLst>
        <ext uri="{3e2802c4-a4d2-4d8b-9148-e3be6c30e623}">
          <xlrd:rvb i="9188"/>
        </ext>
      </extLst>
    </bk>
    <bk>
      <extLst>
        <ext uri="{3e2802c4-a4d2-4d8b-9148-e3be6c30e623}">
          <xlrd:rvb i="9189"/>
        </ext>
      </extLst>
    </bk>
    <bk>
      <extLst>
        <ext uri="{3e2802c4-a4d2-4d8b-9148-e3be6c30e623}">
          <xlrd:rvb i="9190"/>
        </ext>
      </extLst>
    </bk>
    <bk>
      <extLst>
        <ext uri="{3e2802c4-a4d2-4d8b-9148-e3be6c30e623}">
          <xlrd:rvb i="9191"/>
        </ext>
      </extLst>
    </bk>
    <bk>
      <extLst>
        <ext uri="{3e2802c4-a4d2-4d8b-9148-e3be6c30e623}">
          <xlrd:rvb i="9192"/>
        </ext>
      </extLst>
    </bk>
    <bk>
      <extLst>
        <ext uri="{3e2802c4-a4d2-4d8b-9148-e3be6c30e623}">
          <xlrd:rvb i="9193"/>
        </ext>
      </extLst>
    </bk>
    <bk>
      <extLst>
        <ext uri="{3e2802c4-a4d2-4d8b-9148-e3be6c30e623}">
          <xlrd:rvb i="9194"/>
        </ext>
      </extLst>
    </bk>
    <bk>
      <extLst>
        <ext uri="{3e2802c4-a4d2-4d8b-9148-e3be6c30e623}">
          <xlrd:rvb i="9195"/>
        </ext>
      </extLst>
    </bk>
    <bk>
      <extLst>
        <ext uri="{3e2802c4-a4d2-4d8b-9148-e3be6c30e623}">
          <xlrd:rvb i="9196"/>
        </ext>
      </extLst>
    </bk>
    <bk>
      <extLst>
        <ext uri="{3e2802c4-a4d2-4d8b-9148-e3be6c30e623}">
          <xlrd:rvb i="9197"/>
        </ext>
      </extLst>
    </bk>
    <bk>
      <extLst>
        <ext uri="{3e2802c4-a4d2-4d8b-9148-e3be6c30e623}">
          <xlrd:rvb i="9198"/>
        </ext>
      </extLst>
    </bk>
    <bk>
      <extLst>
        <ext uri="{3e2802c4-a4d2-4d8b-9148-e3be6c30e623}">
          <xlrd:rvb i="9199"/>
        </ext>
      </extLst>
    </bk>
    <bk>
      <extLst>
        <ext uri="{3e2802c4-a4d2-4d8b-9148-e3be6c30e623}">
          <xlrd:rvb i="9200"/>
        </ext>
      </extLst>
    </bk>
    <bk>
      <extLst>
        <ext uri="{3e2802c4-a4d2-4d8b-9148-e3be6c30e623}">
          <xlrd:rvb i="9201"/>
        </ext>
      </extLst>
    </bk>
    <bk>
      <extLst>
        <ext uri="{3e2802c4-a4d2-4d8b-9148-e3be6c30e623}">
          <xlrd:rvb i="9202"/>
        </ext>
      </extLst>
    </bk>
    <bk>
      <extLst>
        <ext uri="{3e2802c4-a4d2-4d8b-9148-e3be6c30e623}">
          <xlrd:rvb i="9203"/>
        </ext>
      </extLst>
    </bk>
    <bk>
      <extLst>
        <ext uri="{3e2802c4-a4d2-4d8b-9148-e3be6c30e623}">
          <xlrd:rvb i="9204"/>
        </ext>
      </extLst>
    </bk>
    <bk>
      <extLst>
        <ext uri="{3e2802c4-a4d2-4d8b-9148-e3be6c30e623}">
          <xlrd:rvb i="9205"/>
        </ext>
      </extLst>
    </bk>
    <bk>
      <extLst>
        <ext uri="{3e2802c4-a4d2-4d8b-9148-e3be6c30e623}">
          <xlrd:rvb i="9206"/>
        </ext>
      </extLst>
    </bk>
    <bk>
      <extLst>
        <ext uri="{3e2802c4-a4d2-4d8b-9148-e3be6c30e623}">
          <xlrd:rvb i="9207"/>
        </ext>
      </extLst>
    </bk>
    <bk>
      <extLst>
        <ext uri="{3e2802c4-a4d2-4d8b-9148-e3be6c30e623}">
          <xlrd:rvb i="9208"/>
        </ext>
      </extLst>
    </bk>
    <bk>
      <extLst>
        <ext uri="{3e2802c4-a4d2-4d8b-9148-e3be6c30e623}">
          <xlrd:rvb i="9209"/>
        </ext>
      </extLst>
    </bk>
    <bk>
      <extLst>
        <ext uri="{3e2802c4-a4d2-4d8b-9148-e3be6c30e623}">
          <xlrd:rvb i="9210"/>
        </ext>
      </extLst>
    </bk>
    <bk>
      <extLst>
        <ext uri="{3e2802c4-a4d2-4d8b-9148-e3be6c30e623}">
          <xlrd:rvb i="9211"/>
        </ext>
      </extLst>
    </bk>
    <bk>
      <extLst>
        <ext uri="{3e2802c4-a4d2-4d8b-9148-e3be6c30e623}">
          <xlrd:rvb i="9212"/>
        </ext>
      </extLst>
    </bk>
    <bk>
      <extLst>
        <ext uri="{3e2802c4-a4d2-4d8b-9148-e3be6c30e623}">
          <xlrd:rvb i="9213"/>
        </ext>
      </extLst>
    </bk>
    <bk>
      <extLst>
        <ext uri="{3e2802c4-a4d2-4d8b-9148-e3be6c30e623}">
          <xlrd:rvb i="9214"/>
        </ext>
      </extLst>
    </bk>
    <bk>
      <extLst>
        <ext uri="{3e2802c4-a4d2-4d8b-9148-e3be6c30e623}">
          <xlrd:rvb i="9215"/>
        </ext>
      </extLst>
    </bk>
    <bk>
      <extLst>
        <ext uri="{3e2802c4-a4d2-4d8b-9148-e3be6c30e623}">
          <xlrd:rvb i="9216"/>
        </ext>
      </extLst>
    </bk>
    <bk>
      <extLst>
        <ext uri="{3e2802c4-a4d2-4d8b-9148-e3be6c30e623}">
          <xlrd:rvb i="9217"/>
        </ext>
      </extLst>
    </bk>
    <bk>
      <extLst>
        <ext uri="{3e2802c4-a4d2-4d8b-9148-e3be6c30e623}">
          <xlrd:rvb i="9218"/>
        </ext>
      </extLst>
    </bk>
    <bk>
      <extLst>
        <ext uri="{3e2802c4-a4d2-4d8b-9148-e3be6c30e623}">
          <xlrd:rvb i="9219"/>
        </ext>
      </extLst>
    </bk>
    <bk>
      <extLst>
        <ext uri="{3e2802c4-a4d2-4d8b-9148-e3be6c30e623}">
          <xlrd:rvb i="9220"/>
        </ext>
      </extLst>
    </bk>
    <bk>
      <extLst>
        <ext uri="{3e2802c4-a4d2-4d8b-9148-e3be6c30e623}">
          <xlrd:rvb i="9221"/>
        </ext>
      </extLst>
    </bk>
    <bk>
      <extLst>
        <ext uri="{3e2802c4-a4d2-4d8b-9148-e3be6c30e623}">
          <xlrd:rvb i="9222"/>
        </ext>
      </extLst>
    </bk>
    <bk>
      <extLst>
        <ext uri="{3e2802c4-a4d2-4d8b-9148-e3be6c30e623}">
          <xlrd:rvb i="9223"/>
        </ext>
      </extLst>
    </bk>
    <bk>
      <extLst>
        <ext uri="{3e2802c4-a4d2-4d8b-9148-e3be6c30e623}">
          <xlrd:rvb i="9224"/>
        </ext>
      </extLst>
    </bk>
    <bk>
      <extLst>
        <ext uri="{3e2802c4-a4d2-4d8b-9148-e3be6c30e623}">
          <xlrd:rvb i="9225"/>
        </ext>
      </extLst>
    </bk>
    <bk>
      <extLst>
        <ext uri="{3e2802c4-a4d2-4d8b-9148-e3be6c30e623}">
          <xlrd:rvb i="9226"/>
        </ext>
      </extLst>
    </bk>
    <bk>
      <extLst>
        <ext uri="{3e2802c4-a4d2-4d8b-9148-e3be6c30e623}">
          <xlrd:rvb i="9227"/>
        </ext>
      </extLst>
    </bk>
    <bk>
      <extLst>
        <ext uri="{3e2802c4-a4d2-4d8b-9148-e3be6c30e623}">
          <xlrd:rvb i="9228"/>
        </ext>
      </extLst>
    </bk>
    <bk>
      <extLst>
        <ext uri="{3e2802c4-a4d2-4d8b-9148-e3be6c30e623}">
          <xlrd:rvb i="9229"/>
        </ext>
      </extLst>
    </bk>
    <bk>
      <extLst>
        <ext uri="{3e2802c4-a4d2-4d8b-9148-e3be6c30e623}">
          <xlrd:rvb i="9230"/>
        </ext>
      </extLst>
    </bk>
    <bk>
      <extLst>
        <ext uri="{3e2802c4-a4d2-4d8b-9148-e3be6c30e623}">
          <xlrd:rvb i="9231"/>
        </ext>
      </extLst>
    </bk>
    <bk>
      <extLst>
        <ext uri="{3e2802c4-a4d2-4d8b-9148-e3be6c30e623}">
          <xlrd:rvb i="9232"/>
        </ext>
      </extLst>
    </bk>
    <bk>
      <extLst>
        <ext uri="{3e2802c4-a4d2-4d8b-9148-e3be6c30e623}">
          <xlrd:rvb i="9233"/>
        </ext>
      </extLst>
    </bk>
    <bk>
      <extLst>
        <ext uri="{3e2802c4-a4d2-4d8b-9148-e3be6c30e623}">
          <xlrd:rvb i="9234"/>
        </ext>
      </extLst>
    </bk>
    <bk>
      <extLst>
        <ext uri="{3e2802c4-a4d2-4d8b-9148-e3be6c30e623}">
          <xlrd:rvb i="9235"/>
        </ext>
      </extLst>
    </bk>
    <bk>
      <extLst>
        <ext uri="{3e2802c4-a4d2-4d8b-9148-e3be6c30e623}">
          <xlrd:rvb i="9236"/>
        </ext>
      </extLst>
    </bk>
    <bk>
      <extLst>
        <ext uri="{3e2802c4-a4d2-4d8b-9148-e3be6c30e623}">
          <xlrd:rvb i="9237"/>
        </ext>
      </extLst>
    </bk>
    <bk>
      <extLst>
        <ext uri="{3e2802c4-a4d2-4d8b-9148-e3be6c30e623}">
          <xlrd:rvb i="9238"/>
        </ext>
      </extLst>
    </bk>
    <bk>
      <extLst>
        <ext uri="{3e2802c4-a4d2-4d8b-9148-e3be6c30e623}">
          <xlrd:rvb i="9239"/>
        </ext>
      </extLst>
    </bk>
    <bk>
      <extLst>
        <ext uri="{3e2802c4-a4d2-4d8b-9148-e3be6c30e623}">
          <xlrd:rvb i="9240"/>
        </ext>
      </extLst>
    </bk>
    <bk>
      <extLst>
        <ext uri="{3e2802c4-a4d2-4d8b-9148-e3be6c30e623}">
          <xlrd:rvb i="9241"/>
        </ext>
      </extLst>
    </bk>
    <bk>
      <extLst>
        <ext uri="{3e2802c4-a4d2-4d8b-9148-e3be6c30e623}">
          <xlrd:rvb i="9242"/>
        </ext>
      </extLst>
    </bk>
    <bk>
      <extLst>
        <ext uri="{3e2802c4-a4d2-4d8b-9148-e3be6c30e623}">
          <xlrd:rvb i="9243"/>
        </ext>
      </extLst>
    </bk>
    <bk>
      <extLst>
        <ext uri="{3e2802c4-a4d2-4d8b-9148-e3be6c30e623}">
          <xlrd:rvb i="9244"/>
        </ext>
      </extLst>
    </bk>
    <bk>
      <extLst>
        <ext uri="{3e2802c4-a4d2-4d8b-9148-e3be6c30e623}">
          <xlrd:rvb i="9245"/>
        </ext>
      </extLst>
    </bk>
    <bk>
      <extLst>
        <ext uri="{3e2802c4-a4d2-4d8b-9148-e3be6c30e623}">
          <xlrd:rvb i="9246"/>
        </ext>
      </extLst>
    </bk>
    <bk>
      <extLst>
        <ext uri="{3e2802c4-a4d2-4d8b-9148-e3be6c30e623}">
          <xlrd:rvb i="9247"/>
        </ext>
      </extLst>
    </bk>
    <bk>
      <extLst>
        <ext uri="{3e2802c4-a4d2-4d8b-9148-e3be6c30e623}">
          <xlrd:rvb i="9248"/>
        </ext>
      </extLst>
    </bk>
    <bk>
      <extLst>
        <ext uri="{3e2802c4-a4d2-4d8b-9148-e3be6c30e623}">
          <xlrd:rvb i="9249"/>
        </ext>
      </extLst>
    </bk>
    <bk>
      <extLst>
        <ext uri="{3e2802c4-a4d2-4d8b-9148-e3be6c30e623}">
          <xlrd:rvb i="9250"/>
        </ext>
      </extLst>
    </bk>
    <bk>
      <extLst>
        <ext uri="{3e2802c4-a4d2-4d8b-9148-e3be6c30e623}">
          <xlrd:rvb i="9251"/>
        </ext>
      </extLst>
    </bk>
    <bk>
      <extLst>
        <ext uri="{3e2802c4-a4d2-4d8b-9148-e3be6c30e623}">
          <xlrd:rvb i="9252"/>
        </ext>
      </extLst>
    </bk>
    <bk>
      <extLst>
        <ext uri="{3e2802c4-a4d2-4d8b-9148-e3be6c30e623}">
          <xlrd:rvb i="9253"/>
        </ext>
      </extLst>
    </bk>
    <bk>
      <extLst>
        <ext uri="{3e2802c4-a4d2-4d8b-9148-e3be6c30e623}">
          <xlrd:rvb i="9254"/>
        </ext>
      </extLst>
    </bk>
    <bk>
      <extLst>
        <ext uri="{3e2802c4-a4d2-4d8b-9148-e3be6c30e623}">
          <xlrd:rvb i="9255"/>
        </ext>
      </extLst>
    </bk>
    <bk>
      <extLst>
        <ext uri="{3e2802c4-a4d2-4d8b-9148-e3be6c30e623}">
          <xlrd:rvb i="9256"/>
        </ext>
      </extLst>
    </bk>
    <bk>
      <extLst>
        <ext uri="{3e2802c4-a4d2-4d8b-9148-e3be6c30e623}">
          <xlrd:rvb i="9257"/>
        </ext>
      </extLst>
    </bk>
    <bk>
      <extLst>
        <ext uri="{3e2802c4-a4d2-4d8b-9148-e3be6c30e623}">
          <xlrd:rvb i="9258"/>
        </ext>
      </extLst>
    </bk>
    <bk>
      <extLst>
        <ext uri="{3e2802c4-a4d2-4d8b-9148-e3be6c30e623}">
          <xlrd:rvb i="9259"/>
        </ext>
      </extLst>
    </bk>
    <bk>
      <extLst>
        <ext uri="{3e2802c4-a4d2-4d8b-9148-e3be6c30e623}">
          <xlrd:rvb i="9260"/>
        </ext>
      </extLst>
    </bk>
    <bk>
      <extLst>
        <ext uri="{3e2802c4-a4d2-4d8b-9148-e3be6c30e623}">
          <xlrd:rvb i="9261"/>
        </ext>
      </extLst>
    </bk>
    <bk>
      <extLst>
        <ext uri="{3e2802c4-a4d2-4d8b-9148-e3be6c30e623}">
          <xlrd:rvb i="9262"/>
        </ext>
      </extLst>
    </bk>
    <bk>
      <extLst>
        <ext uri="{3e2802c4-a4d2-4d8b-9148-e3be6c30e623}">
          <xlrd:rvb i="9263"/>
        </ext>
      </extLst>
    </bk>
    <bk>
      <extLst>
        <ext uri="{3e2802c4-a4d2-4d8b-9148-e3be6c30e623}">
          <xlrd:rvb i="9264"/>
        </ext>
      </extLst>
    </bk>
    <bk>
      <extLst>
        <ext uri="{3e2802c4-a4d2-4d8b-9148-e3be6c30e623}">
          <xlrd:rvb i="9265"/>
        </ext>
      </extLst>
    </bk>
    <bk>
      <extLst>
        <ext uri="{3e2802c4-a4d2-4d8b-9148-e3be6c30e623}">
          <xlrd:rvb i="9266"/>
        </ext>
      </extLst>
    </bk>
    <bk>
      <extLst>
        <ext uri="{3e2802c4-a4d2-4d8b-9148-e3be6c30e623}">
          <xlrd:rvb i="9267"/>
        </ext>
      </extLst>
    </bk>
    <bk>
      <extLst>
        <ext uri="{3e2802c4-a4d2-4d8b-9148-e3be6c30e623}">
          <xlrd:rvb i="9268"/>
        </ext>
      </extLst>
    </bk>
    <bk>
      <extLst>
        <ext uri="{3e2802c4-a4d2-4d8b-9148-e3be6c30e623}">
          <xlrd:rvb i="9269"/>
        </ext>
      </extLst>
    </bk>
    <bk>
      <extLst>
        <ext uri="{3e2802c4-a4d2-4d8b-9148-e3be6c30e623}">
          <xlrd:rvb i="9270"/>
        </ext>
      </extLst>
    </bk>
    <bk>
      <extLst>
        <ext uri="{3e2802c4-a4d2-4d8b-9148-e3be6c30e623}">
          <xlrd:rvb i="9271"/>
        </ext>
      </extLst>
    </bk>
    <bk>
      <extLst>
        <ext uri="{3e2802c4-a4d2-4d8b-9148-e3be6c30e623}">
          <xlrd:rvb i="9272"/>
        </ext>
      </extLst>
    </bk>
    <bk>
      <extLst>
        <ext uri="{3e2802c4-a4d2-4d8b-9148-e3be6c30e623}">
          <xlrd:rvb i="9273"/>
        </ext>
      </extLst>
    </bk>
    <bk>
      <extLst>
        <ext uri="{3e2802c4-a4d2-4d8b-9148-e3be6c30e623}">
          <xlrd:rvb i="9274"/>
        </ext>
      </extLst>
    </bk>
    <bk>
      <extLst>
        <ext uri="{3e2802c4-a4d2-4d8b-9148-e3be6c30e623}">
          <xlrd:rvb i="9275"/>
        </ext>
      </extLst>
    </bk>
    <bk>
      <extLst>
        <ext uri="{3e2802c4-a4d2-4d8b-9148-e3be6c30e623}">
          <xlrd:rvb i="9276"/>
        </ext>
      </extLst>
    </bk>
    <bk>
      <extLst>
        <ext uri="{3e2802c4-a4d2-4d8b-9148-e3be6c30e623}">
          <xlrd:rvb i="9277"/>
        </ext>
      </extLst>
    </bk>
    <bk>
      <extLst>
        <ext uri="{3e2802c4-a4d2-4d8b-9148-e3be6c30e623}">
          <xlrd:rvb i="9278"/>
        </ext>
      </extLst>
    </bk>
    <bk>
      <extLst>
        <ext uri="{3e2802c4-a4d2-4d8b-9148-e3be6c30e623}">
          <xlrd:rvb i="9279"/>
        </ext>
      </extLst>
    </bk>
    <bk>
      <extLst>
        <ext uri="{3e2802c4-a4d2-4d8b-9148-e3be6c30e623}">
          <xlrd:rvb i="9280"/>
        </ext>
      </extLst>
    </bk>
    <bk>
      <extLst>
        <ext uri="{3e2802c4-a4d2-4d8b-9148-e3be6c30e623}">
          <xlrd:rvb i="9281"/>
        </ext>
      </extLst>
    </bk>
    <bk>
      <extLst>
        <ext uri="{3e2802c4-a4d2-4d8b-9148-e3be6c30e623}">
          <xlrd:rvb i="9282"/>
        </ext>
      </extLst>
    </bk>
    <bk>
      <extLst>
        <ext uri="{3e2802c4-a4d2-4d8b-9148-e3be6c30e623}">
          <xlrd:rvb i="9283"/>
        </ext>
      </extLst>
    </bk>
    <bk>
      <extLst>
        <ext uri="{3e2802c4-a4d2-4d8b-9148-e3be6c30e623}">
          <xlrd:rvb i="9284"/>
        </ext>
      </extLst>
    </bk>
    <bk>
      <extLst>
        <ext uri="{3e2802c4-a4d2-4d8b-9148-e3be6c30e623}">
          <xlrd:rvb i="9285"/>
        </ext>
      </extLst>
    </bk>
    <bk>
      <extLst>
        <ext uri="{3e2802c4-a4d2-4d8b-9148-e3be6c30e623}">
          <xlrd:rvb i="9286"/>
        </ext>
      </extLst>
    </bk>
    <bk>
      <extLst>
        <ext uri="{3e2802c4-a4d2-4d8b-9148-e3be6c30e623}">
          <xlrd:rvb i="9287"/>
        </ext>
      </extLst>
    </bk>
    <bk>
      <extLst>
        <ext uri="{3e2802c4-a4d2-4d8b-9148-e3be6c30e623}">
          <xlrd:rvb i="9288"/>
        </ext>
      </extLst>
    </bk>
    <bk>
      <extLst>
        <ext uri="{3e2802c4-a4d2-4d8b-9148-e3be6c30e623}">
          <xlrd:rvb i="9289"/>
        </ext>
      </extLst>
    </bk>
    <bk>
      <extLst>
        <ext uri="{3e2802c4-a4d2-4d8b-9148-e3be6c30e623}">
          <xlrd:rvb i="9290"/>
        </ext>
      </extLst>
    </bk>
    <bk>
      <extLst>
        <ext uri="{3e2802c4-a4d2-4d8b-9148-e3be6c30e623}">
          <xlrd:rvb i="9291"/>
        </ext>
      </extLst>
    </bk>
    <bk>
      <extLst>
        <ext uri="{3e2802c4-a4d2-4d8b-9148-e3be6c30e623}">
          <xlrd:rvb i="9292"/>
        </ext>
      </extLst>
    </bk>
    <bk>
      <extLst>
        <ext uri="{3e2802c4-a4d2-4d8b-9148-e3be6c30e623}">
          <xlrd:rvb i="9293"/>
        </ext>
      </extLst>
    </bk>
    <bk>
      <extLst>
        <ext uri="{3e2802c4-a4d2-4d8b-9148-e3be6c30e623}">
          <xlrd:rvb i="9294"/>
        </ext>
      </extLst>
    </bk>
    <bk>
      <extLst>
        <ext uri="{3e2802c4-a4d2-4d8b-9148-e3be6c30e623}">
          <xlrd:rvb i="9295"/>
        </ext>
      </extLst>
    </bk>
    <bk>
      <extLst>
        <ext uri="{3e2802c4-a4d2-4d8b-9148-e3be6c30e623}">
          <xlrd:rvb i="9296"/>
        </ext>
      </extLst>
    </bk>
    <bk>
      <extLst>
        <ext uri="{3e2802c4-a4d2-4d8b-9148-e3be6c30e623}">
          <xlrd:rvb i="9297"/>
        </ext>
      </extLst>
    </bk>
    <bk>
      <extLst>
        <ext uri="{3e2802c4-a4d2-4d8b-9148-e3be6c30e623}">
          <xlrd:rvb i="9298"/>
        </ext>
      </extLst>
    </bk>
    <bk>
      <extLst>
        <ext uri="{3e2802c4-a4d2-4d8b-9148-e3be6c30e623}">
          <xlrd:rvb i="9299"/>
        </ext>
      </extLst>
    </bk>
    <bk>
      <extLst>
        <ext uri="{3e2802c4-a4d2-4d8b-9148-e3be6c30e623}">
          <xlrd:rvb i="9300"/>
        </ext>
      </extLst>
    </bk>
    <bk>
      <extLst>
        <ext uri="{3e2802c4-a4d2-4d8b-9148-e3be6c30e623}">
          <xlrd:rvb i="9301"/>
        </ext>
      </extLst>
    </bk>
    <bk>
      <extLst>
        <ext uri="{3e2802c4-a4d2-4d8b-9148-e3be6c30e623}">
          <xlrd:rvb i="9302"/>
        </ext>
      </extLst>
    </bk>
    <bk>
      <extLst>
        <ext uri="{3e2802c4-a4d2-4d8b-9148-e3be6c30e623}">
          <xlrd:rvb i="9303"/>
        </ext>
      </extLst>
    </bk>
    <bk>
      <extLst>
        <ext uri="{3e2802c4-a4d2-4d8b-9148-e3be6c30e623}">
          <xlrd:rvb i="9304"/>
        </ext>
      </extLst>
    </bk>
    <bk>
      <extLst>
        <ext uri="{3e2802c4-a4d2-4d8b-9148-e3be6c30e623}">
          <xlrd:rvb i="9305"/>
        </ext>
      </extLst>
    </bk>
    <bk>
      <extLst>
        <ext uri="{3e2802c4-a4d2-4d8b-9148-e3be6c30e623}">
          <xlrd:rvb i="9306"/>
        </ext>
      </extLst>
    </bk>
    <bk>
      <extLst>
        <ext uri="{3e2802c4-a4d2-4d8b-9148-e3be6c30e623}">
          <xlrd:rvb i="9307"/>
        </ext>
      </extLst>
    </bk>
    <bk>
      <extLst>
        <ext uri="{3e2802c4-a4d2-4d8b-9148-e3be6c30e623}">
          <xlrd:rvb i="9308"/>
        </ext>
      </extLst>
    </bk>
    <bk>
      <extLst>
        <ext uri="{3e2802c4-a4d2-4d8b-9148-e3be6c30e623}">
          <xlrd:rvb i="9309"/>
        </ext>
      </extLst>
    </bk>
    <bk>
      <extLst>
        <ext uri="{3e2802c4-a4d2-4d8b-9148-e3be6c30e623}">
          <xlrd:rvb i="9310"/>
        </ext>
      </extLst>
    </bk>
    <bk>
      <extLst>
        <ext uri="{3e2802c4-a4d2-4d8b-9148-e3be6c30e623}">
          <xlrd:rvb i="9311"/>
        </ext>
      </extLst>
    </bk>
    <bk>
      <extLst>
        <ext uri="{3e2802c4-a4d2-4d8b-9148-e3be6c30e623}">
          <xlrd:rvb i="9312"/>
        </ext>
      </extLst>
    </bk>
    <bk>
      <extLst>
        <ext uri="{3e2802c4-a4d2-4d8b-9148-e3be6c30e623}">
          <xlrd:rvb i="9313"/>
        </ext>
      </extLst>
    </bk>
    <bk>
      <extLst>
        <ext uri="{3e2802c4-a4d2-4d8b-9148-e3be6c30e623}">
          <xlrd:rvb i="9314"/>
        </ext>
      </extLst>
    </bk>
    <bk>
      <extLst>
        <ext uri="{3e2802c4-a4d2-4d8b-9148-e3be6c30e623}">
          <xlrd:rvb i="9315"/>
        </ext>
      </extLst>
    </bk>
    <bk>
      <extLst>
        <ext uri="{3e2802c4-a4d2-4d8b-9148-e3be6c30e623}">
          <xlrd:rvb i="9316"/>
        </ext>
      </extLst>
    </bk>
    <bk>
      <extLst>
        <ext uri="{3e2802c4-a4d2-4d8b-9148-e3be6c30e623}">
          <xlrd:rvb i="9317"/>
        </ext>
      </extLst>
    </bk>
    <bk>
      <extLst>
        <ext uri="{3e2802c4-a4d2-4d8b-9148-e3be6c30e623}">
          <xlrd:rvb i="9318"/>
        </ext>
      </extLst>
    </bk>
    <bk>
      <extLst>
        <ext uri="{3e2802c4-a4d2-4d8b-9148-e3be6c30e623}">
          <xlrd:rvb i="9319"/>
        </ext>
      </extLst>
    </bk>
    <bk>
      <extLst>
        <ext uri="{3e2802c4-a4d2-4d8b-9148-e3be6c30e623}">
          <xlrd:rvb i="9320"/>
        </ext>
      </extLst>
    </bk>
    <bk>
      <extLst>
        <ext uri="{3e2802c4-a4d2-4d8b-9148-e3be6c30e623}">
          <xlrd:rvb i="9321"/>
        </ext>
      </extLst>
    </bk>
    <bk>
      <extLst>
        <ext uri="{3e2802c4-a4d2-4d8b-9148-e3be6c30e623}">
          <xlrd:rvb i="9322"/>
        </ext>
      </extLst>
    </bk>
    <bk>
      <extLst>
        <ext uri="{3e2802c4-a4d2-4d8b-9148-e3be6c30e623}">
          <xlrd:rvb i="9323"/>
        </ext>
      </extLst>
    </bk>
    <bk>
      <extLst>
        <ext uri="{3e2802c4-a4d2-4d8b-9148-e3be6c30e623}">
          <xlrd:rvb i="9324"/>
        </ext>
      </extLst>
    </bk>
    <bk>
      <extLst>
        <ext uri="{3e2802c4-a4d2-4d8b-9148-e3be6c30e623}">
          <xlrd:rvb i="9325"/>
        </ext>
      </extLst>
    </bk>
    <bk>
      <extLst>
        <ext uri="{3e2802c4-a4d2-4d8b-9148-e3be6c30e623}">
          <xlrd:rvb i="9326"/>
        </ext>
      </extLst>
    </bk>
    <bk>
      <extLst>
        <ext uri="{3e2802c4-a4d2-4d8b-9148-e3be6c30e623}">
          <xlrd:rvb i="9327"/>
        </ext>
      </extLst>
    </bk>
    <bk>
      <extLst>
        <ext uri="{3e2802c4-a4d2-4d8b-9148-e3be6c30e623}">
          <xlrd:rvb i="9328"/>
        </ext>
      </extLst>
    </bk>
    <bk>
      <extLst>
        <ext uri="{3e2802c4-a4d2-4d8b-9148-e3be6c30e623}">
          <xlrd:rvb i="9329"/>
        </ext>
      </extLst>
    </bk>
    <bk>
      <extLst>
        <ext uri="{3e2802c4-a4d2-4d8b-9148-e3be6c30e623}">
          <xlrd:rvb i="9330"/>
        </ext>
      </extLst>
    </bk>
    <bk>
      <extLst>
        <ext uri="{3e2802c4-a4d2-4d8b-9148-e3be6c30e623}">
          <xlrd:rvb i="9331"/>
        </ext>
      </extLst>
    </bk>
    <bk>
      <extLst>
        <ext uri="{3e2802c4-a4d2-4d8b-9148-e3be6c30e623}">
          <xlrd:rvb i="9332"/>
        </ext>
      </extLst>
    </bk>
    <bk>
      <extLst>
        <ext uri="{3e2802c4-a4d2-4d8b-9148-e3be6c30e623}">
          <xlrd:rvb i="9333"/>
        </ext>
      </extLst>
    </bk>
    <bk>
      <extLst>
        <ext uri="{3e2802c4-a4d2-4d8b-9148-e3be6c30e623}">
          <xlrd:rvb i="9334"/>
        </ext>
      </extLst>
    </bk>
    <bk>
      <extLst>
        <ext uri="{3e2802c4-a4d2-4d8b-9148-e3be6c30e623}">
          <xlrd:rvb i="9335"/>
        </ext>
      </extLst>
    </bk>
    <bk>
      <extLst>
        <ext uri="{3e2802c4-a4d2-4d8b-9148-e3be6c30e623}">
          <xlrd:rvb i="9336"/>
        </ext>
      </extLst>
    </bk>
    <bk>
      <extLst>
        <ext uri="{3e2802c4-a4d2-4d8b-9148-e3be6c30e623}">
          <xlrd:rvb i="9337"/>
        </ext>
      </extLst>
    </bk>
    <bk>
      <extLst>
        <ext uri="{3e2802c4-a4d2-4d8b-9148-e3be6c30e623}">
          <xlrd:rvb i="9338"/>
        </ext>
      </extLst>
    </bk>
    <bk>
      <extLst>
        <ext uri="{3e2802c4-a4d2-4d8b-9148-e3be6c30e623}">
          <xlrd:rvb i="9339"/>
        </ext>
      </extLst>
    </bk>
    <bk>
      <extLst>
        <ext uri="{3e2802c4-a4d2-4d8b-9148-e3be6c30e623}">
          <xlrd:rvb i="9340"/>
        </ext>
      </extLst>
    </bk>
    <bk>
      <extLst>
        <ext uri="{3e2802c4-a4d2-4d8b-9148-e3be6c30e623}">
          <xlrd:rvb i="9341"/>
        </ext>
      </extLst>
    </bk>
    <bk>
      <extLst>
        <ext uri="{3e2802c4-a4d2-4d8b-9148-e3be6c30e623}">
          <xlrd:rvb i="9342"/>
        </ext>
      </extLst>
    </bk>
    <bk>
      <extLst>
        <ext uri="{3e2802c4-a4d2-4d8b-9148-e3be6c30e623}">
          <xlrd:rvb i="9343"/>
        </ext>
      </extLst>
    </bk>
    <bk>
      <extLst>
        <ext uri="{3e2802c4-a4d2-4d8b-9148-e3be6c30e623}">
          <xlrd:rvb i="9344"/>
        </ext>
      </extLst>
    </bk>
    <bk>
      <extLst>
        <ext uri="{3e2802c4-a4d2-4d8b-9148-e3be6c30e623}">
          <xlrd:rvb i="9345"/>
        </ext>
      </extLst>
    </bk>
    <bk>
      <extLst>
        <ext uri="{3e2802c4-a4d2-4d8b-9148-e3be6c30e623}">
          <xlrd:rvb i="9346"/>
        </ext>
      </extLst>
    </bk>
    <bk>
      <extLst>
        <ext uri="{3e2802c4-a4d2-4d8b-9148-e3be6c30e623}">
          <xlrd:rvb i="9347"/>
        </ext>
      </extLst>
    </bk>
    <bk>
      <extLst>
        <ext uri="{3e2802c4-a4d2-4d8b-9148-e3be6c30e623}">
          <xlrd:rvb i="9348"/>
        </ext>
      </extLst>
    </bk>
    <bk>
      <extLst>
        <ext uri="{3e2802c4-a4d2-4d8b-9148-e3be6c30e623}">
          <xlrd:rvb i="9349"/>
        </ext>
      </extLst>
    </bk>
    <bk>
      <extLst>
        <ext uri="{3e2802c4-a4d2-4d8b-9148-e3be6c30e623}">
          <xlrd:rvb i="9350"/>
        </ext>
      </extLst>
    </bk>
    <bk>
      <extLst>
        <ext uri="{3e2802c4-a4d2-4d8b-9148-e3be6c30e623}">
          <xlrd:rvb i="9351"/>
        </ext>
      </extLst>
    </bk>
    <bk>
      <extLst>
        <ext uri="{3e2802c4-a4d2-4d8b-9148-e3be6c30e623}">
          <xlrd:rvb i="9352"/>
        </ext>
      </extLst>
    </bk>
    <bk>
      <extLst>
        <ext uri="{3e2802c4-a4d2-4d8b-9148-e3be6c30e623}">
          <xlrd:rvb i="9353"/>
        </ext>
      </extLst>
    </bk>
    <bk>
      <extLst>
        <ext uri="{3e2802c4-a4d2-4d8b-9148-e3be6c30e623}">
          <xlrd:rvb i="9354"/>
        </ext>
      </extLst>
    </bk>
    <bk>
      <extLst>
        <ext uri="{3e2802c4-a4d2-4d8b-9148-e3be6c30e623}">
          <xlrd:rvb i="9355"/>
        </ext>
      </extLst>
    </bk>
    <bk>
      <extLst>
        <ext uri="{3e2802c4-a4d2-4d8b-9148-e3be6c30e623}">
          <xlrd:rvb i="9356"/>
        </ext>
      </extLst>
    </bk>
    <bk>
      <extLst>
        <ext uri="{3e2802c4-a4d2-4d8b-9148-e3be6c30e623}">
          <xlrd:rvb i="9357"/>
        </ext>
      </extLst>
    </bk>
    <bk>
      <extLst>
        <ext uri="{3e2802c4-a4d2-4d8b-9148-e3be6c30e623}">
          <xlrd:rvb i="9358"/>
        </ext>
      </extLst>
    </bk>
    <bk>
      <extLst>
        <ext uri="{3e2802c4-a4d2-4d8b-9148-e3be6c30e623}">
          <xlrd:rvb i="9359"/>
        </ext>
      </extLst>
    </bk>
    <bk>
      <extLst>
        <ext uri="{3e2802c4-a4d2-4d8b-9148-e3be6c30e623}">
          <xlrd:rvb i="9360"/>
        </ext>
      </extLst>
    </bk>
    <bk>
      <extLst>
        <ext uri="{3e2802c4-a4d2-4d8b-9148-e3be6c30e623}">
          <xlrd:rvb i="9361"/>
        </ext>
      </extLst>
    </bk>
    <bk>
      <extLst>
        <ext uri="{3e2802c4-a4d2-4d8b-9148-e3be6c30e623}">
          <xlrd:rvb i="9362"/>
        </ext>
      </extLst>
    </bk>
    <bk>
      <extLst>
        <ext uri="{3e2802c4-a4d2-4d8b-9148-e3be6c30e623}">
          <xlrd:rvb i="9363"/>
        </ext>
      </extLst>
    </bk>
    <bk>
      <extLst>
        <ext uri="{3e2802c4-a4d2-4d8b-9148-e3be6c30e623}">
          <xlrd:rvb i="9364"/>
        </ext>
      </extLst>
    </bk>
    <bk>
      <extLst>
        <ext uri="{3e2802c4-a4d2-4d8b-9148-e3be6c30e623}">
          <xlrd:rvb i="9365"/>
        </ext>
      </extLst>
    </bk>
    <bk>
      <extLst>
        <ext uri="{3e2802c4-a4d2-4d8b-9148-e3be6c30e623}">
          <xlrd:rvb i="9366"/>
        </ext>
      </extLst>
    </bk>
    <bk>
      <extLst>
        <ext uri="{3e2802c4-a4d2-4d8b-9148-e3be6c30e623}">
          <xlrd:rvb i="9367"/>
        </ext>
      </extLst>
    </bk>
    <bk>
      <extLst>
        <ext uri="{3e2802c4-a4d2-4d8b-9148-e3be6c30e623}">
          <xlrd:rvb i="9368"/>
        </ext>
      </extLst>
    </bk>
    <bk>
      <extLst>
        <ext uri="{3e2802c4-a4d2-4d8b-9148-e3be6c30e623}">
          <xlrd:rvb i="9369"/>
        </ext>
      </extLst>
    </bk>
    <bk>
      <extLst>
        <ext uri="{3e2802c4-a4d2-4d8b-9148-e3be6c30e623}">
          <xlrd:rvb i="9370"/>
        </ext>
      </extLst>
    </bk>
    <bk>
      <extLst>
        <ext uri="{3e2802c4-a4d2-4d8b-9148-e3be6c30e623}">
          <xlrd:rvb i="9371"/>
        </ext>
      </extLst>
    </bk>
    <bk>
      <extLst>
        <ext uri="{3e2802c4-a4d2-4d8b-9148-e3be6c30e623}">
          <xlrd:rvb i="9372"/>
        </ext>
      </extLst>
    </bk>
    <bk>
      <extLst>
        <ext uri="{3e2802c4-a4d2-4d8b-9148-e3be6c30e623}">
          <xlrd:rvb i="9373"/>
        </ext>
      </extLst>
    </bk>
    <bk>
      <extLst>
        <ext uri="{3e2802c4-a4d2-4d8b-9148-e3be6c30e623}">
          <xlrd:rvb i="9374"/>
        </ext>
      </extLst>
    </bk>
    <bk>
      <extLst>
        <ext uri="{3e2802c4-a4d2-4d8b-9148-e3be6c30e623}">
          <xlrd:rvb i="9375"/>
        </ext>
      </extLst>
    </bk>
    <bk>
      <extLst>
        <ext uri="{3e2802c4-a4d2-4d8b-9148-e3be6c30e623}">
          <xlrd:rvb i="9376"/>
        </ext>
      </extLst>
    </bk>
    <bk>
      <extLst>
        <ext uri="{3e2802c4-a4d2-4d8b-9148-e3be6c30e623}">
          <xlrd:rvb i="9377"/>
        </ext>
      </extLst>
    </bk>
    <bk>
      <extLst>
        <ext uri="{3e2802c4-a4d2-4d8b-9148-e3be6c30e623}">
          <xlrd:rvb i="9378"/>
        </ext>
      </extLst>
    </bk>
    <bk>
      <extLst>
        <ext uri="{3e2802c4-a4d2-4d8b-9148-e3be6c30e623}">
          <xlrd:rvb i="9379"/>
        </ext>
      </extLst>
    </bk>
    <bk>
      <extLst>
        <ext uri="{3e2802c4-a4d2-4d8b-9148-e3be6c30e623}">
          <xlrd:rvb i="9380"/>
        </ext>
      </extLst>
    </bk>
    <bk>
      <extLst>
        <ext uri="{3e2802c4-a4d2-4d8b-9148-e3be6c30e623}">
          <xlrd:rvb i="9381"/>
        </ext>
      </extLst>
    </bk>
    <bk>
      <extLst>
        <ext uri="{3e2802c4-a4d2-4d8b-9148-e3be6c30e623}">
          <xlrd:rvb i="9382"/>
        </ext>
      </extLst>
    </bk>
    <bk>
      <extLst>
        <ext uri="{3e2802c4-a4d2-4d8b-9148-e3be6c30e623}">
          <xlrd:rvb i="9383"/>
        </ext>
      </extLst>
    </bk>
    <bk>
      <extLst>
        <ext uri="{3e2802c4-a4d2-4d8b-9148-e3be6c30e623}">
          <xlrd:rvb i="9384"/>
        </ext>
      </extLst>
    </bk>
    <bk>
      <extLst>
        <ext uri="{3e2802c4-a4d2-4d8b-9148-e3be6c30e623}">
          <xlrd:rvb i="9385"/>
        </ext>
      </extLst>
    </bk>
    <bk>
      <extLst>
        <ext uri="{3e2802c4-a4d2-4d8b-9148-e3be6c30e623}">
          <xlrd:rvb i="9386"/>
        </ext>
      </extLst>
    </bk>
    <bk>
      <extLst>
        <ext uri="{3e2802c4-a4d2-4d8b-9148-e3be6c30e623}">
          <xlrd:rvb i="9387"/>
        </ext>
      </extLst>
    </bk>
    <bk>
      <extLst>
        <ext uri="{3e2802c4-a4d2-4d8b-9148-e3be6c30e623}">
          <xlrd:rvb i="9388"/>
        </ext>
      </extLst>
    </bk>
    <bk>
      <extLst>
        <ext uri="{3e2802c4-a4d2-4d8b-9148-e3be6c30e623}">
          <xlrd:rvb i="9389"/>
        </ext>
      </extLst>
    </bk>
    <bk>
      <extLst>
        <ext uri="{3e2802c4-a4d2-4d8b-9148-e3be6c30e623}">
          <xlrd:rvb i="9390"/>
        </ext>
      </extLst>
    </bk>
    <bk>
      <extLst>
        <ext uri="{3e2802c4-a4d2-4d8b-9148-e3be6c30e623}">
          <xlrd:rvb i="9391"/>
        </ext>
      </extLst>
    </bk>
    <bk>
      <extLst>
        <ext uri="{3e2802c4-a4d2-4d8b-9148-e3be6c30e623}">
          <xlrd:rvb i="9392"/>
        </ext>
      </extLst>
    </bk>
    <bk>
      <extLst>
        <ext uri="{3e2802c4-a4d2-4d8b-9148-e3be6c30e623}">
          <xlrd:rvb i="9393"/>
        </ext>
      </extLst>
    </bk>
    <bk>
      <extLst>
        <ext uri="{3e2802c4-a4d2-4d8b-9148-e3be6c30e623}">
          <xlrd:rvb i="9394"/>
        </ext>
      </extLst>
    </bk>
    <bk>
      <extLst>
        <ext uri="{3e2802c4-a4d2-4d8b-9148-e3be6c30e623}">
          <xlrd:rvb i="9395"/>
        </ext>
      </extLst>
    </bk>
    <bk>
      <extLst>
        <ext uri="{3e2802c4-a4d2-4d8b-9148-e3be6c30e623}">
          <xlrd:rvb i="9396"/>
        </ext>
      </extLst>
    </bk>
    <bk>
      <extLst>
        <ext uri="{3e2802c4-a4d2-4d8b-9148-e3be6c30e623}">
          <xlrd:rvb i="9397"/>
        </ext>
      </extLst>
    </bk>
    <bk>
      <extLst>
        <ext uri="{3e2802c4-a4d2-4d8b-9148-e3be6c30e623}">
          <xlrd:rvb i="9398"/>
        </ext>
      </extLst>
    </bk>
    <bk>
      <extLst>
        <ext uri="{3e2802c4-a4d2-4d8b-9148-e3be6c30e623}">
          <xlrd:rvb i="9399"/>
        </ext>
      </extLst>
    </bk>
    <bk>
      <extLst>
        <ext uri="{3e2802c4-a4d2-4d8b-9148-e3be6c30e623}">
          <xlrd:rvb i="9400"/>
        </ext>
      </extLst>
    </bk>
    <bk>
      <extLst>
        <ext uri="{3e2802c4-a4d2-4d8b-9148-e3be6c30e623}">
          <xlrd:rvb i="9401"/>
        </ext>
      </extLst>
    </bk>
    <bk>
      <extLst>
        <ext uri="{3e2802c4-a4d2-4d8b-9148-e3be6c30e623}">
          <xlrd:rvb i="9402"/>
        </ext>
      </extLst>
    </bk>
    <bk>
      <extLst>
        <ext uri="{3e2802c4-a4d2-4d8b-9148-e3be6c30e623}">
          <xlrd:rvb i="9403"/>
        </ext>
      </extLst>
    </bk>
    <bk>
      <extLst>
        <ext uri="{3e2802c4-a4d2-4d8b-9148-e3be6c30e623}">
          <xlrd:rvb i="9404"/>
        </ext>
      </extLst>
    </bk>
    <bk>
      <extLst>
        <ext uri="{3e2802c4-a4d2-4d8b-9148-e3be6c30e623}">
          <xlrd:rvb i="9405"/>
        </ext>
      </extLst>
    </bk>
    <bk>
      <extLst>
        <ext uri="{3e2802c4-a4d2-4d8b-9148-e3be6c30e623}">
          <xlrd:rvb i="9406"/>
        </ext>
      </extLst>
    </bk>
    <bk>
      <extLst>
        <ext uri="{3e2802c4-a4d2-4d8b-9148-e3be6c30e623}">
          <xlrd:rvb i="9407"/>
        </ext>
      </extLst>
    </bk>
    <bk>
      <extLst>
        <ext uri="{3e2802c4-a4d2-4d8b-9148-e3be6c30e623}">
          <xlrd:rvb i="9408"/>
        </ext>
      </extLst>
    </bk>
    <bk>
      <extLst>
        <ext uri="{3e2802c4-a4d2-4d8b-9148-e3be6c30e623}">
          <xlrd:rvb i="9409"/>
        </ext>
      </extLst>
    </bk>
    <bk>
      <extLst>
        <ext uri="{3e2802c4-a4d2-4d8b-9148-e3be6c30e623}">
          <xlrd:rvb i="9410"/>
        </ext>
      </extLst>
    </bk>
    <bk>
      <extLst>
        <ext uri="{3e2802c4-a4d2-4d8b-9148-e3be6c30e623}">
          <xlrd:rvb i="9411"/>
        </ext>
      </extLst>
    </bk>
    <bk>
      <extLst>
        <ext uri="{3e2802c4-a4d2-4d8b-9148-e3be6c30e623}">
          <xlrd:rvb i="9412"/>
        </ext>
      </extLst>
    </bk>
    <bk>
      <extLst>
        <ext uri="{3e2802c4-a4d2-4d8b-9148-e3be6c30e623}">
          <xlrd:rvb i="9413"/>
        </ext>
      </extLst>
    </bk>
    <bk>
      <extLst>
        <ext uri="{3e2802c4-a4d2-4d8b-9148-e3be6c30e623}">
          <xlrd:rvb i="9414"/>
        </ext>
      </extLst>
    </bk>
    <bk>
      <extLst>
        <ext uri="{3e2802c4-a4d2-4d8b-9148-e3be6c30e623}">
          <xlrd:rvb i="9415"/>
        </ext>
      </extLst>
    </bk>
    <bk>
      <extLst>
        <ext uri="{3e2802c4-a4d2-4d8b-9148-e3be6c30e623}">
          <xlrd:rvb i="9416"/>
        </ext>
      </extLst>
    </bk>
    <bk>
      <extLst>
        <ext uri="{3e2802c4-a4d2-4d8b-9148-e3be6c30e623}">
          <xlrd:rvb i="9417"/>
        </ext>
      </extLst>
    </bk>
    <bk>
      <extLst>
        <ext uri="{3e2802c4-a4d2-4d8b-9148-e3be6c30e623}">
          <xlrd:rvb i="9418"/>
        </ext>
      </extLst>
    </bk>
    <bk>
      <extLst>
        <ext uri="{3e2802c4-a4d2-4d8b-9148-e3be6c30e623}">
          <xlrd:rvb i="9419"/>
        </ext>
      </extLst>
    </bk>
    <bk>
      <extLst>
        <ext uri="{3e2802c4-a4d2-4d8b-9148-e3be6c30e623}">
          <xlrd:rvb i="9420"/>
        </ext>
      </extLst>
    </bk>
    <bk>
      <extLst>
        <ext uri="{3e2802c4-a4d2-4d8b-9148-e3be6c30e623}">
          <xlrd:rvb i="9421"/>
        </ext>
      </extLst>
    </bk>
    <bk>
      <extLst>
        <ext uri="{3e2802c4-a4d2-4d8b-9148-e3be6c30e623}">
          <xlrd:rvb i="9422"/>
        </ext>
      </extLst>
    </bk>
    <bk>
      <extLst>
        <ext uri="{3e2802c4-a4d2-4d8b-9148-e3be6c30e623}">
          <xlrd:rvb i="9423"/>
        </ext>
      </extLst>
    </bk>
    <bk>
      <extLst>
        <ext uri="{3e2802c4-a4d2-4d8b-9148-e3be6c30e623}">
          <xlrd:rvb i="9424"/>
        </ext>
      </extLst>
    </bk>
    <bk>
      <extLst>
        <ext uri="{3e2802c4-a4d2-4d8b-9148-e3be6c30e623}">
          <xlrd:rvb i="9425"/>
        </ext>
      </extLst>
    </bk>
    <bk>
      <extLst>
        <ext uri="{3e2802c4-a4d2-4d8b-9148-e3be6c30e623}">
          <xlrd:rvb i="9426"/>
        </ext>
      </extLst>
    </bk>
    <bk>
      <extLst>
        <ext uri="{3e2802c4-a4d2-4d8b-9148-e3be6c30e623}">
          <xlrd:rvb i="9427"/>
        </ext>
      </extLst>
    </bk>
    <bk>
      <extLst>
        <ext uri="{3e2802c4-a4d2-4d8b-9148-e3be6c30e623}">
          <xlrd:rvb i="9428"/>
        </ext>
      </extLst>
    </bk>
    <bk>
      <extLst>
        <ext uri="{3e2802c4-a4d2-4d8b-9148-e3be6c30e623}">
          <xlrd:rvb i="9429"/>
        </ext>
      </extLst>
    </bk>
    <bk>
      <extLst>
        <ext uri="{3e2802c4-a4d2-4d8b-9148-e3be6c30e623}">
          <xlrd:rvb i="9430"/>
        </ext>
      </extLst>
    </bk>
    <bk>
      <extLst>
        <ext uri="{3e2802c4-a4d2-4d8b-9148-e3be6c30e623}">
          <xlrd:rvb i="9431"/>
        </ext>
      </extLst>
    </bk>
    <bk>
      <extLst>
        <ext uri="{3e2802c4-a4d2-4d8b-9148-e3be6c30e623}">
          <xlrd:rvb i="9432"/>
        </ext>
      </extLst>
    </bk>
    <bk>
      <extLst>
        <ext uri="{3e2802c4-a4d2-4d8b-9148-e3be6c30e623}">
          <xlrd:rvb i="9433"/>
        </ext>
      </extLst>
    </bk>
    <bk>
      <extLst>
        <ext uri="{3e2802c4-a4d2-4d8b-9148-e3be6c30e623}">
          <xlrd:rvb i="9434"/>
        </ext>
      </extLst>
    </bk>
    <bk>
      <extLst>
        <ext uri="{3e2802c4-a4d2-4d8b-9148-e3be6c30e623}">
          <xlrd:rvb i="9435"/>
        </ext>
      </extLst>
    </bk>
    <bk>
      <extLst>
        <ext uri="{3e2802c4-a4d2-4d8b-9148-e3be6c30e623}">
          <xlrd:rvb i="9436"/>
        </ext>
      </extLst>
    </bk>
    <bk>
      <extLst>
        <ext uri="{3e2802c4-a4d2-4d8b-9148-e3be6c30e623}">
          <xlrd:rvb i="9437"/>
        </ext>
      </extLst>
    </bk>
    <bk>
      <extLst>
        <ext uri="{3e2802c4-a4d2-4d8b-9148-e3be6c30e623}">
          <xlrd:rvb i="9438"/>
        </ext>
      </extLst>
    </bk>
    <bk>
      <extLst>
        <ext uri="{3e2802c4-a4d2-4d8b-9148-e3be6c30e623}">
          <xlrd:rvb i="9439"/>
        </ext>
      </extLst>
    </bk>
    <bk>
      <extLst>
        <ext uri="{3e2802c4-a4d2-4d8b-9148-e3be6c30e623}">
          <xlrd:rvb i="9440"/>
        </ext>
      </extLst>
    </bk>
    <bk>
      <extLst>
        <ext uri="{3e2802c4-a4d2-4d8b-9148-e3be6c30e623}">
          <xlrd:rvb i="9441"/>
        </ext>
      </extLst>
    </bk>
    <bk>
      <extLst>
        <ext uri="{3e2802c4-a4d2-4d8b-9148-e3be6c30e623}">
          <xlrd:rvb i="9442"/>
        </ext>
      </extLst>
    </bk>
    <bk>
      <extLst>
        <ext uri="{3e2802c4-a4d2-4d8b-9148-e3be6c30e623}">
          <xlrd:rvb i="9443"/>
        </ext>
      </extLst>
    </bk>
    <bk>
      <extLst>
        <ext uri="{3e2802c4-a4d2-4d8b-9148-e3be6c30e623}">
          <xlrd:rvb i="9444"/>
        </ext>
      </extLst>
    </bk>
    <bk>
      <extLst>
        <ext uri="{3e2802c4-a4d2-4d8b-9148-e3be6c30e623}">
          <xlrd:rvb i="9445"/>
        </ext>
      </extLst>
    </bk>
    <bk>
      <extLst>
        <ext uri="{3e2802c4-a4d2-4d8b-9148-e3be6c30e623}">
          <xlrd:rvb i="9446"/>
        </ext>
      </extLst>
    </bk>
    <bk>
      <extLst>
        <ext uri="{3e2802c4-a4d2-4d8b-9148-e3be6c30e623}">
          <xlrd:rvb i="9447"/>
        </ext>
      </extLst>
    </bk>
    <bk>
      <extLst>
        <ext uri="{3e2802c4-a4d2-4d8b-9148-e3be6c30e623}">
          <xlrd:rvb i="9448"/>
        </ext>
      </extLst>
    </bk>
    <bk>
      <extLst>
        <ext uri="{3e2802c4-a4d2-4d8b-9148-e3be6c30e623}">
          <xlrd:rvb i="9449"/>
        </ext>
      </extLst>
    </bk>
    <bk>
      <extLst>
        <ext uri="{3e2802c4-a4d2-4d8b-9148-e3be6c30e623}">
          <xlrd:rvb i="9450"/>
        </ext>
      </extLst>
    </bk>
    <bk>
      <extLst>
        <ext uri="{3e2802c4-a4d2-4d8b-9148-e3be6c30e623}">
          <xlrd:rvb i="9451"/>
        </ext>
      </extLst>
    </bk>
    <bk>
      <extLst>
        <ext uri="{3e2802c4-a4d2-4d8b-9148-e3be6c30e623}">
          <xlrd:rvb i="9452"/>
        </ext>
      </extLst>
    </bk>
    <bk>
      <extLst>
        <ext uri="{3e2802c4-a4d2-4d8b-9148-e3be6c30e623}">
          <xlrd:rvb i="9453"/>
        </ext>
      </extLst>
    </bk>
    <bk>
      <extLst>
        <ext uri="{3e2802c4-a4d2-4d8b-9148-e3be6c30e623}">
          <xlrd:rvb i="9454"/>
        </ext>
      </extLst>
    </bk>
    <bk>
      <extLst>
        <ext uri="{3e2802c4-a4d2-4d8b-9148-e3be6c30e623}">
          <xlrd:rvb i="9455"/>
        </ext>
      </extLst>
    </bk>
    <bk>
      <extLst>
        <ext uri="{3e2802c4-a4d2-4d8b-9148-e3be6c30e623}">
          <xlrd:rvb i="9456"/>
        </ext>
      </extLst>
    </bk>
    <bk>
      <extLst>
        <ext uri="{3e2802c4-a4d2-4d8b-9148-e3be6c30e623}">
          <xlrd:rvb i="9457"/>
        </ext>
      </extLst>
    </bk>
    <bk>
      <extLst>
        <ext uri="{3e2802c4-a4d2-4d8b-9148-e3be6c30e623}">
          <xlrd:rvb i="9458"/>
        </ext>
      </extLst>
    </bk>
    <bk>
      <extLst>
        <ext uri="{3e2802c4-a4d2-4d8b-9148-e3be6c30e623}">
          <xlrd:rvb i="9459"/>
        </ext>
      </extLst>
    </bk>
    <bk>
      <extLst>
        <ext uri="{3e2802c4-a4d2-4d8b-9148-e3be6c30e623}">
          <xlrd:rvb i="9460"/>
        </ext>
      </extLst>
    </bk>
    <bk>
      <extLst>
        <ext uri="{3e2802c4-a4d2-4d8b-9148-e3be6c30e623}">
          <xlrd:rvb i="9461"/>
        </ext>
      </extLst>
    </bk>
    <bk>
      <extLst>
        <ext uri="{3e2802c4-a4d2-4d8b-9148-e3be6c30e623}">
          <xlrd:rvb i="9462"/>
        </ext>
      </extLst>
    </bk>
    <bk>
      <extLst>
        <ext uri="{3e2802c4-a4d2-4d8b-9148-e3be6c30e623}">
          <xlrd:rvb i="9463"/>
        </ext>
      </extLst>
    </bk>
    <bk>
      <extLst>
        <ext uri="{3e2802c4-a4d2-4d8b-9148-e3be6c30e623}">
          <xlrd:rvb i="9464"/>
        </ext>
      </extLst>
    </bk>
    <bk>
      <extLst>
        <ext uri="{3e2802c4-a4d2-4d8b-9148-e3be6c30e623}">
          <xlrd:rvb i="9465"/>
        </ext>
      </extLst>
    </bk>
    <bk>
      <extLst>
        <ext uri="{3e2802c4-a4d2-4d8b-9148-e3be6c30e623}">
          <xlrd:rvb i="9466"/>
        </ext>
      </extLst>
    </bk>
    <bk>
      <extLst>
        <ext uri="{3e2802c4-a4d2-4d8b-9148-e3be6c30e623}">
          <xlrd:rvb i="9467"/>
        </ext>
      </extLst>
    </bk>
    <bk>
      <extLst>
        <ext uri="{3e2802c4-a4d2-4d8b-9148-e3be6c30e623}">
          <xlrd:rvb i="9468"/>
        </ext>
      </extLst>
    </bk>
    <bk>
      <extLst>
        <ext uri="{3e2802c4-a4d2-4d8b-9148-e3be6c30e623}">
          <xlrd:rvb i="9469"/>
        </ext>
      </extLst>
    </bk>
    <bk>
      <extLst>
        <ext uri="{3e2802c4-a4d2-4d8b-9148-e3be6c30e623}">
          <xlrd:rvb i="9470"/>
        </ext>
      </extLst>
    </bk>
    <bk>
      <extLst>
        <ext uri="{3e2802c4-a4d2-4d8b-9148-e3be6c30e623}">
          <xlrd:rvb i="9471"/>
        </ext>
      </extLst>
    </bk>
    <bk>
      <extLst>
        <ext uri="{3e2802c4-a4d2-4d8b-9148-e3be6c30e623}">
          <xlrd:rvb i="9472"/>
        </ext>
      </extLst>
    </bk>
    <bk>
      <extLst>
        <ext uri="{3e2802c4-a4d2-4d8b-9148-e3be6c30e623}">
          <xlrd:rvb i="9473"/>
        </ext>
      </extLst>
    </bk>
    <bk>
      <extLst>
        <ext uri="{3e2802c4-a4d2-4d8b-9148-e3be6c30e623}">
          <xlrd:rvb i="9474"/>
        </ext>
      </extLst>
    </bk>
    <bk>
      <extLst>
        <ext uri="{3e2802c4-a4d2-4d8b-9148-e3be6c30e623}">
          <xlrd:rvb i="9475"/>
        </ext>
      </extLst>
    </bk>
    <bk>
      <extLst>
        <ext uri="{3e2802c4-a4d2-4d8b-9148-e3be6c30e623}">
          <xlrd:rvb i="9476"/>
        </ext>
      </extLst>
    </bk>
    <bk>
      <extLst>
        <ext uri="{3e2802c4-a4d2-4d8b-9148-e3be6c30e623}">
          <xlrd:rvb i="9477"/>
        </ext>
      </extLst>
    </bk>
    <bk>
      <extLst>
        <ext uri="{3e2802c4-a4d2-4d8b-9148-e3be6c30e623}">
          <xlrd:rvb i="9478"/>
        </ext>
      </extLst>
    </bk>
    <bk>
      <extLst>
        <ext uri="{3e2802c4-a4d2-4d8b-9148-e3be6c30e623}">
          <xlrd:rvb i="9479"/>
        </ext>
      </extLst>
    </bk>
    <bk>
      <extLst>
        <ext uri="{3e2802c4-a4d2-4d8b-9148-e3be6c30e623}">
          <xlrd:rvb i="9480"/>
        </ext>
      </extLst>
    </bk>
    <bk>
      <extLst>
        <ext uri="{3e2802c4-a4d2-4d8b-9148-e3be6c30e623}">
          <xlrd:rvb i="9481"/>
        </ext>
      </extLst>
    </bk>
    <bk>
      <extLst>
        <ext uri="{3e2802c4-a4d2-4d8b-9148-e3be6c30e623}">
          <xlrd:rvb i="9482"/>
        </ext>
      </extLst>
    </bk>
    <bk>
      <extLst>
        <ext uri="{3e2802c4-a4d2-4d8b-9148-e3be6c30e623}">
          <xlrd:rvb i="9483"/>
        </ext>
      </extLst>
    </bk>
    <bk>
      <extLst>
        <ext uri="{3e2802c4-a4d2-4d8b-9148-e3be6c30e623}">
          <xlrd:rvb i="9484"/>
        </ext>
      </extLst>
    </bk>
    <bk>
      <extLst>
        <ext uri="{3e2802c4-a4d2-4d8b-9148-e3be6c30e623}">
          <xlrd:rvb i="9485"/>
        </ext>
      </extLst>
    </bk>
    <bk>
      <extLst>
        <ext uri="{3e2802c4-a4d2-4d8b-9148-e3be6c30e623}">
          <xlrd:rvb i="9486"/>
        </ext>
      </extLst>
    </bk>
    <bk>
      <extLst>
        <ext uri="{3e2802c4-a4d2-4d8b-9148-e3be6c30e623}">
          <xlrd:rvb i="9487"/>
        </ext>
      </extLst>
    </bk>
    <bk>
      <extLst>
        <ext uri="{3e2802c4-a4d2-4d8b-9148-e3be6c30e623}">
          <xlrd:rvb i="9488"/>
        </ext>
      </extLst>
    </bk>
    <bk>
      <extLst>
        <ext uri="{3e2802c4-a4d2-4d8b-9148-e3be6c30e623}">
          <xlrd:rvb i="9489"/>
        </ext>
      </extLst>
    </bk>
    <bk>
      <extLst>
        <ext uri="{3e2802c4-a4d2-4d8b-9148-e3be6c30e623}">
          <xlrd:rvb i="9490"/>
        </ext>
      </extLst>
    </bk>
    <bk>
      <extLst>
        <ext uri="{3e2802c4-a4d2-4d8b-9148-e3be6c30e623}">
          <xlrd:rvb i="9491"/>
        </ext>
      </extLst>
    </bk>
    <bk>
      <extLst>
        <ext uri="{3e2802c4-a4d2-4d8b-9148-e3be6c30e623}">
          <xlrd:rvb i="9492"/>
        </ext>
      </extLst>
    </bk>
    <bk>
      <extLst>
        <ext uri="{3e2802c4-a4d2-4d8b-9148-e3be6c30e623}">
          <xlrd:rvb i="9493"/>
        </ext>
      </extLst>
    </bk>
    <bk>
      <extLst>
        <ext uri="{3e2802c4-a4d2-4d8b-9148-e3be6c30e623}">
          <xlrd:rvb i="9494"/>
        </ext>
      </extLst>
    </bk>
    <bk>
      <extLst>
        <ext uri="{3e2802c4-a4d2-4d8b-9148-e3be6c30e623}">
          <xlrd:rvb i="9495"/>
        </ext>
      </extLst>
    </bk>
    <bk>
      <extLst>
        <ext uri="{3e2802c4-a4d2-4d8b-9148-e3be6c30e623}">
          <xlrd:rvb i="9496"/>
        </ext>
      </extLst>
    </bk>
    <bk>
      <extLst>
        <ext uri="{3e2802c4-a4d2-4d8b-9148-e3be6c30e623}">
          <xlrd:rvb i="9497"/>
        </ext>
      </extLst>
    </bk>
    <bk>
      <extLst>
        <ext uri="{3e2802c4-a4d2-4d8b-9148-e3be6c30e623}">
          <xlrd:rvb i="9498"/>
        </ext>
      </extLst>
    </bk>
    <bk>
      <extLst>
        <ext uri="{3e2802c4-a4d2-4d8b-9148-e3be6c30e623}">
          <xlrd:rvb i="9499"/>
        </ext>
      </extLst>
    </bk>
    <bk>
      <extLst>
        <ext uri="{3e2802c4-a4d2-4d8b-9148-e3be6c30e623}">
          <xlrd:rvb i="9500"/>
        </ext>
      </extLst>
    </bk>
    <bk>
      <extLst>
        <ext uri="{3e2802c4-a4d2-4d8b-9148-e3be6c30e623}">
          <xlrd:rvb i="9501"/>
        </ext>
      </extLst>
    </bk>
    <bk>
      <extLst>
        <ext uri="{3e2802c4-a4d2-4d8b-9148-e3be6c30e623}">
          <xlrd:rvb i="9502"/>
        </ext>
      </extLst>
    </bk>
    <bk>
      <extLst>
        <ext uri="{3e2802c4-a4d2-4d8b-9148-e3be6c30e623}">
          <xlrd:rvb i="9503"/>
        </ext>
      </extLst>
    </bk>
    <bk>
      <extLst>
        <ext uri="{3e2802c4-a4d2-4d8b-9148-e3be6c30e623}">
          <xlrd:rvb i="9504"/>
        </ext>
      </extLst>
    </bk>
    <bk>
      <extLst>
        <ext uri="{3e2802c4-a4d2-4d8b-9148-e3be6c30e623}">
          <xlrd:rvb i="9505"/>
        </ext>
      </extLst>
    </bk>
    <bk>
      <extLst>
        <ext uri="{3e2802c4-a4d2-4d8b-9148-e3be6c30e623}">
          <xlrd:rvb i="9506"/>
        </ext>
      </extLst>
    </bk>
    <bk>
      <extLst>
        <ext uri="{3e2802c4-a4d2-4d8b-9148-e3be6c30e623}">
          <xlrd:rvb i="9507"/>
        </ext>
      </extLst>
    </bk>
    <bk>
      <extLst>
        <ext uri="{3e2802c4-a4d2-4d8b-9148-e3be6c30e623}">
          <xlrd:rvb i="9508"/>
        </ext>
      </extLst>
    </bk>
    <bk>
      <extLst>
        <ext uri="{3e2802c4-a4d2-4d8b-9148-e3be6c30e623}">
          <xlrd:rvb i="9509"/>
        </ext>
      </extLst>
    </bk>
    <bk>
      <extLst>
        <ext uri="{3e2802c4-a4d2-4d8b-9148-e3be6c30e623}">
          <xlrd:rvb i="9510"/>
        </ext>
      </extLst>
    </bk>
    <bk>
      <extLst>
        <ext uri="{3e2802c4-a4d2-4d8b-9148-e3be6c30e623}">
          <xlrd:rvb i="9511"/>
        </ext>
      </extLst>
    </bk>
    <bk>
      <extLst>
        <ext uri="{3e2802c4-a4d2-4d8b-9148-e3be6c30e623}">
          <xlrd:rvb i="9512"/>
        </ext>
      </extLst>
    </bk>
    <bk>
      <extLst>
        <ext uri="{3e2802c4-a4d2-4d8b-9148-e3be6c30e623}">
          <xlrd:rvb i="9513"/>
        </ext>
      </extLst>
    </bk>
    <bk>
      <extLst>
        <ext uri="{3e2802c4-a4d2-4d8b-9148-e3be6c30e623}">
          <xlrd:rvb i="9514"/>
        </ext>
      </extLst>
    </bk>
    <bk>
      <extLst>
        <ext uri="{3e2802c4-a4d2-4d8b-9148-e3be6c30e623}">
          <xlrd:rvb i="9515"/>
        </ext>
      </extLst>
    </bk>
    <bk>
      <extLst>
        <ext uri="{3e2802c4-a4d2-4d8b-9148-e3be6c30e623}">
          <xlrd:rvb i="9516"/>
        </ext>
      </extLst>
    </bk>
    <bk>
      <extLst>
        <ext uri="{3e2802c4-a4d2-4d8b-9148-e3be6c30e623}">
          <xlrd:rvb i="9517"/>
        </ext>
      </extLst>
    </bk>
    <bk>
      <extLst>
        <ext uri="{3e2802c4-a4d2-4d8b-9148-e3be6c30e623}">
          <xlrd:rvb i="9518"/>
        </ext>
      </extLst>
    </bk>
    <bk>
      <extLst>
        <ext uri="{3e2802c4-a4d2-4d8b-9148-e3be6c30e623}">
          <xlrd:rvb i="9519"/>
        </ext>
      </extLst>
    </bk>
    <bk>
      <extLst>
        <ext uri="{3e2802c4-a4d2-4d8b-9148-e3be6c30e623}">
          <xlrd:rvb i="9520"/>
        </ext>
      </extLst>
    </bk>
    <bk>
      <extLst>
        <ext uri="{3e2802c4-a4d2-4d8b-9148-e3be6c30e623}">
          <xlrd:rvb i="9521"/>
        </ext>
      </extLst>
    </bk>
    <bk>
      <extLst>
        <ext uri="{3e2802c4-a4d2-4d8b-9148-e3be6c30e623}">
          <xlrd:rvb i="9522"/>
        </ext>
      </extLst>
    </bk>
    <bk>
      <extLst>
        <ext uri="{3e2802c4-a4d2-4d8b-9148-e3be6c30e623}">
          <xlrd:rvb i="9523"/>
        </ext>
      </extLst>
    </bk>
    <bk>
      <extLst>
        <ext uri="{3e2802c4-a4d2-4d8b-9148-e3be6c30e623}">
          <xlrd:rvb i="9524"/>
        </ext>
      </extLst>
    </bk>
    <bk>
      <extLst>
        <ext uri="{3e2802c4-a4d2-4d8b-9148-e3be6c30e623}">
          <xlrd:rvb i="9525"/>
        </ext>
      </extLst>
    </bk>
    <bk>
      <extLst>
        <ext uri="{3e2802c4-a4d2-4d8b-9148-e3be6c30e623}">
          <xlrd:rvb i="9526"/>
        </ext>
      </extLst>
    </bk>
    <bk>
      <extLst>
        <ext uri="{3e2802c4-a4d2-4d8b-9148-e3be6c30e623}">
          <xlrd:rvb i="9527"/>
        </ext>
      </extLst>
    </bk>
    <bk>
      <extLst>
        <ext uri="{3e2802c4-a4d2-4d8b-9148-e3be6c30e623}">
          <xlrd:rvb i="9528"/>
        </ext>
      </extLst>
    </bk>
    <bk>
      <extLst>
        <ext uri="{3e2802c4-a4d2-4d8b-9148-e3be6c30e623}">
          <xlrd:rvb i="9529"/>
        </ext>
      </extLst>
    </bk>
    <bk>
      <extLst>
        <ext uri="{3e2802c4-a4d2-4d8b-9148-e3be6c30e623}">
          <xlrd:rvb i="9530"/>
        </ext>
      </extLst>
    </bk>
    <bk>
      <extLst>
        <ext uri="{3e2802c4-a4d2-4d8b-9148-e3be6c30e623}">
          <xlrd:rvb i="9531"/>
        </ext>
      </extLst>
    </bk>
    <bk>
      <extLst>
        <ext uri="{3e2802c4-a4d2-4d8b-9148-e3be6c30e623}">
          <xlrd:rvb i="9532"/>
        </ext>
      </extLst>
    </bk>
    <bk>
      <extLst>
        <ext uri="{3e2802c4-a4d2-4d8b-9148-e3be6c30e623}">
          <xlrd:rvb i="9533"/>
        </ext>
      </extLst>
    </bk>
    <bk>
      <extLst>
        <ext uri="{3e2802c4-a4d2-4d8b-9148-e3be6c30e623}">
          <xlrd:rvb i="9534"/>
        </ext>
      </extLst>
    </bk>
    <bk>
      <extLst>
        <ext uri="{3e2802c4-a4d2-4d8b-9148-e3be6c30e623}">
          <xlrd:rvb i="9535"/>
        </ext>
      </extLst>
    </bk>
    <bk>
      <extLst>
        <ext uri="{3e2802c4-a4d2-4d8b-9148-e3be6c30e623}">
          <xlrd:rvb i="9536"/>
        </ext>
      </extLst>
    </bk>
    <bk>
      <extLst>
        <ext uri="{3e2802c4-a4d2-4d8b-9148-e3be6c30e623}">
          <xlrd:rvb i="9537"/>
        </ext>
      </extLst>
    </bk>
    <bk>
      <extLst>
        <ext uri="{3e2802c4-a4d2-4d8b-9148-e3be6c30e623}">
          <xlrd:rvb i="9538"/>
        </ext>
      </extLst>
    </bk>
    <bk>
      <extLst>
        <ext uri="{3e2802c4-a4d2-4d8b-9148-e3be6c30e623}">
          <xlrd:rvb i="9539"/>
        </ext>
      </extLst>
    </bk>
    <bk>
      <extLst>
        <ext uri="{3e2802c4-a4d2-4d8b-9148-e3be6c30e623}">
          <xlrd:rvb i="9540"/>
        </ext>
      </extLst>
    </bk>
    <bk>
      <extLst>
        <ext uri="{3e2802c4-a4d2-4d8b-9148-e3be6c30e623}">
          <xlrd:rvb i="9541"/>
        </ext>
      </extLst>
    </bk>
    <bk>
      <extLst>
        <ext uri="{3e2802c4-a4d2-4d8b-9148-e3be6c30e623}">
          <xlrd:rvb i="9542"/>
        </ext>
      </extLst>
    </bk>
    <bk>
      <extLst>
        <ext uri="{3e2802c4-a4d2-4d8b-9148-e3be6c30e623}">
          <xlrd:rvb i="9543"/>
        </ext>
      </extLst>
    </bk>
    <bk>
      <extLst>
        <ext uri="{3e2802c4-a4d2-4d8b-9148-e3be6c30e623}">
          <xlrd:rvb i="9544"/>
        </ext>
      </extLst>
    </bk>
    <bk>
      <extLst>
        <ext uri="{3e2802c4-a4d2-4d8b-9148-e3be6c30e623}">
          <xlrd:rvb i="9545"/>
        </ext>
      </extLst>
    </bk>
    <bk>
      <extLst>
        <ext uri="{3e2802c4-a4d2-4d8b-9148-e3be6c30e623}">
          <xlrd:rvb i="9546"/>
        </ext>
      </extLst>
    </bk>
    <bk>
      <extLst>
        <ext uri="{3e2802c4-a4d2-4d8b-9148-e3be6c30e623}">
          <xlrd:rvb i="9547"/>
        </ext>
      </extLst>
    </bk>
    <bk>
      <extLst>
        <ext uri="{3e2802c4-a4d2-4d8b-9148-e3be6c30e623}">
          <xlrd:rvb i="9548"/>
        </ext>
      </extLst>
    </bk>
    <bk>
      <extLst>
        <ext uri="{3e2802c4-a4d2-4d8b-9148-e3be6c30e623}">
          <xlrd:rvb i="9549"/>
        </ext>
      </extLst>
    </bk>
    <bk>
      <extLst>
        <ext uri="{3e2802c4-a4d2-4d8b-9148-e3be6c30e623}">
          <xlrd:rvb i="9550"/>
        </ext>
      </extLst>
    </bk>
    <bk>
      <extLst>
        <ext uri="{3e2802c4-a4d2-4d8b-9148-e3be6c30e623}">
          <xlrd:rvb i="9551"/>
        </ext>
      </extLst>
    </bk>
    <bk>
      <extLst>
        <ext uri="{3e2802c4-a4d2-4d8b-9148-e3be6c30e623}">
          <xlrd:rvb i="9552"/>
        </ext>
      </extLst>
    </bk>
    <bk>
      <extLst>
        <ext uri="{3e2802c4-a4d2-4d8b-9148-e3be6c30e623}">
          <xlrd:rvb i="9553"/>
        </ext>
      </extLst>
    </bk>
    <bk>
      <extLst>
        <ext uri="{3e2802c4-a4d2-4d8b-9148-e3be6c30e623}">
          <xlrd:rvb i="9554"/>
        </ext>
      </extLst>
    </bk>
    <bk>
      <extLst>
        <ext uri="{3e2802c4-a4d2-4d8b-9148-e3be6c30e623}">
          <xlrd:rvb i="9555"/>
        </ext>
      </extLst>
    </bk>
    <bk>
      <extLst>
        <ext uri="{3e2802c4-a4d2-4d8b-9148-e3be6c30e623}">
          <xlrd:rvb i="9556"/>
        </ext>
      </extLst>
    </bk>
    <bk>
      <extLst>
        <ext uri="{3e2802c4-a4d2-4d8b-9148-e3be6c30e623}">
          <xlrd:rvb i="9557"/>
        </ext>
      </extLst>
    </bk>
    <bk>
      <extLst>
        <ext uri="{3e2802c4-a4d2-4d8b-9148-e3be6c30e623}">
          <xlrd:rvb i="9558"/>
        </ext>
      </extLst>
    </bk>
    <bk>
      <extLst>
        <ext uri="{3e2802c4-a4d2-4d8b-9148-e3be6c30e623}">
          <xlrd:rvb i="9559"/>
        </ext>
      </extLst>
    </bk>
    <bk>
      <extLst>
        <ext uri="{3e2802c4-a4d2-4d8b-9148-e3be6c30e623}">
          <xlrd:rvb i="9560"/>
        </ext>
      </extLst>
    </bk>
    <bk>
      <extLst>
        <ext uri="{3e2802c4-a4d2-4d8b-9148-e3be6c30e623}">
          <xlrd:rvb i="9561"/>
        </ext>
      </extLst>
    </bk>
    <bk>
      <extLst>
        <ext uri="{3e2802c4-a4d2-4d8b-9148-e3be6c30e623}">
          <xlrd:rvb i="9562"/>
        </ext>
      </extLst>
    </bk>
    <bk>
      <extLst>
        <ext uri="{3e2802c4-a4d2-4d8b-9148-e3be6c30e623}">
          <xlrd:rvb i="9563"/>
        </ext>
      </extLst>
    </bk>
    <bk>
      <extLst>
        <ext uri="{3e2802c4-a4d2-4d8b-9148-e3be6c30e623}">
          <xlrd:rvb i="9564"/>
        </ext>
      </extLst>
    </bk>
    <bk>
      <extLst>
        <ext uri="{3e2802c4-a4d2-4d8b-9148-e3be6c30e623}">
          <xlrd:rvb i="9565"/>
        </ext>
      </extLst>
    </bk>
    <bk>
      <extLst>
        <ext uri="{3e2802c4-a4d2-4d8b-9148-e3be6c30e623}">
          <xlrd:rvb i="9566"/>
        </ext>
      </extLst>
    </bk>
    <bk>
      <extLst>
        <ext uri="{3e2802c4-a4d2-4d8b-9148-e3be6c30e623}">
          <xlrd:rvb i="9567"/>
        </ext>
      </extLst>
    </bk>
    <bk>
      <extLst>
        <ext uri="{3e2802c4-a4d2-4d8b-9148-e3be6c30e623}">
          <xlrd:rvb i="9568"/>
        </ext>
      </extLst>
    </bk>
    <bk>
      <extLst>
        <ext uri="{3e2802c4-a4d2-4d8b-9148-e3be6c30e623}">
          <xlrd:rvb i="9569"/>
        </ext>
      </extLst>
    </bk>
    <bk>
      <extLst>
        <ext uri="{3e2802c4-a4d2-4d8b-9148-e3be6c30e623}">
          <xlrd:rvb i="9570"/>
        </ext>
      </extLst>
    </bk>
    <bk>
      <extLst>
        <ext uri="{3e2802c4-a4d2-4d8b-9148-e3be6c30e623}">
          <xlrd:rvb i="9571"/>
        </ext>
      </extLst>
    </bk>
    <bk>
      <extLst>
        <ext uri="{3e2802c4-a4d2-4d8b-9148-e3be6c30e623}">
          <xlrd:rvb i="9572"/>
        </ext>
      </extLst>
    </bk>
    <bk>
      <extLst>
        <ext uri="{3e2802c4-a4d2-4d8b-9148-e3be6c30e623}">
          <xlrd:rvb i="9573"/>
        </ext>
      </extLst>
    </bk>
    <bk>
      <extLst>
        <ext uri="{3e2802c4-a4d2-4d8b-9148-e3be6c30e623}">
          <xlrd:rvb i="9574"/>
        </ext>
      </extLst>
    </bk>
    <bk>
      <extLst>
        <ext uri="{3e2802c4-a4d2-4d8b-9148-e3be6c30e623}">
          <xlrd:rvb i="9575"/>
        </ext>
      </extLst>
    </bk>
    <bk>
      <extLst>
        <ext uri="{3e2802c4-a4d2-4d8b-9148-e3be6c30e623}">
          <xlrd:rvb i="9576"/>
        </ext>
      </extLst>
    </bk>
    <bk>
      <extLst>
        <ext uri="{3e2802c4-a4d2-4d8b-9148-e3be6c30e623}">
          <xlrd:rvb i="9577"/>
        </ext>
      </extLst>
    </bk>
    <bk>
      <extLst>
        <ext uri="{3e2802c4-a4d2-4d8b-9148-e3be6c30e623}">
          <xlrd:rvb i="9578"/>
        </ext>
      </extLst>
    </bk>
    <bk>
      <extLst>
        <ext uri="{3e2802c4-a4d2-4d8b-9148-e3be6c30e623}">
          <xlrd:rvb i="9579"/>
        </ext>
      </extLst>
    </bk>
    <bk>
      <extLst>
        <ext uri="{3e2802c4-a4d2-4d8b-9148-e3be6c30e623}">
          <xlrd:rvb i="9580"/>
        </ext>
      </extLst>
    </bk>
    <bk>
      <extLst>
        <ext uri="{3e2802c4-a4d2-4d8b-9148-e3be6c30e623}">
          <xlrd:rvb i="9581"/>
        </ext>
      </extLst>
    </bk>
    <bk>
      <extLst>
        <ext uri="{3e2802c4-a4d2-4d8b-9148-e3be6c30e623}">
          <xlrd:rvb i="9582"/>
        </ext>
      </extLst>
    </bk>
    <bk>
      <extLst>
        <ext uri="{3e2802c4-a4d2-4d8b-9148-e3be6c30e623}">
          <xlrd:rvb i="9583"/>
        </ext>
      </extLst>
    </bk>
    <bk>
      <extLst>
        <ext uri="{3e2802c4-a4d2-4d8b-9148-e3be6c30e623}">
          <xlrd:rvb i="9584"/>
        </ext>
      </extLst>
    </bk>
    <bk>
      <extLst>
        <ext uri="{3e2802c4-a4d2-4d8b-9148-e3be6c30e623}">
          <xlrd:rvb i="9585"/>
        </ext>
      </extLst>
    </bk>
    <bk>
      <extLst>
        <ext uri="{3e2802c4-a4d2-4d8b-9148-e3be6c30e623}">
          <xlrd:rvb i="9586"/>
        </ext>
      </extLst>
    </bk>
    <bk>
      <extLst>
        <ext uri="{3e2802c4-a4d2-4d8b-9148-e3be6c30e623}">
          <xlrd:rvb i="9587"/>
        </ext>
      </extLst>
    </bk>
    <bk>
      <extLst>
        <ext uri="{3e2802c4-a4d2-4d8b-9148-e3be6c30e623}">
          <xlrd:rvb i="9588"/>
        </ext>
      </extLst>
    </bk>
    <bk>
      <extLst>
        <ext uri="{3e2802c4-a4d2-4d8b-9148-e3be6c30e623}">
          <xlrd:rvb i="9589"/>
        </ext>
      </extLst>
    </bk>
    <bk>
      <extLst>
        <ext uri="{3e2802c4-a4d2-4d8b-9148-e3be6c30e623}">
          <xlrd:rvb i="9590"/>
        </ext>
      </extLst>
    </bk>
    <bk>
      <extLst>
        <ext uri="{3e2802c4-a4d2-4d8b-9148-e3be6c30e623}">
          <xlrd:rvb i="9591"/>
        </ext>
      </extLst>
    </bk>
    <bk>
      <extLst>
        <ext uri="{3e2802c4-a4d2-4d8b-9148-e3be6c30e623}">
          <xlrd:rvb i="9592"/>
        </ext>
      </extLst>
    </bk>
    <bk>
      <extLst>
        <ext uri="{3e2802c4-a4d2-4d8b-9148-e3be6c30e623}">
          <xlrd:rvb i="9593"/>
        </ext>
      </extLst>
    </bk>
    <bk>
      <extLst>
        <ext uri="{3e2802c4-a4d2-4d8b-9148-e3be6c30e623}">
          <xlrd:rvb i="9594"/>
        </ext>
      </extLst>
    </bk>
    <bk>
      <extLst>
        <ext uri="{3e2802c4-a4d2-4d8b-9148-e3be6c30e623}">
          <xlrd:rvb i="9595"/>
        </ext>
      </extLst>
    </bk>
    <bk>
      <extLst>
        <ext uri="{3e2802c4-a4d2-4d8b-9148-e3be6c30e623}">
          <xlrd:rvb i="9596"/>
        </ext>
      </extLst>
    </bk>
    <bk>
      <extLst>
        <ext uri="{3e2802c4-a4d2-4d8b-9148-e3be6c30e623}">
          <xlrd:rvb i="9597"/>
        </ext>
      </extLst>
    </bk>
    <bk>
      <extLst>
        <ext uri="{3e2802c4-a4d2-4d8b-9148-e3be6c30e623}">
          <xlrd:rvb i="9598"/>
        </ext>
      </extLst>
    </bk>
    <bk>
      <extLst>
        <ext uri="{3e2802c4-a4d2-4d8b-9148-e3be6c30e623}">
          <xlrd:rvb i="9599"/>
        </ext>
      </extLst>
    </bk>
    <bk>
      <extLst>
        <ext uri="{3e2802c4-a4d2-4d8b-9148-e3be6c30e623}">
          <xlrd:rvb i="9600"/>
        </ext>
      </extLst>
    </bk>
    <bk>
      <extLst>
        <ext uri="{3e2802c4-a4d2-4d8b-9148-e3be6c30e623}">
          <xlrd:rvb i="9601"/>
        </ext>
      </extLst>
    </bk>
    <bk>
      <extLst>
        <ext uri="{3e2802c4-a4d2-4d8b-9148-e3be6c30e623}">
          <xlrd:rvb i="9602"/>
        </ext>
      </extLst>
    </bk>
    <bk>
      <extLst>
        <ext uri="{3e2802c4-a4d2-4d8b-9148-e3be6c30e623}">
          <xlrd:rvb i="9603"/>
        </ext>
      </extLst>
    </bk>
    <bk>
      <extLst>
        <ext uri="{3e2802c4-a4d2-4d8b-9148-e3be6c30e623}">
          <xlrd:rvb i="9604"/>
        </ext>
      </extLst>
    </bk>
    <bk>
      <extLst>
        <ext uri="{3e2802c4-a4d2-4d8b-9148-e3be6c30e623}">
          <xlrd:rvb i="9605"/>
        </ext>
      </extLst>
    </bk>
    <bk>
      <extLst>
        <ext uri="{3e2802c4-a4d2-4d8b-9148-e3be6c30e623}">
          <xlrd:rvb i="9606"/>
        </ext>
      </extLst>
    </bk>
    <bk>
      <extLst>
        <ext uri="{3e2802c4-a4d2-4d8b-9148-e3be6c30e623}">
          <xlrd:rvb i="9607"/>
        </ext>
      </extLst>
    </bk>
    <bk>
      <extLst>
        <ext uri="{3e2802c4-a4d2-4d8b-9148-e3be6c30e623}">
          <xlrd:rvb i="9608"/>
        </ext>
      </extLst>
    </bk>
    <bk>
      <extLst>
        <ext uri="{3e2802c4-a4d2-4d8b-9148-e3be6c30e623}">
          <xlrd:rvb i="9609"/>
        </ext>
      </extLst>
    </bk>
    <bk>
      <extLst>
        <ext uri="{3e2802c4-a4d2-4d8b-9148-e3be6c30e623}">
          <xlrd:rvb i="9610"/>
        </ext>
      </extLst>
    </bk>
    <bk>
      <extLst>
        <ext uri="{3e2802c4-a4d2-4d8b-9148-e3be6c30e623}">
          <xlrd:rvb i="9611"/>
        </ext>
      </extLst>
    </bk>
    <bk>
      <extLst>
        <ext uri="{3e2802c4-a4d2-4d8b-9148-e3be6c30e623}">
          <xlrd:rvb i="9612"/>
        </ext>
      </extLst>
    </bk>
    <bk>
      <extLst>
        <ext uri="{3e2802c4-a4d2-4d8b-9148-e3be6c30e623}">
          <xlrd:rvb i="9613"/>
        </ext>
      </extLst>
    </bk>
    <bk>
      <extLst>
        <ext uri="{3e2802c4-a4d2-4d8b-9148-e3be6c30e623}">
          <xlrd:rvb i="9614"/>
        </ext>
      </extLst>
    </bk>
    <bk>
      <extLst>
        <ext uri="{3e2802c4-a4d2-4d8b-9148-e3be6c30e623}">
          <xlrd:rvb i="9615"/>
        </ext>
      </extLst>
    </bk>
    <bk>
      <extLst>
        <ext uri="{3e2802c4-a4d2-4d8b-9148-e3be6c30e623}">
          <xlrd:rvb i="9616"/>
        </ext>
      </extLst>
    </bk>
    <bk>
      <extLst>
        <ext uri="{3e2802c4-a4d2-4d8b-9148-e3be6c30e623}">
          <xlrd:rvb i="9617"/>
        </ext>
      </extLst>
    </bk>
    <bk>
      <extLst>
        <ext uri="{3e2802c4-a4d2-4d8b-9148-e3be6c30e623}">
          <xlrd:rvb i="9618"/>
        </ext>
      </extLst>
    </bk>
    <bk>
      <extLst>
        <ext uri="{3e2802c4-a4d2-4d8b-9148-e3be6c30e623}">
          <xlrd:rvb i="9619"/>
        </ext>
      </extLst>
    </bk>
    <bk>
      <extLst>
        <ext uri="{3e2802c4-a4d2-4d8b-9148-e3be6c30e623}">
          <xlrd:rvb i="9620"/>
        </ext>
      </extLst>
    </bk>
    <bk>
      <extLst>
        <ext uri="{3e2802c4-a4d2-4d8b-9148-e3be6c30e623}">
          <xlrd:rvb i="9621"/>
        </ext>
      </extLst>
    </bk>
    <bk>
      <extLst>
        <ext uri="{3e2802c4-a4d2-4d8b-9148-e3be6c30e623}">
          <xlrd:rvb i="9622"/>
        </ext>
      </extLst>
    </bk>
    <bk>
      <extLst>
        <ext uri="{3e2802c4-a4d2-4d8b-9148-e3be6c30e623}">
          <xlrd:rvb i="9623"/>
        </ext>
      </extLst>
    </bk>
    <bk>
      <extLst>
        <ext uri="{3e2802c4-a4d2-4d8b-9148-e3be6c30e623}">
          <xlrd:rvb i="9624"/>
        </ext>
      </extLst>
    </bk>
    <bk>
      <extLst>
        <ext uri="{3e2802c4-a4d2-4d8b-9148-e3be6c30e623}">
          <xlrd:rvb i="9625"/>
        </ext>
      </extLst>
    </bk>
    <bk>
      <extLst>
        <ext uri="{3e2802c4-a4d2-4d8b-9148-e3be6c30e623}">
          <xlrd:rvb i="9626"/>
        </ext>
      </extLst>
    </bk>
    <bk>
      <extLst>
        <ext uri="{3e2802c4-a4d2-4d8b-9148-e3be6c30e623}">
          <xlrd:rvb i="9627"/>
        </ext>
      </extLst>
    </bk>
    <bk>
      <extLst>
        <ext uri="{3e2802c4-a4d2-4d8b-9148-e3be6c30e623}">
          <xlrd:rvb i="9628"/>
        </ext>
      </extLst>
    </bk>
    <bk>
      <extLst>
        <ext uri="{3e2802c4-a4d2-4d8b-9148-e3be6c30e623}">
          <xlrd:rvb i="9629"/>
        </ext>
      </extLst>
    </bk>
    <bk>
      <extLst>
        <ext uri="{3e2802c4-a4d2-4d8b-9148-e3be6c30e623}">
          <xlrd:rvb i="9630"/>
        </ext>
      </extLst>
    </bk>
    <bk>
      <extLst>
        <ext uri="{3e2802c4-a4d2-4d8b-9148-e3be6c30e623}">
          <xlrd:rvb i="9631"/>
        </ext>
      </extLst>
    </bk>
    <bk>
      <extLst>
        <ext uri="{3e2802c4-a4d2-4d8b-9148-e3be6c30e623}">
          <xlrd:rvb i="9632"/>
        </ext>
      </extLst>
    </bk>
    <bk>
      <extLst>
        <ext uri="{3e2802c4-a4d2-4d8b-9148-e3be6c30e623}">
          <xlrd:rvb i="9633"/>
        </ext>
      </extLst>
    </bk>
    <bk>
      <extLst>
        <ext uri="{3e2802c4-a4d2-4d8b-9148-e3be6c30e623}">
          <xlrd:rvb i="9634"/>
        </ext>
      </extLst>
    </bk>
    <bk>
      <extLst>
        <ext uri="{3e2802c4-a4d2-4d8b-9148-e3be6c30e623}">
          <xlrd:rvb i="9635"/>
        </ext>
      </extLst>
    </bk>
    <bk>
      <extLst>
        <ext uri="{3e2802c4-a4d2-4d8b-9148-e3be6c30e623}">
          <xlrd:rvb i="9636"/>
        </ext>
      </extLst>
    </bk>
    <bk>
      <extLst>
        <ext uri="{3e2802c4-a4d2-4d8b-9148-e3be6c30e623}">
          <xlrd:rvb i="9637"/>
        </ext>
      </extLst>
    </bk>
    <bk>
      <extLst>
        <ext uri="{3e2802c4-a4d2-4d8b-9148-e3be6c30e623}">
          <xlrd:rvb i="9638"/>
        </ext>
      </extLst>
    </bk>
    <bk>
      <extLst>
        <ext uri="{3e2802c4-a4d2-4d8b-9148-e3be6c30e623}">
          <xlrd:rvb i="9639"/>
        </ext>
      </extLst>
    </bk>
    <bk>
      <extLst>
        <ext uri="{3e2802c4-a4d2-4d8b-9148-e3be6c30e623}">
          <xlrd:rvb i="9640"/>
        </ext>
      </extLst>
    </bk>
    <bk>
      <extLst>
        <ext uri="{3e2802c4-a4d2-4d8b-9148-e3be6c30e623}">
          <xlrd:rvb i="9641"/>
        </ext>
      </extLst>
    </bk>
    <bk>
      <extLst>
        <ext uri="{3e2802c4-a4d2-4d8b-9148-e3be6c30e623}">
          <xlrd:rvb i="9642"/>
        </ext>
      </extLst>
    </bk>
    <bk>
      <extLst>
        <ext uri="{3e2802c4-a4d2-4d8b-9148-e3be6c30e623}">
          <xlrd:rvb i="9643"/>
        </ext>
      </extLst>
    </bk>
    <bk>
      <extLst>
        <ext uri="{3e2802c4-a4d2-4d8b-9148-e3be6c30e623}">
          <xlrd:rvb i="9644"/>
        </ext>
      </extLst>
    </bk>
    <bk>
      <extLst>
        <ext uri="{3e2802c4-a4d2-4d8b-9148-e3be6c30e623}">
          <xlrd:rvb i="9645"/>
        </ext>
      </extLst>
    </bk>
    <bk>
      <extLst>
        <ext uri="{3e2802c4-a4d2-4d8b-9148-e3be6c30e623}">
          <xlrd:rvb i="9646"/>
        </ext>
      </extLst>
    </bk>
    <bk>
      <extLst>
        <ext uri="{3e2802c4-a4d2-4d8b-9148-e3be6c30e623}">
          <xlrd:rvb i="9647"/>
        </ext>
      </extLst>
    </bk>
    <bk>
      <extLst>
        <ext uri="{3e2802c4-a4d2-4d8b-9148-e3be6c30e623}">
          <xlrd:rvb i="9648"/>
        </ext>
      </extLst>
    </bk>
    <bk>
      <extLst>
        <ext uri="{3e2802c4-a4d2-4d8b-9148-e3be6c30e623}">
          <xlrd:rvb i="9649"/>
        </ext>
      </extLst>
    </bk>
    <bk>
      <extLst>
        <ext uri="{3e2802c4-a4d2-4d8b-9148-e3be6c30e623}">
          <xlrd:rvb i="9650"/>
        </ext>
      </extLst>
    </bk>
    <bk>
      <extLst>
        <ext uri="{3e2802c4-a4d2-4d8b-9148-e3be6c30e623}">
          <xlrd:rvb i="9651"/>
        </ext>
      </extLst>
    </bk>
    <bk>
      <extLst>
        <ext uri="{3e2802c4-a4d2-4d8b-9148-e3be6c30e623}">
          <xlrd:rvb i="9652"/>
        </ext>
      </extLst>
    </bk>
    <bk>
      <extLst>
        <ext uri="{3e2802c4-a4d2-4d8b-9148-e3be6c30e623}">
          <xlrd:rvb i="9653"/>
        </ext>
      </extLst>
    </bk>
    <bk>
      <extLst>
        <ext uri="{3e2802c4-a4d2-4d8b-9148-e3be6c30e623}">
          <xlrd:rvb i="9654"/>
        </ext>
      </extLst>
    </bk>
    <bk>
      <extLst>
        <ext uri="{3e2802c4-a4d2-4d8b-9148-e3be6c30e623}">
          <xlrd:rvb i="9655"/>
        </ext>
      </extLst>
    </bk>
    <bk>
      <extLst>
        <ext uri="{3e2802c4-a4d2-4d8b-9148-e3be6c30e623}">
          <xlrd:rvb i="9656"/>
        </ext>
      </extLst>
    </bk>
    <bk>
      <extLst>
        <ext uri="{3e2802c4-a4d2-4d8b-9148-e3be6c30e623}">
          <xlrd:rvb i="9657"/>
        </ext>
      </extLst>
    </bk>
    <bk>
      <extLst>
        <ext uri="{3e2802c4-a4d2-4d8b-9148-e3be6c30e623}">
          <xlrd:rvb i="9658"/>
        </ext>
      </extLst>
    </bk>
    <bk>
      <extLst>
        <ext uri="{3e2802c4-a4d2-4d8b-9148-e3be6c30e623}">
          <xlrd:rvb i="9659"/>
        </ext>
      </extLst>
    </bk>
    <bk>
      <extLst>
        <ext uri="{3e2802c4-a4d2-4d8b-9148-e3be6c30e623}">
          <xlrd:rvb i="9660"/>
        </ext>
      </extLst>
    </bk>
    <bk>
      <extLst>
        <ext uri="{3e2802c4-a4d2-4d8b-9148-e3be6c30e623}">
          <xlrd:rvb i="9661"/>
        </ext>
      </extLst>
    </bk>
    <bk>
      <extLst>
        <ext uri="{3e2802c4-a4d2-4d8b-9148-e3be6c30e623}">
          <xlrd:rvb i="9662"/>
        </ext>
      </extLst>
    </bk>
    <bk>
      <extLst>
        <ext uri="{3e2802c4-a4d2-4d8b-9148-e3be6c30e623}">
          <xlrd:rvb i="9663"/>
        </ext>
      </extLst>
    </bk>
    <bk>
      <extLst>
        <ext uri="{3e2802c4-a4d2-4d8b-9148-e3be6c30e623}">
          <xlrd:rvb i="9664"/>
        </ext>
      </extLst>
    </bk>
    <bk>
      <extLst>
        <ext uri="{3e2802c4-a4d2-4d8b-9148-e3be6c30e623}">
          <xlrd:rvb i="9665"/>
        </ext>
      </extLst>
    </bk>
    <bk>
      <extLst>
        <ext uri="{3e2802c4-a4d2-4d8b-9148-e3be6c30e623}">
          <xlrd:rvb i="9666"/>
        </ext>
      </extLst>
    </bk>
    <bk>
      <extLst>
        <ext uri="{3e2802c4-a4d2-4d8b-9148-e3be6c30e623}">
          <xlrd:rvb i="9667"/>
        </ext>
      </extLst>
    </bk>
    <bk>
      <extLst>
        <ext uri="{3e2802c4-a4d2-4d8b-9148-e3be6c30e623}">
          <xlrd:rvb i="9668"/>
        </ext>
      </extLst>
    </bk>
    <bk>
      <extLst>
        <ext uri="{3e2802c4-a4d2-4d8b-9148-e3be6c30e623}">
          <xlrd:rvb i="9669"/>
        </ext>
      </extLst>
    </bk>
    <bk>
      <extLst>
        <ext uri="{3e2802c4-a4d2-4d8b-9148-e3be6c30e623}">
          <xlrd:rvb i="9670"/>
        </ext>
      </extLst>
    </bk>
    <bk>
      <extLst>
        <ext uri="{3e2802c4-a4d2-4d8b-9148-e3be6c30e623}">
          <xlrd:rvb i="9671"/>
        </ext>
      </extLst>
    </bk>
    <bk>
      <extLst>
        <ext uri="{3e2802c4-a4d2-4d8b-9148-e3be6c30e623}">
          <xlrd:rvb i="9672"/>
        </ext>
      </extLst>
    </bk>
    <bk>
      <extLst>
        <ext uri="{3e2802c4-a4d2-4d8b-9148-e3be6c30e623}">
          <xlrd:rvb i="9673"/>
        </ext>
      </extLst>
    </bk>
    <bk>
      <extLst>
        <ext uri="{3e2802c4-a4d2-4d8b-9148-e3be6c30e623}">
          <xlrd:rvb i="9674"/>
        </ext>
      </extLst>
    </bk>
    <bk>
      <extLst>
        <ext uri="{3e2802c4-a4d2-4d8b-9148-e3be6c30e623}">
          <xlrd:rvb i="9675"/>
        </ext>
      </extLst>
    </bk>
    <bk>
      <extLst>
        <ext uri="{3e2802c4-a4d2-4d8b-9148-e3be6c30e623}">
          <xlrd:rvb i="9676"/>
        </ext>
      </extLst>
    </bk>
    <bk>
      <extLst>
        <ext uri="{3e2802c4-a4d2-4d8b-9148-e3be6c30e623}">
          <xlrd:rvb i="9677"/>
        </ext>
      </extLst>
    </bk>
    <bk>
      <extLst>
        <ext uri="{3e2802c4-a4d2-4d8b-9148-e3be6c30e623}">
          <xlrd:rvb i="9678"/>
        </ext>
      </extLst>
    </bk>
    <bk>
      <extLst>
        <ext uri="{3e2802c4-a4d2-4d8b-9148-e3be6c30e623}">
          <xlrd:rvb i="9679"/>
        </ext>
      </extLst>
    </bk>
    <bk>
      <extLst>
        <ext uri="{3e2802c4-a4d2-4d8b-9148-e3be6c30e623}">
          <xlrd:rvb i="9680"/>
        </ext>
      </extLst>
    </bk>
    <bk>
      <extLst>
        <ext uri="{3e2802c4-a4d2-4d8b-9148-e3be6c30e623}">
          <xlrd:rvb i="9681"/>
        </ext>
      </extLst>
    </bk>
    <bk>
      <extLst>
        <ext uri="{3e2802c4-a4d2-4d8b-9148-e3be6c30e623}">
          <xlrd:rvb i="9682"/>
        </ext>
      </extLst>
    </bk>
    <bk>
      <extLst>
        <ext uri="{3e2802c4-a4d2-4d8b-9148-e3be6c30e623}">
          <xlrd:rvb i="9683"/>
        </ext>
      </extLst>
    </bk>
    <bk>
      <extLst>
        <ext uri="{3e2802c4-a4d2-4d8b-9148-e3be6c30e623}">
          <xlrd:rvb i="9684"/>
        </ext>
      </extLst>
    </bk>
    <bk>
      <extLst>
        <ext uri="{3e2802c4-a4d2-4d8b-9148-e3be6c30e623}">
          <xlrd:rvb i="9685"/>
        </ext>
      </extLst>
    </bk>
    <bk>
      <extLst>
        <ext uri="{3e2802c4-a4d2-4d8b-9148-e3be6c30e623}">
          <xlrd:rvb i="9686"/>
        </ext>
      </extLst>
    </bk>
    <bk>
      <extLst>
        <ext uri="{3e2802c4-a4d2-4d8b-9148-e3be6c30e623}">
          <xlrd:rvb i="9687"/>
        </ext>
      </extLst>
    </bk>
    <bk>
      <extLst>
        <ext uri="{3e2802c4-a4d2-4d8b-9148-e3be6c30e623}">
          <xlrd:rvb i="9688"/>
        </ext>
      </extLst>
    </bk>
    <bk>
      <extLst>
        <ext uri="{3e2802c4-a4d2-4d8b-9148-e3be6c30e623}">
          <xlrd:rvb i="9689"/>
        </ext>
      </extLst>
    </bk>
    <bk>
      <extLst>
        <ext uri="{3e2802c4-a4d2-4d8b-9148-e3be6c30e623}">
          <xlrd:rvb i="9690"/>
        </ext>
      </extLst>
    </bk>
    <bk>
      <extLst>
        <ext uri="{3e2802c4-a4d2-4d8b-9148-e3be6c30e623}">
          <xlrd:rvb i="9691"/>
        </ext>
      </extLst>
    </bk>
    <bk>
      <extLst>
        <ext uri="{3e2802c4-a4d2-4d8b-9148-e3be6c30e623}">
          <xlrd:rvb i="9692"/>
        </ext>
      </extLst>
    </bk>
    <bk>
      <extLst>
        <ext uri="{3e2802c4-a4d2-4d8b-9148-e3be6c30e623}">
          <xlrd:rvb i="9693"/>
        </ext>
      </extLst>
    </bk>
    <bk>
      <extLst>
        <ext uri="{3e2802c4-a4d2-4d8b-9148-e3be6c30e623}">
          <xlrd:rvb i="9694"/>
        </ext>
      </extLst>
    </bk>
    <bk>
      <extLst>
        <ext uri="{3e2802c4-a4d2-4d8b-9148-e3be6c30e623}">
          <xlrd:rvb i="9695"/>
        </ext>
      </extLst>
    </bk>
    <bk>
      <extLst>
        <ext uri="{3e2802c4-a4d2-4d8b-9148-e3be6c30e623}">
          <xlrd:rvb i="9696"/>
        </ext>
      </extLst>
    </bk>
    <bk>
      <extLst>
        <ext uri="{3e2802c4-a4d2-4d8b-9148-e3be6c30e623}">
          <xlrd:rvb i="9697"/>
        </ext>
      </extLst>
    </bk>
    <bk>
      <extLst>
        <ext uri="{3e2802c4-a4d2-4d8b-9148-e3be6c30e623}">
          <xlrd:rvb i="9698"/>
        </ext>
      </extLst>
    </bk>
    <bk>
      <extLst>
        <ext uri="{3e2802c4-a4d2-4d8b-9148-e3be6c30e623}">
          <xlrd:rvb i="9699"/>
        </ext>
      </extLst>
    </bk>
    <bk>
      <extLst>
        <ext uri="{3e2802c4-a4d2-4d8b-9148-e3be6c30e623}">
          <xlrd:rvb i="9700"/>
        </ext>
      </extLst>
    </bk>
    <bk>
      <extLst>
        <ext uri="{3e2802c4-a4d2-4d8b-9148-e3be6c30e623}">
          <xlrd:rvb i="9701"/>
        </ext>
      </extLst>
    </bk>
    <bk>
      <extLst>
        <ext uri="{3e2802c4-a4d2-4d8b-9148-e3be6c30e623}">
          <xlrd:rvb i="9702"/>
        </ext>
      </extLst>
    </bk>
    <bk>
      <extLst>
        <ext uri="{3e2802c4-a4d2-4d8b-9148-e3be6c30e623}">
          <xlrd:rvb i="9703"/>
        </ext>
      </extLst>
    </bk>
    <bk>
      <extLst>
        <ext uri="{3e2802c4-a4d2-4d8b-9148-e3be6c30e623}">
          <xlrd:rvb i="9704"/>
        </ext>
      </extLst>
    </bk>
    <bk>
      <extLst>
        <ext uri="{3e2802c4-a4d2-4d8b-9148-e3be6c30e623}">
          <xlrd:rvb i="9705"/>
        </ext>
      </extLst>
    </bk>
    <bk>
      <extLst>
        <ext uri="{3e2802c4-a4d2-4d8b-9148-e3be6c30e623}">
          <xlrd:rvb i="9706"/>
        </ext>
      </extLst>
    </bk>
    <bk>
      <extLst>
        <ext uri="{3e2802c4-a4d2-4d8b-9148-e3be6c30e623}">
          <xlrd:rvb i="9707"/>
        </ext>
      </extLst>
    </bk>
    <bk>
      <extLst>
        <ext uri="{3e2802c4-a4d2-4d8b-9148-e3be6c30e623}">
          <xlrd:rvb i="9708"/>
        </ext>
      </extLst>
    </bk>
    <bk>
      <extLst>
        <ext uri="{3e2802c4-a4d2-4d8b-9148-e3be6c30e623}">
          <xlrd:rvb i="9709"/>
        </ext>
      </extLst>
    </bk>
    <bk>
      <extLst>
        <ext uri="{3e2802c4-a4d2-4d8b-9148-e3be6c30e623}">
          <xlrd:rvb i="9710"/>
        </ext>
      </extLst>
    </bk>
    <bk>
      <extLst>
        <ext uri="{3e2802c4-a4d2-4d8b-9148-e3be6c30e623}">
          <xlrd:rvb i="9711"/>
        </ext>
      </extLst>
    </bk>
    <bk>
      <extLst>
        <ext uri="{3e2802c4-a4d2-4d8b-9148-e3be6c30e623}">
          <xlrd:rvb i="9712"/>
        </ext>
      </extLst>
    </bk>
    <bk>
      <extLst>
        <ext uri="{3e2802c4-a4d2-4d8b-9148-e3be6c30e623}">
          <xlrd:rvb i="9713"/>
        </ext>
      </extLst>
    </bk>
    <bk>
      <extLst>
        <ext uri="{3e2802c4-a4d2-4d8b-9148-e3be6c30e623}">
          <xlrd:rvb i="9714"/>
        </ext>
      </extLst>
    </bk>
    <bk>
      <extLst>
        <ext uri="{3e2802c4-a4d2-4d8b-9148-e3be6c30e623}">
          <xlrd:rvb i="9715"/>
        </ext>
      </extLst>
    </bk>
    <bk>
      <extLst>
        <ext uri="{3e2802c4-a4d2-4d8b-9148-e3be6c30e623}">
          <xlrd:rvb i="9716"/>
        </ext>
      </extLst>
    </bk>
    <bk>
      <extLst>
        <ext uri="{3e2802c4-a4d2-4d8b-9148-e3be6c30e623}">
          <xlrd:rvb i="9717"/>
        </ext>
      </extLst>
    </bk>
    <bk>
      <extLst>
        <ext uri="{3e2802c4-a4d2-4d8b-9148-e3be6c30e623}">
          <xlrd:rvb i="9718"/>
        </ext>
      </extLst>
    </bk>
    <bk>
      <extLst>
        <ext uri="{3e2802c4-a4d2-4d8b-9148-e3be6c30e623}">
          <xlrd:rvb i="9719"/>
        </ext>
      </extLst>
    </bk>
    <bk>
      <extLst>
        <ext uri="{3e2802c4-a4d2-4d8b-9148-e3be6c30e623}">
          <xlrd:rvb i="9720"/>
        </ext>
      </extLst>
    </bk>
    <bk>
      <extLst>
        <ext uri="{3e2802c4-a4d2-4d8b-9148-e3be6c30e623}">
          <xlrd:rvb i="9721"/>
        </ext>
      </extLst>
    </bk>
    <bk>
      <extLst>
        <ext uri="{3e2802c4-a4d2-4d8b-9148-e3be6c30e623}">
          <xlrd:rvb i="9722"/>
        </ext>
      </extLst>
    </bk>
    <bk>
      <extLst>
        <ext uri="{3e2802c4-a4d2-4d8b-9148-e3be6c30e623}">
          <xlrd:rvb i="9723"/>
        </ext>
      </extLst>
    </bk>
    <bk>
      <extLst>
        <ext uri="{3e2802c4-a4d2-4d8b-9148-e3be6c30e623}">
          <xlrd:rvb i="9724"/>
        </ext>
      </extLst>
    </bk>
    <bk>
      <extLst>
        <ext uri="{3e2802c4-a4d2-4d8b-9148-e3be6c30e623}">
          <xlrd:rvb i="9725"/>
        </ext>
      </extLst>
    </bk>
    <bk>
      <extLst>
        <ext uri="{3e2802c4-a4d2-4d8b-9148-e3be6c30e623}">
          <xlrd:rvb i="9726"/>
        </ext>
      </extLst>
    </bk>
    <bk>
      <extLst>
        <ext uri="{3e2802c4-a4d2-4d8b-9148-e3be6c30e623}">
          <xlrd:rvb i="9727"/>
        </ext>
      </extLst>
    </bk>
    <bk>
      <extLst>
        <ext uri="{3e2802c4-a4d2-4d8b-9148-e3be6c30e623}">
          <xlrd:rvb i="9728"/>
        </ext>
      </extLst>
    </bk>
    <bk>
      <extLst>
        <ext uri="{3e2802c4-a4d2-4d8b-9148-e3be6c30e623}">
          <xlrd:rvb i="9729"/>
        </ext>
      </extLst>
    </bk>
    <bk>
      <extLst>
        <ext uri="{3e2802c4-a4d2-4d8b-9148-e3be6c30e623}">
          <xlrd:rvb i="9730"/>
        </ext>
      </extLst>
    </bk>
    <bk>
      <extLst>
        <ext uri="{3e2802c4-a4d2-4d8b-9148-e3be6c30e623}">
          <xlrd:rvb i="9731"/>
        </ext>
      </extLst>
    </bk>
    <bk>
      <extLst>
        <ext uri="{3e2802c4-a4d2-4d8b-9148-e3be6c30e623}">
          <xlrd:rvb i="9732"/>
        </ext>
      </extLst>
    </bk>
    <bk>
      <extLst>
        <ext uri="{3e2802c4-a4d2-4d8b-9148-e3be6c30e623}">
          <xlrd:rvb i="9733"/>
        </ext>
      </extLst>
    </bk>
    <bk>
      <extLst>
        <ext uri="{3e2802c4-a4d2-4d8b-9148-e3be6c30e623}">
          <xlrd:rvb i="9734"/>
        </ext>
      </extLst>
    </bk>
    <bk>
      <extLst>
        <ext uri="{3e2802c4-a4d2-4d8b-9148-e3be6c30e623}">
          <xlrd:rvb i="9735"/>
        </ext>
      </extLst>
    </bk>
    <bk>
      <extLst>
        <ext uri="{3e2802c4-a4d2-4d8b-9148-e3be6c30e623}">
          <xlrd:rvb i="9736"/>
        </ext>
      </extLst>
    </bk>
    <bk>
      <extLst>
        <ext uri="{3e2802c4-a4d2-4d8b-9148-e3be6c30e623}">
          <xlrd:rvb i="9737"/>
        </ext>
      </extLst>
    </bk>
    <bk>
      <extLst>
        <ext uri="{3e2802c4-a4d2-4d8b-9148-e3be6c30e623}">
          <xlrd:rvb i="9738"/>
        </ext>
      </extLst>
    </bk>
    <bk>
      <extLst>
        <ext uri="{3e2802c4-a4d2-4d8b-9148-e3be6c30e623}">
          <xlrd:rvb i="9739"/>
        </ext>
      </extLst>
    </bk>
    <bk>
      <extLst>
        <ext uri="{3e2802c4-a4d2-4d8b-9148-e3be6c30e623}">
          <xlrd:rvb i="9740"/>
        </ext>
      </extLst>
    </bk>
    <bk>
      <extLst>
        <ext uri="{3e2802c4-a4d2-4d8b-9148-e3be6c30e623}">
          <xlrd:rvb i="9741"/>
        </ext>
      </extLst>
    </bk>
    <bk>
      <extLst>
        <ext uri="{3e2802c4-a4d2-4d8b-9148-e3be6c30e623}">
          <xlrd:rvb i="9742"/>
        </ext>
      </extLst>
    </bk>
    <bk>
      <extLst>
        <ext uri="{3e2802c4-a4d2-4d8b-9148-e3be6c30e623}">
          <xlrd:rvb i="9743"/>
        </ext>
      </extLst>
    </bk>
    <bk>
      <extLst>
        <ext uri="{3e2802c4-a4d2-4d8b-9148-e3be6c30e623}">
          <xlrd:rvb i="9744"/>
        </ext>
      </extLst>
    </bk>
    <bk>
      <extLst>
        <ext uri="{3e2802c4-a4d2-4d8b-9148-e3be6c30e623}">
          <xlrd:rvb i="9745"/>
        </ext>
      </extLst>
    </bk>
    <bk>
      <extLst>
        <ext uri="{3e2802c4-a4d2-4d8b-9148-e3be6c30e623}">
          <xlrd:rvb i="9746"/>
        </ext>
      </extLst>
    </bk>
    <bk>
      <extLst>
        <ext uri="{3e2802c4-a4d2-4d8b-9148-e3be6c30e623}">
          <xlrd:rvb i="9747"/>
        </ext>
      </extLst>
    </bk>
    <bk>
      <extLst>
        <ext uri="{3e2802c4-a4d2-4d8b-9148-e3be6c30e623}">
          <xlrd:rvb i="9748"/>
        </ext>
      </extLst>
    </bk>
    <bk>
      <extLst>
        <ext uri="{3e2802c4-a4d2-4d8b-9148-e3be6c30e623}">
          <xlrd:rvb i="9749"/>
        </ext>
      </extLst>
    </bk>
    <bk>
      <extLst>
        <ext uri="{3e2802c4-a4d2-4d8b-9148-e3be6c30e623}">
          <xlrd:rvb i="9750"/>
        </ext>
      </extLst>
    </bk>
    <bk>
      <extLst>
        <ext uri="{3e2802c4-a4d2-4d8b-9148-e3be6c30e623}">
          <xlrd:rvb i="9751"/>
        </ext>
      </extLst>
    </bk>
    <bk>
      <extLst>
        <ext uri="{3e2802c4-a4d2-4d8b-9148-e3be6c30e623}">
          <xlrd:rvb i="9752"/>
        </ext>
      </extLst>
    </bk>
    <bk>
      <extLst>
        <ext uri="{3e2802c4-a4d2-4d8b-9148-e3be6c30e623}">
          <xlrd:rvb i="9753"/>
        </ext>
      </extLst>
    </bk>
    <bk>
      <extLst>
        <ext uri="{3e2802c4-a4d2-4d8b-9148-e3be6c30e623}">
          <xlrd:rvb i="9754"/>
        </ext>
      </extLst>
    </bk>
    <bk>
      <extLst>
        <ext uri="{3e2802c4-a4d2-4d8b-9148-e3be6c30e623}">
          <xlrd:rvb i="9755"/>
        </ext>
      </extLst>
    </bk>
    <bk>
      <extLst>
        <ext uri="{3e2802c4-a4d2-4d8b-9148-e3be6c30e623}">
          <xlrd:rvb i="9756"/>
        </ext>
      </extLst>
    </bk>
    <bk>
      <extLst>
        <ext uri="{3e2802c4-a4d2-4d8b-9148-e3be6c30e623}">
          <xlrd:rvb i="9757"/>
        </ext>
      </extLst>
    </bk>
    <bk>
      <extLst>
        <ext uri="{3e2802c4-a4d2-4d8b-9148-e3be6c30e623}">
          <xlrd:rvb i="9758"/>
        </ext>
      </extLst>
    </bk>
    <bk>
      <extLst>
        <ext uri="{3e2802c4-a4d2-4d8b-9148-e3be6c30e623}">
          <xlrd:rvb i="9759"/>
        </ext>
      </extLst>
    </bk>
    <bk>
      <extLst>
        <ext uri="{3e2802c4-a4d2-4d8b-9148-e3be6c30e623}">
          <xlrd:rvb i="9760"/>
        </ext>
      </extLst>
    </bk>
    <bk>
      <extLst>
        <ext uri="{3e2802c4-a4d2-4d8b-9148-e3be6c30e623}">
          <xlrd:rvb i="9761"/>
        </ext>
      </extLst>
    </bk>
    <bk>
      <extLst>
        <ext uri="{3e2802c4-a4d2-4d8b-9148-e3be6c30e623}">
          <xlrd:rvb i="9762"/>
        </ext>
      </extLst>
    </bk>
    <bk>
      <extLst>
        <ext uri="{3e2802c4-a4d2-4d8b-9148-e3be6c30e623}">
          <xlrd:rvb i="9763"/>
        </ext>
      </extLst>
    </bk>
    <bk>
      <extLst>
        <ext uri="{3e2802c4-a4d2-4d8b-9148-e3be6c30e623}">
          <xlrd:rvb i="9764"/>
        </ext>
      </extLst>
    </bk>
    <bk>
      <extLst>
        <ext uri="{3e2802c4-a4d2-4d8b-9148-e3be6c30e623}">
          <xlrd:rvb i="9765"/>
        </ext>
      </extLst>
    </bk>
    <bk>
      <extLst>
        <ext uri="{3e2802c4-a4d2-4d8b-9148-e3be6c30e623}">
          <xlrd:rvb i="9766"/>
        </ext>
      </extLst>
    </bk>
    <bk>
      <extLst>
        <ext uri="{3e2802c4-a4d2-4d8b-9148-e3be6c30e623}">
          <xlrd:rvb i="9767"/>
        </ext>
      </extLst>
    </bk>
    <bk>
      <extLst>
        <ext uri="{3e2802c4-a4d2-4d8b-9148-e3be6c30e623}">
          <xlrd:rvb i="9768"/>
        </ext>
      </extLst>
    </bk>
    <bk>
      <extLst>
        <ext uri="{3e2802c4-a4d2-4d8b-9148-e3be6c30e623}">
          <xlrd:rvb i="9769"/>
        </ext>
      </extLst>
    </bk>
    <bk>
      <extLst>
        <ext uri="{3e2802c4-a4d2-4d8b-9148-e3be6c30e623}">
          <xlrd:rvb i="9770"/>
        </ext>
      </extLst>
    </bk>
    <bk>
      <extLst>
        <ext uri="{3e2802c4-a4d2-4d8b-9148-e3be6c30e623}">
          <xlrd:rvb i="9771"/>
        </ext>
      </extLst>
    </bk>
    <bk>
      <extLst>
        <ext uri="{3e2802c4-a4d2-4d8b-9148-e3be6c30e623}">
          <xlrd:rvb i="9772"/>
        </ext>
      </extLst>
    </bk>
    <bk>
      <extLst>
        <ext uri="{3e2802c4-a4d2-4d8b-9148-e3be6c30e623}">
          <xlrd:rvb i="9773"/>
        </ext>
      </extLst>
    </bk>
    <bk>
      <extLst>
        <ext uri="{3e2802c4-a4d2-4d8b-9148-e3be6c30e623}">
          <xlrd:rvb i="9774"/>
        </ext>
      </extLst>
    </bk>
    <bk>
      <extLst>
        <ext uri="{3e2802c4-a4d2-4d8b-9148-e3be6c30e623}">
          <xlrd:rvb i="9775"/>
        </ext>
      </extLst>
    </bk>
    <bk>
      <extLst>
        <ext uri="{3e2802c4-a4d2-4d8b-9148-e3be6c30e623}">
          <xlrd:rvb i="9776"/>
        </ext>
      </extLst>
    </bk>
    <bk>
      <extLst>
        <ext uri="{3e2802c4-a4d2-4d8b-9148-e3be6c30e623}">
          <xlrd:rvb i="9777"/>
        </ext>
      </extLst>
    </bk>
    <bk>
      <extLst>
        <ext uri="{3e2802c4-a4d2-4d8b-9148-e3be6c30e623}">
          <xlrd:rvb i="9778"/>
        </ext>
      </extLst>
    </bk>
    <bk>
      <extLst>
        <ext uri="{3e2802c4-a4d2-4d8b-9148-e3be6c30e623}">
          <xlrd:rvb i="9779"/>
        </ext>
      </extLst>
    </bk>
    <bk>
      <extLst>
        <ext uri="{3e2802c4-a4d2-4d8b-9148-e3be6c30e623}">
          <xlrd:rvb i="9780"/>
        </ext>
      </extLst>
    </bk>
    <bk>
      <extLst>
        <ext uri="{3e2802c4-a4d2-4d8b-9148-e3be6c30e623}">
          <xlrd:rvb i="9781"/>
        </ext>
      </extLst>
    </bk>
    <bk>
      <extLst>
        <ext uri="{3e2802c4-a4d2-4d8b-9148-e3be6c30e623}">
          <xlrd:rvb i="9782"/>
        </ext>
      </extLst>
    </bk>
    <bk>
      <extLst>
        <ext uri="{3e2802c4-a4d2-4d8b-9148-e3be6c30e623}">
          <xlrd:rvb i="9783"/>
        </ext>
      </extLst>
    </bk>
    <bk>
      <extLst>
        <ext uri="{3e2802c4-a4d2-4d8b-9148-e3be6c30e623}">
          <xlrd:rvb i="9784"/>
        </ext>
      </extLst>
    </bk>
    <bk>
      <extLst>
        <ext uri="{3e2802c4-a4d2-4d8b-9148-e3be6c30e623}">
          <xlrd:rvb i="9785"/>
        </ext>
      </extLst>
    </bk>
    <bk>
      <extLst>
        <ext uri="{3e2802c4-a4d2-4d8b-9148-e3be6c30e623}">
          <xlrd:rvb i="9786"/>
        </ext>
      </extLst>
    </bk>
    <bk>
      <extLst>
        <ext uri="{3e2802c4-a4d2-4d8b-9148-e3be6c30e623}">
          <xlrd:rvb i="9787"/>
        </ext>
      </extLst>
    </bk>
    <bk>
      <extLst>
        <ext uri="{3e2802c4-a4d2-4d8b-9148-e3be6c30e623}">
          <xlrd:rvb i="9788"/>
        </ext>
      </extLst>
    </bk>
    <bk>
      <extLst>
        <ext uri="{3e2802c4-a4d2-4d8b-9148-e3be6c30e623}">
          <xlrd:rvb i="9789"/>
        </ext>
      </extLst>
    </bk>
    <bk>
      <extLst>
        <ext uri="{3e2802c4-a4d2-4d8b-9148-e3be6c30e623}">
          <xlrd:rvb i="9790"/>
        </ext>
      </extLst>
    </bk>
    <bk>
      <extLst>
        <ext uri="{3e2802c4-a4d2-4d8b-9148-e3be6c30e623}">
          <xlrd:rvb i="9791"/>
        </ext>
      </extLst>
    </bk>
    <bk>
      <extLst>
        <ext uri="{3e2802c4-a4d2-4d8b-9148-e3be6c30e623}">
          <xlrd:rvb i="9792"/>
        </ext>
      </extLst>
    </bk>
    <bk>
      <extLst>
        <ext uri="{3e2802c4-a4d2-4d8b-9148-e3be6c30e623}">
          <xlrd:rvb i="9793"/>
        </ext>
      </extLst>
    </bk>
    <bk>
      <extLst>
        <ext uri="{3e2802c4-a4d2-4d8b-9148-e3be6c30e623}">
          <xlrd:rvb i="9794"/>
        </ext>
      </extLst>
    </bk>
    <bk>
      <extLst>
        <ext uri="{3e2802c4-a4d2-4d8b-9148-e3be6c30e623}">
          <xlrd:rvb i="9795"/>
        </ext>
      </extLst>
    </bk>
    <bk>
      <extLst>
        <ext uri="{3e2802c4-a4d2-4d8b-9148-e3be6c30e623}">
          <xlrd:rvb i="9796"/>
        </ext>
      </extLst>
    </bk>
    <bk>
      <extLst>
        <ext uri="{3e2802c4-a4d2-4d8b-9148-e3be6c30e623}">
          <xlrd:rvb i="9797"/>
        </ext>
      </extLst>
    </bk>
    <bk>
      <extLst>
        <ext uri="{3e2802c4-a4d2-4d8b-9148-e3be6c30e623}">
          <xlrd:rvb i="9798"/>
        </ext>
      </extLst>
    </bk>
    <bk>
      <extLst>
        <ext uri="{3e2802c4-a4d2-4d8b-9148-e3be6c30e623}">
          <xlrd:rvb i="9799"/>
        </ext>
      </extLst>
    </bk>
    <bk>
      <extLst>
        <ext uri="{3e2802c4-a4d2-4d8b-9148-e3be6c30e623}">
          <xlrd:rvb i="9800"/>
        </ext>
      </extLst>
    </bk>
    <bk>
      <extLst>
        <ext uri="{3e2802c4-a4d2-4d8b-9148-e3be6c30e623}">
          <xlrd:rvb i="9801"/>
        </ext>
      </extLst>
    </bk>
    <bk>
      <extLst>
        <ext uri="{3e2802c4-a4d2-4d8b-9148-e3be6c30e623}">
          <xlrd:rvb i="9802"/>
        </ext>
      </extLst>
    </bk>
    <bk>
      <extLst>
        <ext uri="{3e2802c4-a4d2-4d8b-9148-e3be6c30e623}">
          <xlrd:rvb i="9803"/>
        </ext>
      </extLst>
    </bk>
    <bk>
      <extLst>
        <ext uri="{3e2802c4-a4d2-4d8b-9148-e3be6c30e623}">
          <xlrd:rvb i="9804"/>
        </ext>
      </extLst>
    </bk>
    <bk>
      <extLst>
        <ext uri="{3e2802c4-a4d2-4d8b-9148-e3be6c30e623}">
          <xlrd:rvb i="9805"/>
        </ext>
      </extLst>
    </bk>
    <bk>
      <extLst>
        <ext uri="{3e2802c4-a4d2-4d8b-9148-e3be6c30e623}">
          <xlrd:rvb i="9806"/>
        </ext>
      </extLst>
    </bk>
    <bk>
      <extLst>
        <ext uri="{3e2802c4-a4d2-4d8b-9148-e3be6c30e623}">
          <xlrd:rvb i="9807"/>
        </ext>
      </extLst>
    </bk>
    <bk>
      <extLst>
        <ext uri="{3e2802c4-a4d2-4d8b-9148-e3be6c30e623}">
          <xlrd:rvb i="9808"/>
        </ext>
      </extLst>
    </bk>
    <bk>
      <extLst>
        <ext uri="{3e2802c4-a4d2-4d8b-9148-e3be6c30e623}">
          <xlrd:rvb i="9809"/>
        </ext>
      </extLst>
    </bk>
    <bk>
      <extLst>
        <ext uri="{3e2802c4-a4d2-4d8b-9148-e3be6c30e623}">
          <xlrd:rvb i="9810"/>
        </ext>
      </extLst>
    </bk>
    <bk>
      <extLst>
        <ext uri="{3e2802c4-a4d2-4d8b-9148-e3be6c30e623}">
          <xlrd:rvb i="9811"/>
        </ext>
      </extLst>
    </bk>
    <bk>
      <extLst>
        <ext uri="{3e2802c4-a4d2-4d8b-9148-e3be6c30e623}">
          <xlrd:rvb i="9812"/>
        </ext>
      </extLst>
    </bk>
    <bk>
      <extLst>
        <ext uri="{3e2802c4-a4d2-4d8b-9148-e3be6c30e623}">
          <xlrd:rvb i="9813"/>
        </ext>
      </extLst>
    </bk>
    <bk>
      <extLst>
        <ext uri="{3e2802c4-a4d2-4d8b-9148-e3be6c30e623}">
          <xlrd:rvb i="9814"/>
        </ext>
      </extLst>
    </bk>
    <bk>
      <extLst>
        <ext uri="{3e2802c4-a4d2-4d8b-9148-e3be6c30e623}">
          <xlrd:rvb i="9815"/>
        </ext>
      </extLst>
    </bk>
    <bk>
      <extLst>
        <ext uri="{3e2802c4-a4d2-4d8b-9148-e3be6c30e623}">
          <xlrd:rvb i="9816"/>
        </ext>
      </extLst>
    </bk>
    <bk>
      <extLst>
        <ext uri="{3e2802c4-a4d2-4d8b-9148-e3be6c30e623}">
          <xlrd:rvb i="9817"/>
        </ext>
      </extLst>
    </bk>
    <bk>
      <extLst>
        <ext uri="{3e2802c4-a4d2-4d8b-9148-e3be6c30e623}">
          <xlrd:rvb i="9818"/>
        </ext>
      </extLst>
    </bk>
    <bk>
      <extLst>
        <ext uri="{3e2802c4-a4d2-4d8b-9148-e3be6c30e623}">
          <xlrd:rvb i="9819"/>
        </ext>
      </extLst>
    </bk>
    <bk>
      <extLst>
        <ext uri="{3e2802c4-a4d2-4d8b-9148-e3be6c30e623}">
          <xlrd:rvb i="9820"/>
        </ext>
      </extLst>
    </bk>
    <bk>
      <extLst>
        <ext uri="{3e2802c4-a4d2-4d8b-9148-e3be6c30e623}">
          <xlrd:rvb i="9821"/>
        </ext>
      </extLst>
    </bk>
    <bk>
      <extLst>
        <ext uri="{3e2802c4-a4d2-4d8b-9148-e3be6c30e623}">
          <xlrd:rvb i="9822"/>
        </ext>
      </extLst>
    </bk>
    <bk>
      <extLst>
        <ext uri="{3e2802c4-a4d2-4d8b-9148-e3be6c30e623}">
          <xlrd:rvb i="9823"/>
        </ext>
      </extLst>
    </bk>
    <bk>
      <extLst>
        <ext uri="{3e2802c4-a4d2-4d8b-9148-e3be6c30e623}">
          <xlrd:rvb i="9824"/>
        </ext>
      </extLst>
    </bk>
    <bk>
      <extLst>
        <ext uri="{3e2802c4-a4d2-4d8b-9148-e3be6c30e623}">
          <xlrd:rvb i="9825"/>
        </ext>
      </extLst>
    </bk>
    <bk>
      <extLst>
        <ext uri="{3e2802c4-a4d2-4d8b-9148-e3be6c30e623}">
          <xlrd:rvb i="9826"/>
        </ext>
      </extLst>
    </bk>
    <bk>
      <extLst>
        <ext uri="{3e2802c4-a4d2-4d8b-9148-e3be6c30e623}">
          <xlrd:rvb i="9827"/>
        </ext>
      </extLst>
    </bk>
    <bk>
      <extLst>
        <ext uri="{3e2802c4-a4d2-4d8b-9148-e3be6c30e623}">
          <xlrd:rvb i="9828"/>
        </ext>
      </extLst>
    </bk>
    <bk>
      <extLst>
        <ext uri="{3e2802c4-a4d2-4d8b-9148-e3be6c30e623}">
          <xlrd:rvb i="9829"/>
        </ext>
      </extLst>
    </bk>
    <bk>
      <extLst>
        <ext uri="{3e2802c4-a4d2-4d8b-9148-e3be6c30e623}">
          <xlrd:rvb i="9830"/>
        </ext>
      </extLst>
    </bk>
    <bk>
      <extLst>
        <ext uri="{3e2802c4-a4d2-4d8b-9148-e3be6c30e623}">
          <xlrd:rvb i="9831"/>
        </ext>
      </extLst>
    </bk>
    <bk>
      <extLst>
        <ext uri="{3e2802c4-a4d2-4d8b-9148-e3be6c30e623}">
          <xlrd:rvb i="9832"/>
        </ext>
      </extLst>
    </bk>
    <bk>
      <extLst>
        <ext uri="{3e2802c4-a4d2-4d8b-9148-e3be6c30e623}">
          <xlrd:rvb i="9833"/>
        </ext>
      </extLst>
    </bk>
    <bk>
      <extLst>
        <ext uri="{3e2802c4-a4d2-4d8b-9148-e3be6c30e623}">
          <xlrd:rvb i="9834"/>
        </ext>
      </extLst>
    </bk>
    <bk>
      <extLst>
        <ext uri="{3e2802c4-a4d2-4d8b-9148-e3be6c30e623}">
          <xlrd:rvb i="9835"/>
        </ext>
      </extLst>
    </bk>
    <bk>
      <extLst>
        <ext uri="{3e2802c4-a4d2-4d8b-9148-e3be6c30e623}">
          <xlrd:rvb i="9836"/>
        </ext>
      </extLst>
    </bk>
    <bk>
      <extLst>
        <ext uri="{3e2802c4-a4d2-4d8b-9148-e3be6c30e623}">
          <xlrd:rvb i="9837"/>
        </ext>
      </extLst>
    </bk>
    <bk>
      <extLst>
        <ext uri="{3e2802c4-a4d2-4d8b-9148-e3be6c30e623}">
          <xlrd:rvb i="9838"/>
        </ext>
      </extLst>
    </bk>
    <bk>
      <extLst>
        <ext uri="{3e2802c4-a4d2-4d8b-9148-e3be6c30e623}">
          <xlrd:rvb i="9839"/>
        </ext>
      </extLst>
    </bk>
    <bk>
      <extLst>
        <ext uri="{3e2802c4-a4d2-4d8b-9148-e3be6c30e623}">
          <xlrd:rvb i="9840"/>
        </ext>
      </extLst>
    </bk>
    <bk>
      <extLst>
        <ext uri="{3e2802c4-a4d2-4d8b-9148-e3be6c30e623}">
          <xlrd:rvb i="9841"/>
        </ext>
      </extLst>
    </bk>
    <bk>
      <extLst>
        <ext uri="{3e2802c4-a4d2-4d8b-9148-e3be6c30e623}">
          <xlrd:rvb i="9842"/>
        </ext>
      </extLst>
    </bk>
    <bk>
      <extLst>
        <ext uri="{3e2802c4-a4d2-4d8b-9148-e3be6c30e623}">
          <xlrd:rvb i="9843"/>
        </ext>
      </extLst>
    </bk>
    <bk>
      <extLst>
        <ext uri="{3e2802c4-a4d2-4d8b-9148-e3be6c30e623}">
          <xlrd:rvb i="9844"/>
        </ext>
      </extLst>
    </bk>
    <bk>
      <extLst>
        <ext uri="{3e2802c4-a4d2-4d8b-9148-e3be6c30e623}">
          <xlrd:rvb i="9845"/>
        </ext>
      </extLst>
    </bk>
    <bk>
      <extLst>
        <ext uri="{3e2802c4-a4d2-4d8b-9148-e3be6c30e623}">
          <xlrd:rvb i="9846"/>
        </ext>
      </extLst>
    </bk>
    <bk>
      <extLst>
        <ext uri="{3e2802c4-a4d2-4d8b-9148-e3be6c30e623}">
          <xlrd:rvb i="9847"/>
        </ext>
      </extLst>
    </bk>
    <bk>
      <extLst>
        <ext uri="{3e2802c4-a4d2-4d8b-9148-e3be6c30e623}">
          <xlrd:rvb i="9848"/>
        </ext>
      </extLst>
    </bk>
    <bk>
      <extLst>
        <ext uri="{3e2802c4-a4d2-4d8b-9148-e3be6c30e623}">
          <xlrd:rvb i="9849"/>
        </ext>
      </extLst>
    </bk>
    <bk>
      <extLst>
        <ext uri="{3e2802c4-a4d2-4d8b-9148-e3be6c30e623}">
          <xlrd:rvb i="9850"/>
        </ext>
      </extLst>
    </bk>
    <bk>
      <extLst>
        <ext uri="{3e2802c4-a4d2-4d8b-9148-e3be6c30e623}">
          <xlrd:rvb i="9851"/>
        </ext>
      </extLst>
    </bk>
    <bk>
      <extLst>
        <ext uri="{3e2802c4-a4d2-4d8b-9148-e3be6c30e623}">
          <xlrd:rvb i="9852"/>
        </ext>
      </extLst>
    </bk>
    <bk>
      <extLst>
        <ext uri="{3e2802c4-a4d2-4d8b-9148-e3be6c30e623}">
          <xlrd:rvb i="9853"/>
        </ext>
      </extLst>
    </bk>
    <bk>
      <extLst>
        <ext uri="{3e2802c4-a4d2-4d8b-9148-e3be6c30e623}">
          <xlrd:rvb i="9854"/>
        </ext>
      </extLst>
    </bk>
    <bk>
      <extLst>
        <ext uri="{3e2802c4-a4d2-4d8b-9148-e3be6c30e623}">
          <xlrd:rvb i="9855"/>
        </ext>
      </extLst>
    </bk>
    <bk>
      <extLst>
        <ext uri="{3e2802c4-a4d2-4d8b-9148-e3be6c30e623}">
          <xlrd:rvb i="9856"/>
        </ext>
      </extLst>
    </bk>
    <bk>
      <extLst>
        <ext uri="{3e2802c4-a4d2-4d8b-9148-e3be6c30e623}">
          <xlrd:rvb i="9857"/>
        </ext>
      </extLst>
    </bk>
    <bk>
      <extLst>
        <ext uri="{3e2802c4-a4d2-4d8b-9148-e3be6c30e623}">
          <xlrd:rvb i="9858"/>
        </ext>
      </extLst>
    </bk>
    <bk>
      <extLst>
        <ext uri="{3e2802c4-a4d2-4d8b-9148-e3be6c30e623}">
          <xlrd:rvb i="9859"/>
        </ext>
      </extLst>
    </bk>
    <bk>
      <extLst>
        <ext uri="{3e2802c4-a4d2-4d8b-9148-e3be6c30e623}">
          <xlrd:rvb i="9860"/>
        </ext>
      </extLst>
    </bk>
    <bk>
      <extLst>
        <ext uri="{3e2802c4-a4d2-4d8b-9148-e3be6c30e623}">
          <xlrd:rvb i="9861"/>
        </ext>
      </extLst>
    </bk>
    <bk>
      <extLst>
        <ext uri="{3e2802c4-a4d2-4d8b-9148-e3be6c30e623}">
          <xlrd:rvb i="9862"/>
        </ext>
      </extLst>
    </bk>
    <bk>
      <extLst>
        <ext uri="{3e2802c4-a4d2-4d8b-9148-e3be6c30e623}">
          <xlrd:rvb i="9863"/>
        </ext>
      </extLst>
    </bk>
    <bk>
      <extLst>
        <ext uri="{3e2802c4-a4d2-4d8b-9148-e3be6c30e623}">
          <xlrd:rvb i="9864"/>
        </ext>
      </extLst>
    </bk>
    <bk>
      <extLst>
        <ext uri="{3e2802c4-a4d2-4d8b-9148-e3be6c30e623}">
          <xlrd:rvb i="9865"/>
        </ext>
      </extLst>
    </bk>
    <bk>
      <extLst>
        <ext uri="{3e2802c4-a4d2-4d8b-9148-e3be6c30e623}">
          <xlrd:rvb i="9866"/>
        </ext>
      </extLst>
    </bk>
    <bk>
      <extLst>
        <ext uri="{3e2802c4-a4d2-4d8b-9148-e3be6c30e623}">
          <xlrd:rvb i="9867"/>
        </ext>
      </extLst>
    </bk>
    <bk>
      <extLst>
        <ext uri="{3e2802c4-a4d2-4d8b-9148-e3be6c30e623}">
          <xlrd:rvb i="9868"/>
        </ext>
      </extLst>
    </bk>
    <bk>
      <extLst>
        <ext uri="{3e2802c4-a4d2-4d8b-9148-e3be6c30e623}">
          <xlrd:rvb i="9869"/>
        </ext>
      </extLst>
    </bk>
    <bk>
      <extLst>
        <ext uri="{3e2802c4-a4d2-4d8b-9148-e3be6c30e623}">
          <xlrd:rvb i="9870"/>
        </ext>
      </extLst>
    </bk>
    <bk>
      <extLst>
        <ext uri="{3e2802c4-a4d2-4d8b-9148-e3be6c30e623}">
          <xlrd:rvb i="9871"/>
        </ext>
      </extLst>
    </bk>
    <bk>
      <extLst>
        <ext uri="{3e2802c4-a4d2-4d8b-9148-e3be6c30e623}">
          <xlrd:rvb i="9872"/>
        </ext>
      </extLst>
    </bk>
    <bk>
      <extLst>
        <ext uri="{3e2802c4-a4d2-4d8b-9148-e3be6c30e623}">
          <xlrd:rvb i="9873"/>
        </ext>
      </extLst>
    </bk>
    <bk>
      <extLst>
        <ext uri="{3e2802c4-a4d2-4d8b-9148-e3be6c30e623}">
          <xlrd:rvb i="9874"/>
        </ext>
      </extLst>
    </bk>
    <bk>
      <extLst>
        <ext uri="{3e2802c4-a4d2-4d8b-9148-e3be6c30e623}">
          <xlrd:rvb i="9875"/>
        </ext>
      </extLst>
    </bk>
    <bk>
      <extLst>
        <ext uri="{3e2802c4-a4d2-4d8b-9148-e3be6c30e623}">
          <xlrd:rvb i="9876"/>
        </ext>
      </extLst>
    </bk>
    <bk>
      <extLst>
        <ext uri="{3e2802c4-a4d2-4d8b-9148-e3be6c30e623}">
          <xlrd:rvb i="9877"/>
        </ext>
      </extLst>
    </bk>
    <bk>
      <extLst>
        <ext uri="{3e2802c4-a4d2-4d8b-9148-e3be6c30e623}">
          <xlrd:rvb i="9878"/>
        </ext>
      </extLst>
    </bk>
    <bk>
      <extLst>
        <ext uri="{3e2802c4-a4d2-4d8b-9148-e3be6c30e623}">
          <xlrd:rvb i="9879"/>
        </ext>
      </extLst>
    </bk>
    <bk>
      <extLst>
        <ext uri="{3e2802c4-a4d2-4d8b-9148-e3be6c30e623}">
          <xlrd:rvb i="9880"/>
        </ext>
      </extLst>
    </bk>
    <bk>
      <extLst>
        <ext uri="{3e2802c4-a4d2-4d8b-9148-e3be6c30e623}">
          <xlrd:rvb i="9881"/>
        </ext>
      </extLst>
    </bk>
    <bk>
      <extLst>
        <ext uri="{3e2802c4-a4d2-4d8b-9148-e3be6c30e623}">
          <xlrd:rvb i="9882"/>
        </ext>
      </extLst>
    </bk>
    <bk>
      <extLst>
        <ext uri="{3e2802c4-a4d2-4d8b-9148-e3be6c30e623}">
          <xlrd:rvb i="9883"/>
        </ext>
      </extLst>
    </bk>
    <bk>
      <extLst>
        <ext uri="{3e2802c4-a4d2-4d8b-9148-e3be6c30e623}">
          <xlrd:rvb i="9884"/>
        </ext>
      </extLst>
    </bk>
    <bk>
      <extLst>
        <ext uri="{3e2802c4-a4d2-4d8b-9148-e3be6c30e623}">
          <xlrd:rvb i="9885"/>
        </ext>
      </extLst>
    </bk>
    <bk>
      <extLst>
        <ext uri="{3e2802c4-a4d2-4d8b-9148-e3be6c30e623}">
          <xlrd:rvb i="9886"/>
        </ext>
      </extLst>
    </bk>
    <bk>
      <extLst>
        <ext uri="{3e2802c4-a4d2-4d8b-9148-e3be6c30e623}">
          <xlrd:rvb i="9887"/>
        </ext>
      </extLst>
    </bk>
    <bk>
      <extLst>
        <ext uri="{3e2802c4-a4d2-4d8b-9148-e3be6c30e623}">
          <xlrd:rvb i="9888"/>
        </ext>
      </extLst>
    </bk>
    <bk>
      <extLst>
        <ext uri="{3e2802c4-a4d2-4d8b-9148-e3be6c30e623}">
          <xlrd:rvb i="9889"/>
        </ext>
      </extLst>
    </bk>
    <bk>
      <extLst>
        <ext uri="{3e2802c4-a4d2-4d8b-9148-e3be6c30e623}">
          <xlrd:rvb i="9890"/>
        </ext>
      </extLst>
    </bk>
    <bk>
      <extLst>
        <ext uri="{3e2802c4-a4d2-4d8b-9148-e3be6c30e623}">
          <xlrd:rvb i="9891"/>
        </ext>
      </extLst>
    </bk>
    <bk>
      <extLst>
        <ext uri="{3e2802c4-a4d2-4d8b-9148-e3be6c30e623}">
          <xlrd:rvb i="9892"/>
        </ext>
      </extLst>
    </bk>
    <bk>
      <extLst>
        <ext uri="{3e2802c4-a4d2-4d8b-9148-e3be6c30e623}">
          <xlrd:rvb i="9893"/>
        </ext>
      </extLst>
    </bk>
    <bk>
      <extLst>
        <ext uri="{3e2802c4-a4d2-4d8b-9148-e3be6c30e623}">
          <xlrd:rvb i="9894"/>
        </ext>
      </extLst>
    </bk>
    <bk>
      <extLst>
        <ext uri="{3e2802c4-a4d2-4d8b-9148-e3be6c30e623}">
          <xlrd:rvb i="9895"/>
        </ext>
      </extLst>
    </bk>
    <bk>
      <extLst>
        <ext uri="{3e2802c4-a4d2-4d8b-9148-e3be6c30e623}">
          <xlrd:rvb i="9896"/>
        </ext>
      </extLst>
    </bk>
    <bk>
      <extLst>
        <ext uri="{3e2802c4-a4d2-4d8b-9148-e3be6c30e623}">
          <xlrd:rvb i="9897"/>
        </ext>
      </extLst>
    </bk>
    <bk>
      <extLst>
        <ext uri="{3e2802c4-a4d2-4d8b-9148-e3be6c30e623}">
          <xlrd:rvb i="9898"/>
        </ext>
      </extLst>
    </bk>
    <bk>
      <extLst>
        <ext uri="{3e2802c4-a4d2-4d8b-9148-e3be6c30e623}">
          <xlrd:rvb i="9899"/>
        </ext>
      </extLst>
    </bk>
    <bk>
      <extLst>
        <ext uri="{3e2802c4-a4d2-4d8b-9148-e3be6c30e623}">
          <xlrd:rvb i="9900"/>
        </ext>
      </extLst>
    </bk>
    <bk>
      <extLst>
        <ext uri="{3e2802c4-a4d2-4d8b-9148-e3be6c30e623}">
          <xlrd:rvb i="9901"/>
        </ext>
      </extLst>
    </bk>
    <bk>
      <extLst>
        <ext uri="{3e2802c4-a4d2-4d8b-9148-e3be6c30e623}">
          <xlrd:rvb i="9902"/>
        </ext>
      </extLst>
    </bk>
    <bk>
      <extLst>
        <ext uri="{3e2802c4-a4d2-4d8b-9148-e3be6c30e623}">
          <xlrd:rvb i="9903"/>
        </ext>
      </extLst>
    </bk>
    <bk>
      <extLst>
        <ext uri="{3e2802c4-a4d2-4d8b-9148-e3be6c30e623}">
          <xlrd:rvb i="9904"/>
        </ext>
      </extLst>
    </bk>
    <bk>
      <extLst>
        <ext uri="{3e2802c4-a4d2-4d8b-9148-e3be6c30e623}">
          <xlrd:rvb i="9905"/>
        </ext>
      </extLst>
    </bk>
    <bk>
      <extLst>
        <ext uri="{3e2802c4-a4d2-4d8b-9148-e3be6c30e623}">
          <xlrd:rvb i="9906"/>
        </ext>
      </extLst>
    </bk>
    <bk>
      <extLst>
        <ext uri="{3e2802c4-a4d2-4d8b-9148-e3be6c30e623}">
          <xlrd:rvb i="9907"/>
        </ext>
      </extLst>
    </bk>
    <bk>
      <extLst>
        <ext uri="{3e2802c4-a4d2-4d8b-9148-e3be6c30e623}">
          <xlrd:rvb i="9908"/>
        </ext>
      </extLst>
    </bk>
    <bk>
      <extLst>
        <ext uri="{3e2802c4-a4d2-4d8b-9148-e3be6c30e623}">
          <xlrd:rvb i="9909"/>
        </ext>
      </extLst>
    </bk>
    <bk>
      <extLst>
        <ext uri="{3e2802c4-a4d2-4d8b-9148-e3be6c30e623}">
          <xlrd:rvb i="9910"/>
        </ext>
      </extLst>
    </bk>
    <bk>
      <extLst>
        <ext uri="{3e2802c4-a4d2-4d8b-9148-e3be6c30e623}">
          <xlrd:rvb i="9911"/>
        </ext>
      </extLst>
    </bk>
    <bk>
      <extLst>
        <ext uri="{3e2802c4-a4d2-4d8b-9148-e3be6c30e623}">
          <xlrd:rvb i="9912"/>
        </ext>
      </extLst>
    </bk>
    <bk>
      <extLst>
        <ext uri="{3e2802c4-a4d2-4d8b-9148-e3be6c30e623}">
          <xlrd:rvb i="9913"/>
        </ext>
      </extLst>
    </bk>
    <bk>
      <extLst>
        <ext uri="{3e2802c4-a4d2-4d8b-9148-e3be6c30e623}">
          <xlrd:rvb i="9914"/>
        </ext>
      </extLst>
    </bk>
    <bk>
      <extLst>
        <ext uri="{3e2802c4-a4d2-4d8b-9148-e3be6c30e623}">
          <xlrd:rvb i="9915"/>
        </ext>
      </extLst>
    </bk>
    <bk>
      <extLst>
        <ext uri="{3e2802c4-a4d2-4d8b-9148-e3be6c30e623}">
          <xlrd:rvb i="9916"/>
        </ext>
      </extLst>
    </bk>
    <bk>
      <extLst>
        <ext uri="{3e2802c4-a4d2-4d8b-9148-e3be6c30e623}">
          <xlrd:rvb i="9917"/>
        </ext>
      </extLst>
    </bk>
    <bk>
      <extLst>
        <ext uri="{3e2802c4-a4d2-4d8b-9148-e3be6c30e623}">
          <xlrd:rvb i="9918"/>
        </ext>
      </extLst>
    </bk>
    <bk>
      <extLst>
        <ext uri="{3e2802c4-a4d2-4d8b-9148-e3be6c30e623}">
          <xlrd:rvb i="9919"/>
        </ext>
      </extLst>
    </bk>
    <bk>
      <extLst>
        <ext uri="{3e2802c4-a4d2-4d8b-9148-e3be6c30e623}">
          <xlrd:rvb i="9920"/>
        </ext>
      </extLst>
    </bk>
    <bk>
      <extLst>
        <ext uri="{3e2802c4-a4d2-4d8b-9148-e3be6c30e623}">
          <xlrd:rvb i="9921"/>
        </ext>
      </extLst>
    </bk>
    <bk>
      <extLst>
        <ext uri="{3e2802c4-a4d2-4d8b-9148-e3be6c30e623}">
          <xlrd:rvb i="9922"/>
        </ext>
      </extLst>
    </bk>
    <bk>
      <extLst>
        <ext uri="{3e2802c4-a4d2-4d8b-9148-e3be6c30e623}">
          <xlrd:rvb i="9923"/>
        </ext>
      </extLst>
    </bk>
    <bk>
      <extLst>
        <ext uri="{3e2802c4-a4d2-4d8b-9148-e3be6c30e623}">
          <xlrd:rvb i="9924"/>
        </ext>
      </extLst>
    </bk>
    <bk>
      <extLst>
        <ext uri="{3e2802c4-a4d2-4d8b-9148-e3be6c30e623}">
          <xlrd:rvb i="9925"/>
        </ext>
      </extLst>
    </bk>
    <bk>
      <extLst>
        <ext uri="{3e2802c4-a4d2-4d8b-9148-e3be6c30e623}">
          <xlrd:rvb i="9926"/>
        </ext>
      </extLst>
    </bk>
    <bk>
      <extLst>
        <ext uri="{3e2802c4-a4d2-4d8b-9148-e3be6c30e623}">
          <xlrd:rvb i="9927"/>
        </ext>
      </extLst>
    </bk>
    <bk>
      <extLst>
        <ext uri="{3e2802c4-a4d2-4d8b-9148-e3be6c30e623}">
          <xlrd:rvb i="9928"/>
        </ext>
      </extLst>
    </bk>
    <bk>
      <extLst>
        <ext uri="{3e2802c4-a4d2-4d8b-9148-e3be6c30e623}">
          <xlrd:rvb i="9929"/>
        </ext>
      </extLst>
    </bk>
    <bk>
      <extLst>
        <ext uri="{3e2802c4-a4d2-4d8b-9148-e3be6c30e623}">
          <xlrd:rvb i="9930"/>
        </ext>
      </extLst>
    </bk>
    <bk>
      <extLst>
        <ext uri="{3e2802c4-a4d2-4d8b-9148-e3be6c30e623}">
          <xlrd:rvb i="9931"/>
        </ext>
      </extLst>
    </bk>
    <bk>
      <extLst>
        <ext uri="{3e2802c4-a4d2-4d8b-9148-e3be6c30e623}">
          <xlrd:rvb i="9932"/>
        </ext>
      </extLst>
    </bk>
    <bk>
      <extLst>
        <ext uri="{3e2802c4-a4d2-4d8b-9148-e3be6c30e623}">
          <xlrd:rvb i="9933"/>
        </ext>
      </extLst>
    </bk>
    <bk>
      <extLst>
        <ext uri="{3e2802c4-a4d2-4d8b-9148-e3be6c30e623}">
          <xlrd:rvb i="9934"/>
        </ext>
      </extLst>
    </bk>
    <bk>
      <extLst>
        <ext uri="{3e2802c4-a4d2-4d8b-9148-e3be6c30e623}">
          <xlrd:rvb i="9935"/>
        </ext>
      </extLst>
    </bk>
    <bk>
      <extLst>
        <ext uri="{3e2802c4-a4d2-4d8b-9148-e3be6c30e623}">
          <xlrd:rvb i="9936"/>
        </ext>
      </extLst>
    </bk>
    <bk>
      <extLst>
        <ext uri="{3e2802c4-a4d2-4d8b-9148-e3be6c30e623}">
          <xlrd:rvb i="9937"/>
        </ext>
      </extLst>
    </bk>
    <bk>
      <extLst>
        <ext uri="{3e2802c4-a4d2-4d8b-9148-e3be6c30e623}">
          <xlrd:rvb i="9938"/>
        </ext>
      </extLst>
    </bk>
    <bk>
      <extLst>
        <ext uri="{3e2802c4-a4d2-4d8b-9148-e3be6c30e623}">
          <xlrd:rvb i="9939"/>
        </ext>
      </extLst>
    </bk>
    <bk>
      <extLst>
        <ext uri="{3e2802c4-a4d2-4d8b-9148-e3be6c30e623}">
          <xlrd:rvb i="9940"/>
        </ext>
      </extLst>
    </bk>
    <bk>
      <extLst>
        <ext uri="{3e2802c4-a4d2-4d8b-9148-e3be6c30e623}">
          <xlrd:rvb i="9941"/>
        </ext>
      </extLst>
    </bk>
    <bk>
      <extLst>
        <ext uri="{3e2802c4-a4d2-4d8b-9148-e3be6c30e623}">
          <xlrd:rvb i="9942"/>
        </ext>
      </extLst>
    </bk>
    <bk>
      <extLst>
        <ext uri="{3e2802c4-a4d2-4d8b-9148-e3be6c30e623}">
          <xlrd:rvb i="9943"/>
        </ext>
      </extLst>
    </bk>
    <bk>
      <extLst>
        <ext uri="{3e2802c4-a4d2-4d8b-9148-e3be6c30e623}">
          <xlrd:rvb i="9944"/>
        </ext>
      </extLst>
    </bk>
    <bk>
      <extLst>
        <ext uri="{3e2802c4-a4d2-4d8b-9148-e3be6c30e623}">
          <xlrd:rvb i="9945"/>
        </ext>
      </extLst>
    </bk>
    <bk>
      <extLst>
        <ext uri="{3e2802c4-a4d2-4d8b-9148-e3be6c30e623}">
          <xlrd:rvb i="9946"/>
        </ext>
      </extLst>
    </bk>
    <bk>
      <extLst>
        <ext uri="{3e2802c4-a4d2-4d8b-9148-e3be6c30e623}">
          <xlrd:rvb i="9947"/>
        </ext>
      </extLst>
    </bk>
    <bk>
      <extLst>
        <ext uri="{3e2802c4-a4d2-4d8b-9148-e3be6c30e623}">
          <xlrd:rvb i="9948"/>
        </ext>
      </extLst>
    </bk>
    <bk>
      <extLst>
        <ext uri="{3e2802c4-a4d2-4d8b-9148-e3be6c30e623}">
          <xlrd:rvb i="9949"/>
        </ext>
      </extLst>
    </bk>
    <bk>
      <extLst>
        <ext uri="{3e2802c4-a4d2-4d8b-9148-e3be6c30e623}">
          <xlrd:rvb i="9950"/>
        </ext>
      </extLst>
    </bk>
    <bk>
      <extLst>
        <ext uri="{3e2802c4-a4d2-4d8b-9148-e3be6c30e623}">
          <xlrd:rvb i="9951"/>
        </ext>
      </extLst>
    </bk>
    <bk>
      <extLst>
        <ext uri="{3e2802c4-a4d2-4d8b-9148-e3be6c30e623}">
          <xlrd:rvb i="9952"/>
        </ext>
      </extLst>
    </bk>
    <bk>
      <extLst>
        <ext uri="{3e2802c4-a4d2-4d8b-9148-e3be6c30e623}">
          <xlrd:rvb i="9953"/>
        </ext>
      </extLst>
    </bk>
    <bk>
      <extLst>
        <ext uri="{3e2802c4-a4d2-4d8b-9148-e3be6c30e623}">
          <xlrd:rvb i="9954"/>
        </ext>
      </extLst>
    </bk>
    <bk>
      <extLst>
        <ext uri="{3e2802c4-a4d2-4d8b-9148-e3be6c30e623}">
          <xlrd:rvb i="9955"/>
        </ext>
      </extLst>
    </bk>
    <bk>
      <extLst>
        <ext uri="{3e2802c4-a4d2-4d8b-9148-e3be6c30e623}">
          <xlrd:rvb i="9956"/>
        </ext>
      </extLst>
    </bk>
    <bk>
      <extLst>
        <ext uri="{3e2802c4-a4d2-4d8b-9148-e3be6c30e623}">
          <xlrd:rvb i="9957"/>
        </ext>
      </extLst>
    </bk>
    <bk>
      <extLst>
        <ext uri="{3e2802c4-a4d2-4d8b-9148-e3be6c30e623}">
          <xlrd:rvb i="9958"/>
        </ext>
      </extLst>
    </bk>
    <bk>
      <extLst>
        <ext uri="{3e2802c4-a4d2-4d8b-9148-e3be6c30e623}">
          <xlrd:rvb i="9959"/>
        </ext>
      </extLst>
    </bk>
    <bk>
      <extLst>
        <ext uri="{3e2802c4-a4d2-4d8b-9148-e3be6c30e623}">
          <xlrd:rvb i="9960"/>
        </ext>
      </extLst>
    </bk>
    <bk>
      <extLst>
        <ext uri="{3e2802c4-a4d2-4d8b-9148-e3be6c30e623}">
          <xlrd:rvb i="9961"/>
        </ext>
      </extLst>
    </bk>
    <bk>
      <extLst>
        <ext uri="{3e2802c4-a4d2-4d8b-9148-e3be6c30e623}">
          <xlrd:rvb i="9962"/>
        </ext>
      </extLst>
    </bk>
    <bk>
      <extLst>
        <ext uri="{3e2802c4-a4d2-4d8b-9148-e3be6c30e623}">
          <xlrd:rvb i="9963"/>
        </ext>
      </extLst>
    </bk>
    <bk>
      <extLst>
        <ext uri="{3e2802c4-a4d2-4d8b-9148-e3be6c30e623}">
          <xlrd:rvb i="9964"/>
        </ext>
      </extLst>
    </bk>
    <bk>
      <extLst>
        <ext uri="{3e2802c4-a4d2-4d8b-9148-e3be6c30e623}">
          <xlrd:rvb i="9965"/>
        </ext>
      </extLst>
    </bk>
    <bk>
      <extLst>
        <ext uri="{3e2802c4-a4d2-4d8b-9148-e3be6c30e623}">
          <xlrd:rvb i="9966"/>
        </ext>
      </extLst>
    </bk>
    <bk>
      <extLst>
        <ext uri="{3e2802c4-a4d2-4d8b-9148-e3be6c30e623}">
          <xlrd:rvb i="9967"/>
        </ext>
      </extLst>
    </bk>
    <bk>
      <extLst>
        <ext uri="{3e2802c4-a4d2-4d8b-9148-e3be6c30e623}">
          <xlrd:rvb i="9968"/>
        </ext>
      </extLst>
    </bk>
    <bk>
      <extLst>
        <ext uri="{3e2802c4-a4d2-4d8b-9148-e3be6c30e623}">
          <xlrd:rvb i="9969"/>
        </ext>
      </extLst>
    </bk>
    <bk>
      <extLst>
        <ext uri="{3e2802c4-a4d2-4d8b-9148-e3be6c30e623}">
          <xlrd:rvb i="9970"/>
        </ext>
      </extLst>
    </bk>
    <bk>
      <extLst>
        <ext uri="{3e2802c4-a4d2-4d8b-9148-e3be6c30e623}">
          <xlrd:rvb i="9971"/>
        </ext>
      </extLst>
    </bk>
    <bk>
      <extLst>
        <ext uri="{3e2802c4-a4d2-4d8b-9148-e3be6c30e623}">
          <xlrd:rvb i="9972"/>
        </ext>
      </extLst>
    </bk>
    <bk>
      <extLst>
        <ext uri="{3e2802c4-a4d2-4d8b-9148-e3be6c30e623}">
          <xlrd:rvb i="9973"/>
        </ext>
      </extLst>
    </bk>
    <bk>
      <extLst>
        <ext uri="{3e2802c4-a4d2-4d8b-9148-e3be6c30e623}">
          <xlrd:rvb i="9974"/>
        </ext>
      </extLst>
    </bk>
    <bk>
      <extLst>
        <ext uri="{3e2802c4-a4d2-4d8b-9148-e3be6c30e623}">
          <xlrd:rvb i="9975"/>
        </ext>
      </extLst>
    </bk>
    <bk>
      <extLst>
        <ext uri="{3e2802c4-a4d2-4d8b-9148-e3be6c30e623}">
          <xlrd:rvb i="9976"/>
        </ext>
      </extLst>
    </bk>
    <bk>
      <extLst>
        <ext uri="{3e2802c4-a4d2-4d8b-9148-e3be6c30e623}">
          <xlrd:rvb i="9977"/>
        </ext>
      </extLst>
    </bk>
    <bk>
      <extLst>
        <ext uri="{3e2802c4-a4d2-4d8b-9148-e3be6c30e623}">
          <xlrd:rvb i="9978"/>
        </ext>
      </extLst>
    </bk>
    <bk>
      <extLst>
        <ext uri="{3e2802c4-a4d2-4d8b-9148-e3be6c30e623}">
          <xlrd:rvb i="9979"/>
        </ext>
      </extLst>
    </bk>
    <bk>
      <extLst>
        <ext uri="{3e2802c4-a4d2-4d8b-9148-e3be6c30e623}">
          <xlrd:rvb i="9980"/>
        </ext>
      </extLst>
    </bk>
    <bk>
      <extLst>
        <ext uri="{3e2802c4-a4d2-4d8b-9148-e3be6c30e623}">
          <xlrd:rvb i="9981"/>
        </ext>
      </extLst>
    </bk>
    <bk>
      <extLst>
        <ext uri="{3e2802c4-a4d2-4d8b-9148-e3be6c30e623}">
          <xlrd:rvb i="9982"/>
        </ext>
      </extLst>
    </bk>
    <bk>
      <extLst>
        <ext uri="{3e2802c4-a4d2-4d8b-9148-e3be6c30e623}">
          <xlrd:rvb i="9983"/>
        </ext>
      </extLst>
    </bk>
    <bk>
      <extLst>
        <ext uri="{3e2802c4-a4d2-4d8b-9148-e3be6c30e623}">
          <xlrd:rvb i="9984"/>
        </ext>
      </extLst>
    </bk>
    <bk>
      <extLst>
        <ext uri="{3e2802c4-a4d2-4d8b-9148-e3be6c30e623}">
          <xlrd:rvb i="9985"/>
        </ext>
      </extLst>
    </bk>
    <bk>
      <extLst>
        <ext uri="{3e2802c4-a4d2-4d8b-9148-e3be6c30e623}">
          <xlrd:rvb i="9986"/>
        </ext>
      </extLst>
    </bk>
    <bk>
      <extLst>
        <ext uri="{3e2802c4-a4d2-4d8b-9148-e3be6c30e623}">
          <xlrd:rvb i="9987"/>
        </ext>
      </extLst>
    </bk>
    <bk>
      <extLst>
        <ext uri="{3e2802c4-a4d2-4d8b-9148-e3be6c30e623}">
          <xlrd:rvb i="9988"/>
        </ext>
      </extLst>
    </bk>
    <bk>
      <extLst>
        <ext uri="{3e2802c4-a4d2-4d8b-9148-e3be6c30e623}">
          <xlrd:rvb i="9989"/>
        </ext>
      </extLst>
    </bk>
    <bk>
      <extLst>
        <ext uri="{3e2802c4-a4d2-4d8b-9148-e3be6c30e623}">
          <xlrd:rvb i="9990"/>
        </ext>
      </extLst>
    </bk>
    <bk>
      <extLst>
        <ext uri="{3e2802c4-a4d2-4d8b-9148-e3be6c30e623}">
          <xlrd:rvb i="9991"/>
        </ext>
      </extLst>
    </bk>
    <bk>
      <extLst>
        <ext uri="{3e2802c4-a4d2-4d8b-9148-e3be6c30e623}">
          <xlrd:rvb i="9992"/>
        </ext>
      </extLst>
    </bk>
    <bk>
      <extLst>
        <ext uri="{3e2802c4-a4d2-4d8b-9148-e3be6c30e623}">
          <xlrd:rvb i="9993"/>
        </ext>
      </extLst>
    </bk>
    <bk>
      <extLst>
        <ext uri="{3e2802c4-a4d2-4d8b-9148-e3be6c30e623}">
          <xlrd:rvb i="9994"/>
        </ext>
      </extLst>
    </bk>
    <bk>
      <extLst>
        <ext uri="{3e2802c4-a4d2-4d8b-9148-e3be6c30e623}">
          <xlrd:rvb i="9995"/>
        </ext>
      </extLst>
    </bk>
    <bk>
      <extLst>
        <ext uri="{3e2802c4-a4d2-4d8b-9148-e3be6c30e623}">
          <xlrd:rvb i="9996"/>
        </ext>
      </extLst>
    </bk>
    <bk>
      <extLst>
        <ext uri="{3e2802c4-a4d2-4d8b-9148-e3be6c30e623}">
          <xlrd:rvb i="9997"/>
        </ext>
      </extLst>
    </bk>
    <bk>
      <extLst>
        <ext uri="{3e2802c4-a4d2-4d8b-9148-e3be6c30e623}">
          <xlrd:rvb i="9998"/>
        </ext>
      </extLst>
    </bk>
    <bk>
      <extLst>
        <ext uri="{3e2802c4-a4d2-4d8b-9148-e3be6c30e623}">
          <xlrd:rvb i="9999"/>
        </ext>
      </extLst>
    </bk>
    <bk>
      <extLst>
        <ext uri="{3e2802c4-a4d2-4d8b-9148-e3be6c30e623}">
          <xlrd:rvb i="10000"/>
        </ext>
      </extLst>
    </bk>
    <bk>
      <extLst>
        <ext uri="{3e2802c4-a4d2-4d8b-9148-e3be6c30e623}">
          <xlrd:rvb i="10001"/>
        </ext>
      </extLst>
    </bk>
    <bk>
      <extLst>
        <ext uri="{3e2802c4-a4d2-4d8b-9148-e3be6c30e623}">
          <xlrd:rvb i="10002"/>
        </ext>
      </extLst>
    </bk>
    <bk>
      <extLst>
        <ext uri="{3e2802c4-a4d2-4d8b-9148-e3be6c30e623}">
          <xlrd:rvb i="10003"/>
        </ext>
      </extLst>
    </bk>
    <bk>
      <extLst>
        <ext uri="{3e2802c4-a4d2-4d8b-9148-e3be6c30e623}">
          <xlrd:rvb i="10004"/>
        </ext>
      </extLst>
    </bk>
    <bk>
      <extLst>
        <ext uri="{3e2802c4-a4d2-4d8b-9148-e3be6c30e623}">
          <xlrd:rvb i="10005"/>
        </ext>
      </extLst>
    </bk>
    <bk>
      <extLst>
        <ext uri="{3e2802c4-a4d2-4d8b-9148-e3be6c30e623}">
          <xlrd:rvb i="10006"/>
        </ext>
      </extLst>
    </bk>
    <bk>
      <extLst>
        <ext uri="{3e2802c4-a4d2-4d8b-9148-e3be6c30e623}">
          <xlrd:rvb i="10007"/>
        </ext>
      </extLst>
    </bk>
    <bk>
      <extLst>
        <ext uri="{3e2802c4-a4d2-4d8b-9148-e3be6c30e623}">
          <xlrd:rvb i="10008"/>
        </ext>
      </extLst>
    </bk>
    <bk>
      <extLst>
        <ext uri="{3e2802c4-a4d2-4d8b-9148-e3be6c30e623}">
          <xlrd:rvb i="10009"/>
        </ext>
      </extLst>
    </bk>
    <bk>
      <extLst>
        <ext uri="{3e2802c4-a4d2-4d8b-9148-e3be6c30e623}">
          <xlrd:rvb i="10010"/>
        </ext>
      </extLst>
    </bk>
    <bk>
      <extLst>
        <ext uri="{3e2802c4-a4d2-4d8b-9148-e3be6c30e623}">
          <xlrd:rvb i="10011"/>
        </ext>
      </extLst>
    </bk>
    <bk>
      <extLst>
        <ext uri="{3e2802c4-a4d2-4d8b-9148-e3be6c30e623}">
          <xlrd:rvb i="10012"/>
        </ext>
      </extLst>
    </bk>
    <bk>
      <extLst>
        <ext uri="{3e2802c4-a4d2-4d8b-9148-e3be6c30e623}">
          <xlrd:rvb i="10013"/>
        </ext>
      </extLst>
    </bk>
    <bk>
      <extLst>
        <ext uri="{3e2802c4-a4d2-4d8b-9148-e3be6c30e623}">
          <xlrd:rvb i="10014"/>
        </ext>
      </extLst>
    </bk>
    <bk>
      <extLst>
        <ext uri="{3e2802c4-a4d2-4d8b-9148-e3be6c30e623}">
          <xlrd:rvb i="10015"/>
        </ext>
      </extLst>
    </bk>
    <bk>
      <extLst>
        <ext uri="{3e2802c4-a4d2-4d8b-9148-e3be6c30e623}">
          <xlrd:rvb i="10016"/>
        </ext>
      </extLst>
    </bk>
    <bk>
      <extLst>
        <ext uri="{3e2802c4-a4d2-4d8b-9148-e3be6c30e623}">
          <xlrd:rvb i="10017"/>
        </ext>
      </extLst>
    </bk>
    <bk>
      <extLst>
        <ext uri="{3e2802c4-a4d2-4d8b-9148-e3be6c30e623}">
          <xlrd:rvb i="10018"/>
        </ext>
      </extLst>
    </bk>
    <bk>
      <extLst>
        <ext uri="{3e2802c4-a4d2-4d8b-9148-e3be6c30e623}">
          <xlrd:rvb i="10019"/>
        </ext>
      </extLst>
    </bk>
    <bk>
      <extLst>
        <ext uri="{3e2802c4-a4d2-4d8b-9148-e3be6c30e623}">
          <xlrd:rvb i="10020"/>
        </ext>
      </extLst>
    </bk>
    <bk>
      <extLst>
        <ext uri="{3e2802c4-a4d2-4d8b-9148-e3be6c30e623}">
          <xlrd:rvb i="10021"/>
        </ext>
      </extLst>
    </bk>
    <bk>
      <extLst>
        <ext uri="{3e2802c4-a4d2-4d8b-9148-e3be6c30e623}">
          <xlrd:rvb i="10022"/>
        </ext>
      </extLst>
    </bk>
    <bk>
      <extLst>
        <ext uri="{3e2802c4-a4d2-4d8b-9148-e3be6c30e623}">
          <xlrd:rvb i="10023"/>
        </ext>
      </extLst>
    </bk>
    <bk>
      <extLst>
        <ext uri="{3e2802c4-a4d2-4d8b-9148-e3be6c30e623}">
          <xlrd:rvb i="10024"/>
        </ext>
      </extLst>
    </bk>
    <bk>
      <extLst>
        <ext uri="{3e2802c4-a4d2-4d8b-9148-e3be6c30e623}">
          <xlrd:rvb i="10025"/>
        </ext>
      </extLst>
    </bk>
    <bk>
      <extLst>
        <ext uri="{3e2802c4-a4d2-4d8b-9148-e3be6c30e623}">
          <xlrd:rvb i="10026"/>
        </ext>
      </extLst>
    </bk>
    <bk>
      <extLst>
        <ext uri="{3e2802c4-a4d2-4d8b-9148-e3be6c30e623}">
          <xlrd:rvb i="10027"/>
        </ext>
      </extLst>
    </bk>
    <bk>
      <extLst>
        <ext uri="{3e2802c4-a4d2-4d8b-9148-e3be6c30e623}">
          <xlrd:rvb i="10028"/>
        </ext>
      </extLst>
    </bk>
    <bk>
      <extLst>
        <ext uri="{3e2802c4-a4d2-4d8b-9148-e3be6c30e623}">
          <xlrd:rvb i="10029"/>
        </ext>
      </extLst>
    </bk>
    <bk>
      <extLst>
        <ext uri="{3e2802c4-a4d2-4d8b-9148-e3be6c30e623}">
          <xlrd:rvb i="10030"/>
        </ext>
      </extLst>
    </bk>
    <bk>
      <extLst>
        <ext uri="{3e2802c4-a4d2-4d8b-9148-e3be6c30e623}">
          <xlrd:rvb i="10031"/>
        </ext>
      </extLst>
    </bk>
    <bk>
      <extLst>
        <ext uri="{3e2802c4-a4d2-4d8b-9148-e3be6c30e623}">
          <xlrd:rvb i="10032"/>
        </ext>
      </extLst>
    </bk>
    <bk>
      <extLst>
        <ext uri="{3e2802c4-a4d2-4d8b-9148-e3be6c30e623}">
          <xlrd:rvb i="10033"/>
        </ext>
      </extLst>
    </bk>
    <bk>
      <extLst>
        <ext uri="{3e2802c4-a4d2-4d8b-9148-e3be6c30e623}">
          <xlrd:rvb i="10034"/>
        </ext>
      </extLst>
    </bk>
    <bk>
      <extLst>
        <ext uri="{3e2802c4-a4d2-4d8b-9148-e3be6c30e623}">
          <xlrd:rvb i="10035"/>
        </ext>
      </extLst>
    </bk>
    <bk>
      <extLst>
        <ext uri="{3e2802c4-a4d2-4d8b-9148-e3be6c30e623}">
          <xlrd:rvb i="10036"/>
        </ext>
      </extLst>
    </bk>
    <bk>
      <extLst>
        <ext uri="{3e2802c4-a4d2-4d8b-9148-e3be6c30e623}">
          <xlrd:rvb i="10037"/>
        </ext>
      </extLst>
    </bk>
    <bk>
      <extLst>
        <ext uri="{3e2802c4-a4d2-4d8b-9148-e3be6c30e623}">
          <xlrd:rvb i="10038"/>
        </ext>
      </extLst>
    </bk>
    <bk>
      <extLst>
        <ext uri="{3e2802c4-a4d2-4d8b-9148-e3be6c30e623}">
          <xlrd:rvb i="10039"/>
        </ext>
      </extLst>
    </bk>
    <bk>
      <extLst>
        <ext uri="{3e2802c4-a4d2-4d8b-9148-e3be6c30e623}">
          <xlrd:rvb i="10040"/>
        </ext>
      </extLst>
    </bk>
    <bk>
      <extLst>
        <ext uri="{3e2802c4-a4d2-4d8b-9148-e3be6c30e623}">
          <xlrd:rvb i="10041"/>
        </ext>
      </extLst>
    </bk>
    <bk>
      <extLst>
        <ext uri="{3e2802c4-a4d2-4d8b-9148-e3be6c30e623}">
          <xlrd:rvb i="10042"/>
        </ext>
      </extLst>
    </bk>
    <bk>
      <extLst>
        <ext uri="{3e2802c4-a4d2-4d8b-9148-e3be6c30e623}">
          <xlrd:rvb i="10043"/>
        </ext>
      </extLst>
    </bk>
    <bk>
      <extLst>
        <ext uri="{3e2802c4-a4d2-4d8b-9148-e3be6c30e623}">
          <xlrd:rvb i="10044"/>
        </ext>
      </extLst>
    </bk>
    <bk>
      <extLst>
        <ext uri="{3e2802c4-a4d2-4d8b-9148-e3be6c30e623}">
          <xlrd:rvb i="10045"/>
        </ext>
      </extLst>
    </bk>
    <bk>
      <extLst>
        <ext uri="{3e2802c4-a4d2-4d8b-9148-e3be6c30e623}">
          <xlrd:rvb i="10046"/>
        </ext>
      </extLst>
    </bk>
    <bk>
      <extLst>
        <ext uri="{3e2802c4-a4d2-4d8b-9148-e3be6c30e623}">
          <xlrd:rvb i="10047"/>
        </ext>
      </extLst>
    </bk>
    <bk>
      <extLst>
        <ext uri="{3e2802c4-a4d2-4d8b-9148-e3be6c30e623}">
          <xlrd:rvb i="10048"/>
        </ext>
      </extLst>
    </bk>
    <bk>
      <extLst>
        <ext uri="{3e2802c4-a4d2-4d8b-9148-e3be6c30e623}">
          <xlrd:rvb i="10049"/>
        </ext>
      </extLst>
    </bk>
    <bk>
      <extLst>
        <ext uri="{3e2802c4-a4d2-4d8b-9148-e3be6c30e623}">
          <xlrd:rvb i="10050"/>
        </ext>
      </extLst>
    </bk>
    <bk>
      <extLst>
        <ext uri="{3e2802c4-a4d2-4d8b-9148-e3be6c30e623}">
          <xlrd:rvb i="10051"/>
        </ext>
      </extLst>
    </bk>
    <bk>
      <extLst>
        <ext uri="{3e2802c4-a4d2-4d8b-9148-e3be6c30e623}">
          <xlrd:rvb i="10052"/>
        </ext>
      </extLst>
    </bk>
    <bk>
      <extLst>
        <ext uri="{3e2802c4-a4d2-4d8b-9148-e3be6c30e623}">
          <xlrd:rvb i="10053"/>
        </ext>
      </extLst>
    </bk>
    <bk>
      <extLst>
        <ext uri="{3e2802c4-a4d2-4d8b-9148-e3be6c30e623}">
          <xlrd:rvb i="10054"/>
        </ext>
      </extLst>
    </bk>
    <bk>
      <extLst>
        <ext uri="{3e2802c4-a4d2-4d8b-9148-e3be6c30e623}">
          <xlrd:rvb i="10055"/>
        </ext>
      </extLst>
    </bk>
    <bk>
      <extLst>
        <ext uri="{3e2802c4-a4d2-4d8b-9148-e3be6c30e623}">
          <xlrd:rvb i="10056"/>
        </ext>
      </extLst>
    </bk>
    <bk>
      <extLst>
        <ext uri="{3e2802c4-a4d2-4d8b-9148-e3be6c30e623}">
          <xlrd:rvb i="10057"/>
        </ext>
      </extLst>
    </bk>
    <bk>
      <extLst>
        <ext uri="{3e2802c4-a4d2-4d8b-9148-e3be6c30e623}">
          <xlrd:rvb i="10058"/>
        </ext>
      </extLst>
    </bk>
    <bk>
      <extLst>
        <ext uri="{3e2802c4-a4d2-4d8b-9148-e3be6c30e623}">
          <xlrd:rvb i="10059"/>
        </ext>
      </extLst>
    </bk>
    <bk>
      <extLst>
        <ext uri="{3e2802c4-a4d2-4d8b-9148-e3be6c30e623}">
          <xlrd:rvb i="10060"/>
        </ext>
      </extLst>
    </bk>
    <bk>
      <extLst>
        <ext uri="{3e2802c4-a4d2-4d8b-9148-e3be6c30e623}">
          <xlrd:rvb i="10061"/>
        </ext>
      </extLst>
    </bk>
    <bk>
      <extLst>
        <ext uri="{3e2802c4-a4d2-4d8b-9148-e3be6c30e623}">
          <xlrd:rvb i="10062"/>
        </ext>
      </extLst>
    </bk>
    <bk>
      <extLst>
        <ext uri="{3e2802c4-a4d2-4d8b-9148-e3be6c30e623}">
          <xlrd:rvb i="10063"/>
        </ext>
      </extLst>
    </bk>
    <bk>
      <extLst>
        <ext uri="{3e2802c4-a4d2-4d8b-9148-e3be6c30e623}">
          <xlrd:rvb i="10064"/>
        </ext>
      </extLst>
    </bk>
    <bk>
      <extLst>
        <ext uri="{3e2802c4-a4d2-4d8b-9148-e3be6c30e623}">
          <xlrd:rvb i="10065"/>
        </ext>
      </extLst>
    </bk>
    <bk>
      <extLst>
        <ext uri="{3e2802c4-a4d2-4d8b-9148-e3be6c30e623}">
          <xlrd:rvb i="10066"/>
        </ext>
      </extLst>
    </bk>
    <bk>
      <extLst>
        <ext uri="{3e2802c4-a4d2-4d8b-9148-e3be6c30e623}">
          <xlrd:rvb i="10067"/>
        </ext>
      </extLst>
    </bk>
    <bk>
      <extLst>
        <ext uri="{3e2802c4-a4d2-4d8b-9148-e3be6c30e623}">
          <xlrd:rvb i="10068"/>
        </ext>
      </extLst>
    </bk>
    <bk>
      <extLst>
        <ext uri="{3e2802c4-a4d2-4d8b-9148-e3be6c30e623}">
          <xlrd:rvb i="10069"/>
        </ext>
      </extLst>
    </bk>
    <bk>
      <extLst>
        <ext uri="{3e2802c4-a4d2-4d8b-9148-e3be6c30e623}">
          <xlrd:rvb i="10070"/>
        </ext>
      </extLst>
    </bk>
    <bk>
      <extLst>
        <ext uri="{3e2802c4-a4d2-4d8b-9148-e3be6c30e623}">
          <xlrd:rvb i="10071"/>
        </ext>
      </extLst>
    </bk>
    <bk>
      <extLst>
        <ext uri="{3e2802c4-a4d2-4d8b-9148-e3be6c30e623}">
          <xlrd:rvb i="10072"/>
        </ext>
      </extLst>
    </bk>
    <bk>
      <extLst>
        <ext uri="{3e2802c4-a4d2-4d8b-9148-e3be6c30e623}">
          <xlrd:rvb i="10073"/>
        </ext>
      </extLst>
    </bk>
    <bk>
      <extLst>
        <ext uri="{3e2802c4-a4d2-4d8b-9148-e3be6c30e623}">
          <xlrd:rvb i="10074"/>
        </ext>
      </extLst>
    </bk>
    <bk>
      <extLst>
        <ext uri="{3e2802c4-a4d2-4d8b-9148-e3be6c30e623}">
          <xlrd:rvb i="10075"/>
        </ext>
      </extLst>
    </bk>
    <bk>
      <extLst>
        <ext uri="{3e2802c4-a4d2-4d8b-9148-e3be6c30e623}">
          <xlrd:rvb i="10076"/>
        </ext>
      </extLst>
    </bk>
    <bk>
      <extLst>
        <ext uri="{3e2802c4-a4d2-4d8b-9148-e3be6c30e623}">
          <xlrd:rvb i="10077"/>
        </ext>
      </extLst>
    </bk>
    <bk>
      <extLst>
        <ext uri="{3e2802c4-a4d2-4d8b-9148-e3be6c30e623}">
          <xlrd:rvb i="10078"/>
        </ext>
      </extLst>
    </bk>
    <bk>
      <extLst>
        <ext uri="{3e2802c4-a4d2-4d8b-9148-e3be6c30e623}">
          <xlrd:rvb i="10079"/>
        </ext>
      </extLst>
    </bk>
    <bk>
      <extLst>
        <ext uri="{3e2802c4-a4d2-4d8b-9148-e3be6c30e623}">
          <xlrd:rvb i="10080"/>
        </ext>
      </extLst>
    </bk>
    <bk>
      <extLst>
        <ext uri="{3e2802c4-a4d2-4d8b-9148-e3be6c30e623}">
          <xlrd:rvb i="10081"/>
        </ext>
      </extLst>
    </bk>
    <bk>
      <extLst>
        <ext uri="{3e2802c4-a4d2-4d8b-9148-e3be6c30e623}">
          <xlrd:rvb i="10082"/>
        </ext>
      </extLst>
    </bk>
    <bk>
      <extLst>
        <ext uri="{3e2802c4-a4d2-4d8b-9148-e3be6c30e623}">
          <xlrd:rvb i="10083"/>
        </ext>
      </extLst>
    </bk>
    <bk>
      <extLst>
        <ext uri="{3e2802c4-a4d2-4d8b-9148-e3be6c30e623}">
          <xlrd:rvb i="10084"/>
        </ext>
      </extLst>
    </bk>
    <bk>
      <extLst>
        <ext uri="{3e2802c4-a4d2-4d8b-9148-e3be6c30e623}">
          <xlrd:rvb i="10085"/>
        </ext>
      </extLst>
    </bk>
    <bk>
      <extLst>
        <ext uri="{3e2802c4-a4d2-4d8b-9148-e3be6c30e623}">
          <xlrd:rvb i="10086"/>
        </ext>
      </extLst>
    </bk>
    <bk>
      <extLst>
        <ext uri="{3e2802c4-a4d2-4d8b-9148-e3be6c30e623}">
          <xlrd:rvb i="10087"/>
        </ext>
      </extLst>
    </bk>
    <bk>
      <extLst>
        <ext uri="{3e2802c4-a4d2-4d8b-9148-e3be6c30e623}">
          <xlrd:rvb i="10088"/>
        </ext>
      </extLst>
    </bk>
    <bk>
      <extLst>
        <ext uri="{3e2802c4-a4d2-4d8b-9148-e3be6c30e623}">
          <xlrd:rvb i="10089"/>
        </ext>
      </extLst>
    </bk>
    <bk>
      <extLst>
        <ext uri="{3e2802c4-a4d2-4d8b-9148-e3be6c30e623}">
          <xlrd:rvb i="10090"/>
        </ext>
      </extLst>
    </bk>
    <bk>
      <extLst>
        <ext uri="{3e2802c4-a4d2-4d8b-9148-e3be6c30e623}">
          <xlrd:rvb i="10091"/>
        </ext>
      </extLst>
    </bk>
    <bk>
      <extLst>
        <ext uri="{3e2802c4-a4d2-4d8b-9148-e3be6c30e623}">
          <xlrd:rvb i="10092"/>
        </ext>
      </extLst>
    </bk>
    <bk>
      <extLst>
        <ext uri="{3e2802c4-a4d2-4d8b-9148-e3be6c30e623}">
          <xlrd:rvb i="10093"/>
        </ext>
      </extLst>
    </bk>
    <bk>
      <extLst>
        <ext uri="{3e2802c4-a4d2-4d8b-9148-e3be6c30e623}">
          <xlrd:rvb i="10094"/>
        </ext>
      </extLst>
    </bk>
    <bk>
      <extLst>
        <ext uri="{3e2802c4-a4d2-4d8b-9148-e3be6c30e623}">
          <xlrd:rvb i="10095"/>
        </ext>
      </extLst>
    </bk>
    <bk>
      <extLst>
        <ext uri="{3e2802c4-a4d2-4d8b-9148-e3be6c30e623}">
          <xlrd:rvb i="10096"/>
        </ext>
      </extLst>
    </bk>
    <bk>
      <extLst>
        <ext uri="{3e2802c4-a4d2-4d8b-9148-e3be6c30e623}">
          <xlrd:rvb i="10097"/>
        </ext>
      </extLst>
    </bk>
    <bk>
      <extLst>
        <ext uri="{3e2802c4-a4d2-4d8b-9148-e3be6c30e623}">
          <xlrd:rvb i="10098"/>
        </ext>
      </extLst>
    </bk>
    <bk>
      <extLst>
        <ext uri="{3e2802c4-a4d2-4d8b-9148-e3be6c30e623}">
          <xlrd:rvb i="10099"/>
        </ext>
      </extLst>
    </bk>
    <bk>
      <extLst>
        <ext uri="{3e2802c4-a4d2-4d8b-9148-e3be6c30e623}">
          <xlrd:rvb i="10100"/>
        </ext>
      </extLst>
    </bk>
    <bk>
      <extLst>
        <ext uri="{3e2802c4-a4d2-4d8b-9148-e3be6c30e623}">
          <xlrd:rvb i="10101"/>
        </ext>
      </extLst>
    </bk>
    <bk>
      <extLst>
        <ext uri="{3e2802c4-a4d2-4d8b-9148-e3be6c30e623}">
          <xlrd:rvb i="10102"/>
        </ext>
      </extLst>
    </bk>
    <bk>
      <extLst>
        <ext uri="{3e2802c4-a4d2-4d8b-9148-e3be6c30e623}">
          <xlrd:rvb i="10103"/>
        </ext>
      </extLst>
    </bk>
    <bk>
      <extLst>
        <ext uri="{3e2802c4-a4d2-4d8b-9148-e3be6c30e623}">
          <xlrd:rvb i="10104"/>
        </ext>
      </extLst>
    </bk>
    <bk>
      <extLst>
        <ext uri="{3e2802c4-a4d2-4d8b-9148-e3be6c30e623}">
          <xlrd:rvb i="10105"/>
        </ext>
      </extLst>
    </bk>
    <bk>
      <extLst>
        <ext uri="{3e2802c4-a4d2-4d8b-9148-e3be6c30e623}">
          <xlrd:rvb i="10106"/>
        </ext>
      </extLst>
    </bk>
    <bk>
      <extLst>
        <ext uri="{3e2802c4-a4d2-4d8b-9148-e3be6c30e623}">
          <xlrd:rvb i="10107"/>
        </ext>
      </extLst>
    </bk>
    <bk>
      <extLst>
        <ext uri="{3e2802c4-a4d2-4d8b-9148-e3be6c30e623}">
          <xlrd:rvb i="10108"/>
        </ext>
      </extLst>
    </bk>
    <bk>
      <extLst>
        <ext uri="{3e2802c4-a4d2-4d8b-9148-e3be6c30e623}">
          <xlrd:rvb i="10109"/>
        </ext>
      </extLst>
    </bk>
    <bk>
      <extLst>
        <ext uri="{3e2802c4-a4d2-4d8b-9148-e3be6c30e623}">
          <xlrd:rvb i="10110"/>
        </ext>
      </extLst>
    </bk>
    <bk>
      <extLst>
        <ext uri="{3e2802c4-a4d2-4d8b-9148-e3be6c30e623}">
          <xlrd:rvb i="10111"/>
        </ext>
      </extLst>
    </bk>
    <bk>
      <extLst>
        <ext uri="{3e2802c4-a4d2-4d8b-9148-e3be6c30e623}">
          <xlrd:rvb i="10112"/>
        </ext>
      </extLst>
    </bk>
    <bk>
      <extLst>
        <ext uri="{3e2802c4-a4d2-4d8b-9148-e3be6c30e623}">
          <xlrd:rvb i="10113"/>
        </ext>
      </extLst>
    </bk>
    <bk>
      <extLst>
        <ext uri="{3e2802c4-a4d2-4d8b-9148-e3be6c30e623}">
          <xlrd:rvb i="10114"/>
        </ext>
      </extLst>
    </bk>
    <bk>
      <extLst>
        <ext uri="{3e2802c4-a4d2-4d8b-9148-e3be6c30e623}">
          <xlrd:rvb i="10115"/>
        </ext>
      </extLst>
    </bk>
    <bk>
      <extLst>
        <ext uri="{3e2802c4-a4d2-4d8b-9148-e3be6c30e623}">
          <xlrd:rvb i="10116"/>
        </ext>
      </extLst>
    </bk>
    <bk>
      <extLst>
        <ext uri="{3e2802c4-a4d2-4d8b-9148-e3be6c30e623}">
          <xlrd:rvb i="10117"/>
        </ext>
      </extLst>
    </bk>
    <bk>
      <extLst>
        <ext uri="{3e2802c4-a4d2-4d8b-9148-e3be6c30e623}">
          <xlrd:rvb i="10118"/>
        </ext>
      </extLst>
    </bk>
    <bk>
      <extLst>
        <ext uri="{3e2802c4-a4d2-4d8b-9148-e3be6c30e623}">
          <xlrd:rvb i="10119"/>
        </ext>
      </extLst>
    </bk>
    <bk>
      <extLst>
        <ext uri="{3e2802c4-a4d2-4d8b-9148-e3be6c30e623}">
          <xlrd:rvb i="10120"/>
        </ext>
      </extLst>
    </bk>
    <bk>
      <extLst>
        <ext uri="{3e2802c4-a4d2-4d8b-9148-e3be6c30e623}">
          <xlrd:rvb i="10121"/>
        </ext>
      </extLst>
    </bk>
    <bk>
      <extLst>
        <ext uri="{3e2802c4-a4d2-4d8b-9148-e3be6c30e623}">
          <xlrd:rvb i="10122"/>
        </ext>
      </extLst>
    </bk>
    <bk>
      <extLst>
        <ext uri="{3e2802c4-a4d2-4d8b-9148-e3be6c30e623}">
          <xlrd:rvb i="10123"/>
        </ext>
      </extLst>
    </bk>
    <bk>
      <extLst>
        <ext uri="{3e2802c4-a4d2-4d8b-9148-e3be6c30e623}">
          <xlrd:rvb i="10124"/>
        </ext>
      </extLst>
    </bk>
    <bk>
      <extLst>
        <ext uri="{3e2802c4-a4d2-4d8b-9148-e3be6c30e623}">
          <xlrd:rvb i="10125"/>
        </ext>
      </extLst>
    </bk>
    <bk>
      <extLst>
        <ext uri="{3e2802c4-a4d2-4d8b-9148-e3be6c30e623}">
          <xlrd:rvb i="10126"/>
        </ext>
      </extLst>
    </bk>
    <bk>
      <extLst>
        <ext uri="{3e2802c4-a4d2-4d8b-9148-e3be6c30e623}">
          <xlrd:rvb i="10127"/>
        </ext>
      </extLst>
    </bk>
    <bk>
      <extLst>
        <ext uri="{3e2802c4-a4d2-4d8b-9148-e3be6c30e623}">
          <xlrd:rvb i="10128"/>
        </ext>
      </extLst>
    </bk>
    <bk>
      <extLst>
        <ext uri="{3e2802c4-a4d2-4d8b-9148-e3be6c30e623}">
          <xlrd:rvb i="10129"/>
        </ext>
      </extLst>
    </bk>
    <bk>
      <extLst>
        <ext uri="{3e2802c4-a4d2-4d8b-9148-e3be6c30e623}">
          <xlrd:rvb i="10130"/>
        </ext>
      </extLst>
    </bk>
    <bk>
      <extLst>
        <ext uri="{3e2802c4-a4d2-4d8b-9148-e3be6c30e623}">
          <xlrd:rvb i="10131"/>
        </ext>
      </extLst>
    </bk>
    <bk>
      <extLst>
        <ext uri="{3e2802c4-a4d2-4d8b-9148-e3be6c30e623}">
          <xlrd:rvb i="10132"/>
        </ext>
      </extLst>
    </bk>
    <bk>
      <extLst>
        <ext uri="{3e2802c4-a4d2-4d8b-9148-e3be6c30e623}">
          <xlrd:rvb i="10133"/>
        </ext>
      </extLst>
    </bk>
    <bk>
      <extLst>
        <ext uri="{3e2802c4-a4d2-4d8b-9148-e3be6c30e623}">
          <xlrd:rvb i="10134"/>
        </ext>
      </extLst>
    </bk>
    <bk>
      <extLst>
        <ext uri="{3e2802c4-a4d2-4d8b-9148-e3be6c30e623}">
          <xlrd:rvb i="10135"/>
        </ext>
      </extLst>
    </bk>
    <bk>
      <extLst>
        <ext uri="{3e2802c4-a4d2-4d8b-9148-e3be6c30e623}">
          <xlrd:rvb i="10136"/>
        </ext>
      </extLst>
    </bk>
    <bk>
      <extLst>
        <ext uri="{3e2802c4-a4d2-4d8b-9148-e3be6c30e623}">
          <xlrd:rvb i="10137"/>
        </ext>
      </extLst>
    </bk>
    <bk>
      <extLst>
        <ext uri="{3e2802c4-a4d2-4d8b-9148-e3be6c30e623}">
          <xlrd:rvb i="10138"/>
        </ext>
      </extLst>
    </bk>
    <bk>
      <extLst>
        <ext uri="{3e2802c4-a4d2-4d8b-9148-e3be6c30e623}">
          <xlrd:rvb i="10139"/>
        </ext>
      </extLst>
    </bk>
    <bk>
      <extLst>
        <ext uri="{3e2802c4-a4d2-4d8b-9148-e3be6c30e623}">
          <xlrd:rvb i="10140"/>
        </ext>
      </extLst>
    </bk>
    <bk>
      <extLst>
        <ext uri="{3e2802c4-a4d2-4d8b-9148-e3be6c30e623}">
          <xlrd:rvb i="10141"/>
        </ext>
      </extLst>
    </bk>
    <bk>
      <extLst>
        <ext uri="{3e2802c4-a4d2-4d8b-9148-e3be6c30e623}">
          <xlrd:rvb i="10142"/>
        </ext>
      </extLst>
    </bk>
    <bk>
      <extLst>
        <ext uri="{3e2802c4-a4d2-4d8b-9148-e3be6c30e623}">
          <xlrd:rvb i="10143"/>
        </ext>
      </extLst>
    </bk>
    <bk>
      <extLst>
        <ext uri="{3e2802c4-a4d2-4d8b-9148-e3be6c30e623}">
          <xlrd:rvb i="10144"/>
        </ext>
      </extLst>
    </bk>
    <bk>
      <extLst>
        <ext uri="{3e2802c4-a4d2-4d8b-9148-e3be6c30e623}">
          <xlrd:rvb i="10145"/>
        </ext>
      </extLst>
    </bk>
    <bk>
      <extLst>
        <ext uri="{3e2802c4-a4d2-4d8b-9148-e3be6c30e623}">
          <xlrd:rvb i="10146"/>
        </ext>
      </extLst>
    </bk>
    <bk>
      <extLst>
        <ext uri="{3e2802c4-a4d2-4d8b-9148-e3be6c30e623}">
          <xlrd:rvb i="10147"/>
        </ext>
      </extLst>
    </bk>
    <bk>
      <extLst>
        <ext uri="{3e2802c4-a4d2-4d8b-9148-e3be6c30e623}">
          <xlrd:rvb i="10148"/>
        </ext>
      </extLst>
    </bk>
    <bk>
      <extLst>
        <ext uri="{3e2802c4-a4d2-4d8b-9148-e3be6c30e623}">
          <xlrd:rvb i="10149"/>
        </ext>
      </extLst>
    </bk>
    <bk>
      <extLst>
        <ext uri="{3e2802c4-a4d2-4d8b-9148-e3be6c30e623}">
          <xlrd:rvb i="10150"/>
        </ext>
      </extLst>
    </bk>
    <bk>
      <extLst>
        <ext uri="{3e2802c4-a4d2-4d8b-9148-e3be6c30e623}">
          <xlrd:rvb i="10151"/>
        </ext>
      </extLst>
    </bk>
    <bk>
      <extLst>
        <ext uri="{3e2802c4-a4d2-4d8b-9148-e3be6c30e623}">
          <xlrd:rvb i="10152"/>
        </ext>
      </extLst>
    </bk>
    <bk>
      <extLst>
        <ext uri="{3e2802c4-a4d2-4d8b-9148-e3be6c30e623}">
          <xlrd:rvb i="10153"/>
        </ext>
      </extLst>
    </bk>
    <bk>
      <extLst>
        <ext uri="{3e2802c4-a4d2-4d8b-9148-e3be6c30e623}">
          <xlrd:rvb i="10154"/>
        </ext>
      </extLst>
    </bk>
    <bk>
      <extLst>
        <ext uri="{3e2802c4-a4d2-4d8b-9148-e3be6c30e623}">
          <xlrd:rvb i="10155"/>
        </ext>
      </extLst>
    </bk>
    <bk>
      <extLst>
        <ext uri="{3e2802c4-a4d2-4d8b-9148-e3be6c30e623}">
          <xlrd:rvb i="10156"/>
        </ext>
      </extLst>
    </bk>
    <bk>
      <extLst>
        <ext uri="{3e2802c4-a4d2-4d8b-9148-e3be6c30e623}">
          <xlrd:rvb i="10157"/>
        </ext>
      </extLst>
    </bk>
    <bk>
      <extLst>
        <ext uri="{3e2802c4-a4d2-4d8b-9148-e3be6c30e623}">
          <xlrd:rvb i="10158"/>
        </ext>
      </extLst>
    </bk>
    <bk>
      <extLst>
        <ext uri="{3e2802c4-a4d2-4d8b-9148-e3be6c30e623}">
          <xlrd:rvb i="10159"/>
        </ext>
      </extLst>
    </bk>
    <bk>
      <extLst>
        <ext uri="{3e2802c4-a4d2-4d8b-9148-e3be6c30e623}">
          <xlrd:rvb i="10160"/>
        </ext>
      </extLst>
    </bk>
    <bk>
      <extLst>
        <ext uri="{3e2802c4-a4d2-4d8b-9148-e3be6c30e623}">
          <xlrd:rvb i="10161"/>
        </ext>
      </extLst>
    </bk>
    <bk>
      <extLst>
        <ext uri="{3e2802c4-a4d2-4d8b-9148-e3be6c30e623}">
          <xlrd:rvb i="10162"/>
        </ext>
      </extLst>
    </bk>
    <bk>
      <extLst>
        <ext uri="{3e2802c4-a4d2-4d8b-9148-e3be6c30e623}">
          <xlrd:rvb i="10163"/>
        </ext>
      </extLst>
    </bk>
    <bk>
      <extLst>
        <ext uri="{3e2802c4-a4d2-4d8b-9148-e3be6c30e623}">
          <xlrd:rvb i="10164"/>
        </ext>
      </extLst>
    </bk>
    <bk>
      <extLst>
        <ext uri="{3e2802c4-a4d2-4d8b-9148-e3be6c30e623}">
          <xlrd:rvb i="10165"/>
        </ext>
      </extLst>
    </bk>
    <bk>
      <extLst>
        <ext uri="{3e2802c4-a4d2-4d8b-9148-e3be6c30e623}">
          <xlrd:rvb i="10166"/>
        </ext>
      </extLst>
    </bk>
    <bk>
      <extLst>
        <ext uri="{3e2802c4-a4d2-4d8b-9148-e3be6c30e623}">
          <xlrd:rvb i="10167"/>
        </ext>
      </extLst>
    </bk>
    <bk>
      <extLst>
        <ext uri="{3e2802c4-a4d2-4d8b-9148-e3be6c30e623}">
          <xlrd:rvb i="10168"/>
        </ext>
      </extLst>
    </bk>
    <bk>
      <extLst>
        <ext uri="{3e2802c4-a4d2-4d8b-9148-e3be6c30e623}">
          <xlrd:rvb i="10169"/>
        </ext>
      </extLst>
    </bk>
    <bk>
      <extLst>
        <ext uri="{3e2802c4-a4d2-4d8b-9148-e3be6c30e623}">
          <xlrd:rvb i="10170"/>
        </ext>
      </extLst>
    </bk>
    <bk>
      <extLst>
        <ext uri="{3e2802c4-a4d2-4d8b-9148-e3be6c30e623}">
          <xlrd:rvb i="10171"/>
        </ext>
      </extLst>
    </bk>
    <bk>
      <extLst>
        <ext uri="{3e2802c4-a4d2-4d8b-9148-e3be6c30e623}">
          <xlrd:rvb i="10172"/>
        </ext>
      </extLst>
    </bk>
    <bk>
      <extLst>
        <ext uri="{3e2802c4-a4d2-4d8b-9148-e3be6c30e623}">
          <xlrd:rvb i="10173"/>
        </ext>
      </extLst>
    </bk>
    <bk>
      <extLst>
        <ext uri="{3e2802c4-a4d2-4d8b-9148-e3be6c30e623}">
          <xlrd:rvb i="10174"/>
        </ext>
      </extLst>
    </bk>
    <bk>
      <extLst>
        <ext uri="{3e2802c4-a4d2-4d8b-9148-e3be6c30e623}">
          <xlrd:rvb i="10175"/>
        </ext>
      </extLst>
    </bk>
    <bk>
      <extLst>
        <ext uri="{3e2802c4-a4d2-4d8b-9148-e3be6c30e623}">
          <xlrd:rvb i="10176"/>
        </ext>
      </extLst>
    </bk>
    <bk>
      <extLst>
        <ext uri="{3e2802c4-a4d2-4d8b-9148-e3be6c30e623}">
          <xlrd:rvb i="10177"/>
        </ext>
      </extLst>
    </bk>
    <bk>
      <extLst>
        <ext uri="{3e2802c4-a4d2-4d8b-9148-e3be6c30e623}">
          <xlrd:rvb i="10178"/>
        </ext>
      </extLst>
    </bk>
    <bk>
      <extLst>
        <ext uri="{3e2802c4-a4d2-4d8b-9148-e3be6c30e623}">
          <xlrd:rvb i="10179"/>
        </ext>
      </extLst>
    </bk>
    <bk>
      <extLst>
        <ext uri="{3e2802c4-a4d2-4d8b-9148-e3be6c30e623}">
          <xlrd:rvb i="10180"/>
        </ext>
      </extLst>
    </bk>
    <bk>
      <extLst>
        <ext uri="{3e2802c4-a4d2-4d8b-9148-e3be6c30e623}">
          <xlrd:rvb i="10181"/>
        </ext>
      </extLst>
    </bk>
    <bk>
      <extLst>
        <ext uri="{3e2802c4-a4d2-4d8b-9148-e3be6c30e623}">
          <xlrd:rvb i="10182"/>
        </ext>
      </extLst>
    </bk>
    <bk>
      <extLst>
        <ext uri="{3e2802c4-a4d2-4d8b-9148-e3be6c30e623}">
          <xlrd:rvb i="10183"/>
        </ext>
      </extLst>
    </bk>
    <bk>
      <extLst>
        <ext uri="{3e2802c4-a4d2-4d8b-9148-e3be6c30e623}">
          <xlrd:rvb i="10184"/>
        </ext>
      </extLst>
    </bk>
    <bk>
      <extLst>
        <ext uri="{3e2802c4-a4d2-4d8b-9148-e3be6c30e623}">
          <xlrd:rvb i="10185"/>
        </ext>
      </extLst>
    </bk>
    <bk>
      <extLst>
        <ext uri="{3e2802c4-a4d2-4d8b-9148-e3be6c30e623}">
          <xlrd:rvb i="10186"/>
        </ext>
      </extLst>
    </bk>
    <bk>
      <extLst>
        <ext uri="{3e2802c4-a4d2-4d8b-9148-e3be6c30e623}">
          <xlrd:rvb i="10187"/>
        </ext>
      </extLst>
    </bk>
    <bk>
      <extLst>
        <ext uri="{3e2802c4-a4d2-4d8b-9148-e3be6c30e623}">
          <xlrd:rvb i="10188"/>
        </ext>
      </extLst>
    </bk>
    <bk>
      <extLst>
        <ext uri="{3e2802c4-a4d2-4d8b-9148-e3be6c30e623}">
          <xlrd:rvb i="10189"/>
        </ext>
      </extLst>
    </bk>
    <bk>
      <extLst>
        <ext uri="{3e2802c4-a4d2-4d8b-9148-e3be6c30e623}">
          <xlrd:rvb i="10190"/>
        </ext>
      </extLst>
    </bk>
    <bk>
      <extLst>
        <ext uri="{3e2802c4-a4d2-4d8b-9148-e3be6c30e623}">
          <xlrd:rvb i="10191"/>
        </ext>
      </extLst>
    </bk>
    <bk>
      <extLst>
        <ext uri="{3e2802c4-a4d2-4d8b-9148-e3be6c30e623}">
          <xlrd:rvb i="10192"/>
        </ext>
      </extLst>
    </bk>
    <bk>
      <extLst>
        <ext uri="{3e2802c4-a4d2-4d8b-9148-e3be6c30e623}">
          <xlrd:rvb i="10193"/>
        </ext>
      </extLst>
    </bk>
    <bk>
      <extLst>
        <ext uri="{3e2802c4-a4d2-4d8b-9148-e3be6c30e623}">
          <xlrd:rvb i="10194"/>
        </ext>
      </extLst>
    </bk>
    <bk>
      <extLst>
        <ext uri="{3e2802c4-a4d2-4d8b-9148-e3be6c30e623}">
          <xlrd:rvb i="10195"/>
        </ext>
      </extLst>
    </bk>
    <bk>
      <extLst>
        <ext uri="{3e2802c4-a4d2-4d8b-9148-e3be6c30e623}">
          <xlrd:rvb i="10196"/>
        </ext>
      </extLst>
    </bk>
    <bk>
      <extLst>
        <ext uri="{3e2802c4-a4d2-4d8b-9148-e3be6c30e623}">
          <xlrd:rvb i="10197"/>
        </ext>
      </extLst>
    </bk>
    <bk>
      <extLst>
        <ext uri="{3e2802c4-a4d2-4d8b-9148-e3be6c30e623}">
          <xlrd:rvb i="10198"/>
        </ext>
      </extLst>
    </bk>
    <bk>
      <extLst>
        <ext uri="{3e2802c4-a4d2-4d8b-9148-e3be6c30e623}">
          <xlrd:rvb i="10199"/>
        </ext>
      </extLst>
    </bk>
    <bk>
      <extLst>
        <ext uri="{3e2802c4-a4d2-4d8b-9148-e3be6c30e623}">
          <xlrd:rvb i="10200"/>
        </ext>
      </extLst>
    </bk>
    <bk>
      <extLst>
        <ext uri="{3e2802c4-a4d2-4d8b-9148-e3be6c30e623}">
          <xlrd:rvb i="10201"/>
        </ext>
      </extLst>
    </bk>
    <bk>
      <extLst>
        <ext uri="{3e2802c4-a4d2-4d8b-9148-e3be6c30e623}">
          <xlrd:rvb i="10202"/>
        </ext>
      </extLst>
    </bk>
    <bk>
      <extLst>
        <ext uri="{3e2802c4-a4d2-4d8b-9148-e3be6c30e623}">
          <xlrd:rvb i="10203"/>
        </ext>
      </extLst>
    </bk>
    <bk>
      <extLst>
        <ext uri="{3e2802c4-a4d2-4d8b-9148-e3be6c30e623}">
          <xlrd:rvb i="10204"/>
        </ext>
      </extLst>
    </bk>
    <bk>
      <extLst>
        <ext uri="{3e2802c4-a4d2-4d8b-9148-e3be6c30e623}">
          <xlrd:rvb i="10205"/>
        </ext>
      </extLst>
    </bk>
    <bk>
      <extLst>
        <ext uri="{3e2802c4-a4d2-4d8b-9148-e3be6c30e623}">
          <xlrd:rvb i="10206"/>
        </ext>
      </extLst>
    </bk>
    <bk>
      <extLst>
        <ext uri="{3e2802c4-a4d2-4d8b-9148-e3be6c30e623}">
          <xlrd:rvb i="10207"/>
        </ext>
      </extLst>
    </bk>
    <bk>
      <extLst>
        <ext uri="{3e2802c4-a4d2-4d8b-9148-e3be6c30e623}">
          <xlrd:rvb i="10208"/>
        </ext>
      </extLst>
    </bk>
    <bk>
      <extLst>
        <ext uri="{3e2802c4-a4d2-4d8b-9148-e3be6c30e623}">
          <xlrd:rvb i="10209"/>
        </ext>
      </extLst>
    </bk>
    <bk>
      <extLst>
        <ext uri="{3e2802c4-a4d2-4d8b-9148-e3be6c30e623}">
          <xlrd:rvb i="10210"/>
        </ext>
      </extLst>
    </bk>
    <bk>
      <extLst>
        <ext uri="{3e2802c4-a4d2-4d8b-9148-e3be6c30e623}">
          <xlrd:rvb i="10211"/>
        </ext>
      </extLst>
    </bk>
    <bk>
      <extLst>
        <ext uri="{3e2802c4-a4d2-4d8b-9148-e3be6c30e623}">
          <xlrd:rvb i="10212"/>
        </ext>
      </extLst>
    </bk>
    <bk>
      <extLst>
        <ext uri="{3e2802c4-a4d2-4d8b-9148-e3be6c30e623}">
          <xlrd:rvb i="10213"/>
        </ext>
      </extLst>
    </bk>
    <bk>
      <extLst>
        <ext uri="{3e2802c4-a4d2-4d8b-9148-e3be6c30e623}">
          <xlrd:rvb i="10214"/>
        </ext>
      </extLst>
    </bk>
    <bk>
      <extLst>
        <ext uri="{3e2802c4-a4d2-4d8b-9148-e3be6c30e623}">
          <xlrd:rvb i="10215"/>
        </ext>
      </extLst>
    </bk>
    <bk>
      <extLst>
        <ext uri="{3e2802c4-a4d2-4d8b-9148-e3be6c30e623}">
          <xlrd:rvb i="10216"/>
        </ext>
      </extLst>
    </bk>
    <bk>
      <extLst>
        <ext uri="{3e2802c4-a4d2-4d8b-9148-e3be6c30e623}">
          <xlrd:rvb i="10217"/>
        </ext>
      </extLst>
    </bk>
    <bk>
      <extLst>
        <ext uri="{3e2802c4-a4d2-4d8b-9148-e3be6c30e623}">
          <xlrd:rvb i="10218"/>
        </ext>
      </extLst>
    </bk>
    <bk>
      <extLst>
        <ext uri="{3e2802c4-a4d2-4d8b-9148-e3be6c30e623}">
          <xlrd:rvb i="10219"/>
        </ext>
      </extLst>
    </bk>
    <bk>
      <extLst>
        <ext uri="{3e2802c4-a4d2-4d8b-9148-e3be6c30e623}">
          <xlrd:rvb i="10220"/>
        </ext>
      </extLst>
    </bk>
    <bk>
      <extLst>
        <ext uri="{3e2802c4-a4d2-4d8b-9148-e3be6c30e623}">
          <xlrd:rvb i="10221"/>
        </ext>
      </extLst>
    </bk>
    <bk>
      <extLst>
        <ext uri="{3e2802c4-a4d2-4d8b-9148-e3be6c30e623}">
          <xlrd:rvb i="10222"/>
        </ext>
      </extLst>
    </bk>
    <bk>
      <extLst>
        <ext uri="{3e2802c4-a4d2-4d8b-9148-e3be6c30e623}">
          <xlrd:rvb i="10223"/>
        </ext>
      </extLst>
    </bk>
    <bk>
      <extLst>
        <ext uri="{3e2802c4-a4d2-4d8b-9148-e3be6c30e623}">
          <xlrd:rvb i="10224"/>
        </ext>
      </extLst>
    </bk>
    <bk>
      <extLst>
        <ext uri="{3e2802c4-a4d2-4d8b-9148-e3be6c30e623}">
          <xlrd:rvb i="10225"/>
        </ext>
      </extLst>
    </bk>
    <bk>
      <extLst>
        <ext uri="{3e2802c4-a4d2-4d8b-9148-e3be6c30e623}">
          <xlrd:rvb i="10226"/>
        </ext>
      </extLst>
    </bk>
    <bk>
      <extLst>
        <ext uri="{3e2802c4-a4d2-4d8b-9148-e3be6c30e623}">
          <xlrd:rvb i="10227"/>
        </ext>
      </extLst>
    </bk>
    <bk>
      <extLst>
        <ext uri="{3e2802c4-a4d2-4d8b-9148-e3be6c30e623}">
          <xlrd:rvb i="10228"/>
        </ext>
      </extLst>
    </bk>
    <bk>
      <extLst>
        <ext uri="{3e2802c4-a4d2-4d8b-9148-e3be6c30e623}">
          <xlrd:rvb i="10229"/>
        </ext>
      </extLst>
    </bk>
    <bk>
      <extLst>
        <ext uri="{3e2802c4-a4d2-4d8b-9148-e3be6c30e623}">
          <xlrd:rvb i="10230"/>
        </ext>
      </extLst>
    </bk>
    <bk>
      <extLst>
        <ext uri="{3e2802c4-a4d2-4d8b-9148-e3be6c30e623}">
          <xlrd:rvb i="10231"/>
        </ext>
      </extLst>
    </bk>
    <bk>
      <extLst>
        <ext uri="{3e2802c4-a4d2-4d8b-9148-e3be6c30e623}">
          <xlrd:rvb i="10232"/>
        </ext>
      </extLst>
    </bk>
    <bk>
      <extLst>
        <ext uri="{3e2802c4-a4d2-4d8b-9148-e3be6c30e623}">
          <xlrd:rvb i="10233"/>
        </ext>
      </extLst>
    </bk>
    <bk>
      <extLst>
        <ext uri="{3e2802c4-a4d2-4d8b-9148-e3be6c30e623}">
          <xlrd:rvb i="10234"/>
        </ext>
      </extLst>
    </bk>
    <bk>
      <extLst>
        <ext uri="{3e2802c4-a4d2-4d8b-9148-e3be6c30e623}">
          <xlrd:rvb i="10235"/>
        </ext>
      </extLst>
    </bk>
    <bk>
      <extLst>
        <ext uri="{3e2802c4-a4d2-4d8b-9148-e3be6c30e623}">
          <xlrd:rvb i="10236"/>
        </ext>
      </extLst>
    </bk>
    <bk>
      <extLst>
        <ext uri="{3e2802c4-a4d2-4d8b-9148-e3be6c30e623}">
          <xlrd:rvb i="10237"/>
        </ext>
      </extLst>
    </bk>
    <bk>
      <extLst>
        <ext uri="{3e2802c4-a4d2-4d8b-9148-e3be6c30e623}">
          <xlrd:rvb i="10238"/>
        </ext>
      </extLst>
    </bk>
    <bk>
      <extLst>
        <ext uri="{3e2802c4-a4d2-4d8b-9148-e3be6c30e623}">
          <xlrd:rvb i="10239"/>
        </ext>
      </extLst>
    </bk>
    <bk>
      <extLst>
        <ext uri="{3e2802c4-a4d2-4d8b-9148-e3be6c30e623}">
          <xlrd:rvb i="10240"/>
        </ext>
      </extLst>
    </bk>
    <bk>
      <extLst>
        <ext uri="{3e2802c4-a4d2-4d8b-9148-e3be6c30e623}">
          <xlrd:rvb i="10241"/>
        </ext>
      </extLst>
    </bk>
    <bk>
      <extLst>
        <ext uri="{3e2802c4-a4d2-4d8b-9148-e3be6c30e623}">
          <xlrd:rvb i="10242"/>
        </ext>
      </extLst>
    </bk>
    <bk>
      <extLst>
        <ext uri="{3e2802c4-a4d2-4d8b-9148-e3be6c30e623}">
          <xlrd:rvb i="10243"/>
        </ext>
      </extLst>
    </bk>
    <bk>
      <extLst>
        <ext uri="{3e2802c4-a4d2-4d8b-9148-e3be6c30e623}">
          <xlrd:rvb i="10244"/>
        </ext>
      </extLst>
    </bk>
    <bk>
      <extLst>
        <ext uri="{3e2802c4-a4d2-4d8b-9148-e3be6c30e623}">
          <xlrd:rvb i="10245"/>
        </ext>
      </extLst>
    </bk>
    <bk>
      <extLst>
        <ext uri="{3e2802c4-a4d2-4d8b-9148-e3be6c30e623}">
          <xlrd:rvb i="10246"/>
        </ext>
      </extLst>
    </bk>
    <bk>
      <extLst>
        <ext uri="{3e2802c4-a4d2-4d8b-9148-e3be6c30e623}">
          <xlrd:rvb i="10247"/>
        </ext>
      </extLst>
    </bk>
    <bk>
      <extLst>
        <ext uri="{3e2802c4-a4d2-4d8b-9148-e3be6c30e623}">
          <xlrd:rvb i="10248"/>
        </ext>
      </extLst>
    </bk>
    <bk>
      <extLst>
        <ext uri="{3e2802c4-a4d2-4d8b-9148-e3be6c30e623}">
          <xlrd:rvb i="10249"/>
        </ext>
      </extLst>
    </bk>
    <bk>
      <extLst>
        <ext uri="{3e2802c4-a4d2-4d8b-9148-e3be6c30e623}">
          <xlrd:rvb i="10250"/>
        </ext>
      </extLst>
    </bk>
    <bk>
      <extLst>
        <ext uri="{3e2802c4-a4d2-4d8b-9148-e3be6c30e623}">
          <xlrd:rvb i="10251"/>
        </ext>
      </extLst>
    </bk>
    <bk>
      <extLst>
        <ext uri="{3e2802c4-a4d2-4d8b-9148-e3be6c30e623}">
          <xlrd:rvb i="10252"/>
        </ext>
      </extLst>
    </bk>
    <bk>
      <extLst>
        <ext uri="{3e2802c4-a4d2-4d8b-9148-e3be6c30e623}">
          <xlrd:rvb i="10253"/>
        </ext>
      </extLst>
    </bk>
    <bk>
      <extLst>
        <ext uri="{3e2802c4-a4d2-4d8b-9148-e3be6c30e623}">
          <xlrd:rvb i="10254"/>
        </ext>
      </extLst>
    </bk>
    <bk>
      <extLst>
        <ext uri="{3e2802c4-a4d2-4d8b-9148-e3be6c30e623}">
          <xlrd:rvb i="10255"/>
        </ext>
      </extLst>
    </bk>
    <bk>
      <extLst>
        <ext uri="{3e2802c4-a4d2-4d8b-9148-e3be6c30e623}">
          <xlrd:rvb i="10256"/>
        </ext>
      </extLst>
    </bk>
    <bk>
      <extLst>
        <ext uri="{3e2802c4-a4d2-4d8b-9148-e3be6c30e623}">
          <xlrd:rvb i="10257"/>
        </ext>
      </extLst>
    </bk>
    <bk>
      <extLst>
        <ext uri="{3e2802c4-a4d2-4d8b-9148-e3be6c30e623}">
          <xlrd:rvb i="10258"/>
        </ext>
      </extLst>
    </bk>
    <bk>
      <extLst>
        <ext uri="{3e2802c4-a4d2-4d8b-9148-e3be6c30e623}">
          <xlrd:rvb i="10259"/>
        </ext>
      </extLst>
    </bk>
    <bk>
      <extLst>
        <ext uri="{3e2802c4-a4d2-4d8b-9148-e3be6c30e623}">
          <xlrd:rvb i="10260"/>
        </ext>
      </extLst>
    </bk>
    <bk>
      <extLst>
        <ext uri="{3e2802c4-a4d2-4d8b-9148-e3be6c30e623}">
          <xlrd:rvb i="10261"/>
        </ext>
      </extLst>
    </bk>
    <bk>
      <extLst>
        <ext uri="{3e2802c4-a4d2-4d8b-9148-e3be6c30e623}">
          <xlrd:rvb i="10262"/>
        </ext>
      </extLst>
    </bk>
    <bk>
      <extLst>
        <ext uri="{3e2802c4-a4d2-4d8b-9148-e3be6c30e623}">
          <xlrd:rvb i="10263"/>
        </ext>
      </extLst>
    </bk>
    <bk>
      <extLst>
        <ext uri="{3e2802c4-a4d2-4d8b-9148-e3be6c30e623}">
          <xlrd:rvb i="10264"/>
        </ext>
      </extLst>
    </bk>
    <bk>
      <extLst>
        <ext uri="{3e2802c4-a4d2-4d8b-9148-e3be6c30e623}">
          <xlrd:rvb i="10265"/>
        </ext>
      </extLst>
    </bk>
    <bk>
      <extLst>
        <ext uri="{3e2802c4-a4d2-4d8b-9148-e3be6c30e623}">
          <xlrd:rvb i="10266"/>
        </ext>
      </extLst>
    </bk>
    <bk>
      <extLst>
        <ext uri="{3e2802c4-a4d2-4d8b-9148-e3be6c30e623}">
          <xlrd:rvb i="10267"/>
        </ext>
      </extLst>
    </bk>
    <bk>
      <extLst>
        <ext uri="{3e2802c4-a4d2-4d8b-9148-e3be6c30e623}">
          <xlrd:rvb i="10268"/>
        </ext>
      </extLst>
    </bk>
    <bk>
      <extLst>
        <ext uri="{3e2802c4-a4d2-4d8b-9148-e3be6c30e623}">
          <xlrd:rvb i="10269"/>
        </ext>
      </extLst>
    </bk>
    <bk>
      <extLst>
        <ext uri="{3e2802c4-a4d2-4d8b-9148-e3be6c30e623}">
          <xlrd:rvb i="10270"/>
        </ext>
      </extLst>
    </bk>
    <bk>
      <extLst>
        <ext uri="{3e2802c4-a4d2-4d8b-9148-e3be6c30e623}">
          <xlrd:rvb i="10271"/>
        </ext>
      </extLst>
    </bk>
    <bk>
      <extLst>
        <ext uri="{3e2802c4-a4d2-4d8b-9148-e3be6c30e623}">
          <xlrd:rvb i="10272"/>
        </ext>
      </extLst>
    </bk>
    <bk>
      <extLst>
        <ext uri="{3e2802c4-a4d2-4d8b-9148-e3be6c30e623}">
          <xlrd:rvb i="10273"/>
        </ext>
      </extLst>
    </bk>
    <bk>
      <extLst>
        <ext uri="{3e2802c4-a4d2-4d8b-9148-e3be6c30e623}">
          <xlrd:rvb i="10274"/>
        </ext>
      </extLst>
    </bk>
    <bk>
      <extLst>
        <ext uri="{3e2802c4-a4d2-4d8b-9148-e3be6c30e623}">
          <xlrd:rvb i="10275"/>
        </ext>
      </extLst>
    </bk>
    <bk>
      <extLst>
        <ext uri="{3e2802c4-a4d2-4d8b-9148-e3be6c30e623}">
          <xlrd:rvb i="10276"/>
        </ext>
      </extLst>
    </bk>
    <bk>
      <extLst>
        <ext uri="{3e2802c4-a4d2-4d8b-9148-e3be6c30e623}">
          <xlrd:rvb i="10277"/>
        </ext>
      </extLst>
    </bk>
    <bk>
      <extLst>
        <ext uri="{3e2802c4-a4d2-4d8b-9148-e3be6c30e623}">
          <xlrd:rvb i="10278"/>
        </ext>
      </extLst>
    </bk>
    <bk>
      <extLst>
        <ext uri="{3e2802c4-a4d2-4d8b-9148-e3be6c30e623}">
          <xlrd:rvb i="10279"/>
        </ext>
      </extLst>
    </bk>
    <bk>
      <extLst>
        <ext uri="{3e2802c4-a4d2-4d8b-9148-e3be6c30e623}">
          <xlrd:rvb i="10280"/>
        </ext>
      </extLst>
    </bk>
    <bk>
      <extLst>
        <ext uri="{3e2802c4-a4d2-4d8b-9148-e3be6c30e623}">
          <xlrd:rvb i="10281"/>
        </ext>
      </extLst>
    </bk>
    <bk>
      <extLst>
        <ext uri="{3e2802c4-a4d2-4d8b-9148-e3be6c30e623}">
          <xlrd:rvb i="10282"/>
        </ext>
      </extLst>
    </bk>
    <bk>
      <extLst>
        <ext uri="{3e2802c4-a4d2-4d8b-9148-e3be6c30e623}">
          <xlrd:rvb i="10283"/>
        </ext>
      </extLst>
    </bk>
    <bk>
      <extLst>
        <ext uri="{3e2802c4-a4d2-4d8b-9148-e3be6c30e623}">
          <xlrd:rvb i="10284"/>
        </ext>
      </extLst>
    </bk>
    <bk>
      <extLst>
        <ext uri="{3e2802c4-a4d2-4d8b-9148-e3be6c30e623}">
          <xlrd:rvb i="10285"/>
        </ext>
      </extLst>
    </bk>
    <bk>
      <extLst>
        <ext uri="{3e2802c4-a4d2-4d8b-9148-e3be6c30e623}">
          <xlrd:rvb i="10286"/>
        </ext>
      </extLst>
    </bk>
    <bk>
      <extLst>
        <ext uri="{3e2802c4-a4d2-4d8b-9148-e3be6c30e623}">
          <xlrd:rvb i="10287"/>
        </ext>
      </extLst>
    </bk>
    <bk>
      <extLst>
        <ext uri="{3e2802c4-a4d2-4d8b-9148-e3be6c30e623}">
          <xlrd:rvb i="10288"/>
        </ext>
      </extLst>
    </bk>
    <bk>
      <extLst>
        <ext uri="{3e2802c4-a4d2-4d8b-9148-e3be6c30e623}">
          <xlrd:rvb i="10289"/>
        </ext>
      </extLst>
    </bk>
    <bk>
      <extLst>
        <ext uri="{3e2802c4-a4d2-4d8b-9148-e3be6c30e623}">
          <xlrd:rvb i="10290"/>
        </ext>
      </extLst>
    </bk>
    <bk>
      <extLst>
        <ext uri="{3e2802c4-a4d2-4d8b-9148-e3be6c30e623}">
          <xlrd:rvb i="10291"/>
        </ext>
      </extLst>
    </bk>
    <bk>
      <extLst>
        <ext uri="{3e2802c4-a4d2-4d8b-9148-e3be6c30e623}">
          <xlrd:rvb i="10292"/>
        </ext>
      </extLst>
    </bk>
    <bk>
      <extLst>
        <ext uri="{3e2802c4-a4d2-4d8b-9148-e3be6c30e623}">
          <xlrd:rvb i="10293"/>
        </ext>
      </extLst>
    </bk>
    <bk>
      <extLst>
        <ext uri="{3e2802c4-a4d2-4d8b-9148-e3be6c30e623}">
          <xlrd:rvb i="10294"/>
        </ext>
      </extLst>
    </bk>
    <bk>
      <extLst>
        <ext uri="{3e2802c4-a4d2-4d8b-9148-e3be6c30e623}">
          <xlrd:rvb i="10295"/>
        </ext>
      </extLst>
    </bk>
    <bk>
      <extLst>
        <ext uri="{3e2802c4-a4d2-4d8b-9148-e3be6c30e623}">
          <xlrd:rvb i="10296"/>
        </ext>
      </extLst>
    </bk>
    <bk>
      <extLst>
        <ext uri="{3e2802c4-a4d2-4d8b-9148-e3be6c30e623}">
          <xlrd:rvb i="10297"/>
        </ext>
      </extLst>
    </bk>
    <bk>
      <extLst>
        <ext uri="{3e2802c4-a4d2-4d8b-9148-e3be6c30e623}">
          <xlrd:rvb i="10298"/>
        </ext>
      </extLst>
    </bk>
    <bk>
      <extLst>
        <ext uri="{3e2802c4-a4d2-4d8b-9148-e3be6c30e623}">
          <xlrd:rvb i="10299"/>
        </ext>
      </extLst>
    </bk>
    <bk>
      <extLst>
        <ext uri="{3e2802c4-a4d2-4d8b-9148-e3be6c30e623}">
          <xlrd:rvb i="10300"/>
        </ext>
      </extLst>
    </bk>
    <bk>
      <extLst>
        <ext uri="{3e2802c4-a4d2-4d8b-9148-e3be6c30e623}">
          <xlrd:rvb i="10301"/>
        </ext>
      </extLst>
    </bk>
    <bk>
      <extLst>
        <ext uri="{3e2802c4-a4d2-4d8b-9148-e3be6c30e623}">
          <xlrd:rvb i="10302"/>
        </ext>
      </extLst>
    </bk>
    <bk>
      <extLst>
        <ext uri="{3e2802c4-a4d2-4d8b-9148-e3be6c30e623}">
          <xlrd:rvb i="10303"/>
        </ext>
      </extLst>
    </bk>
    <bk>
      <extLst>
        <ext uri="{3e2802c4-a4d2-4d8b-9148-e3be6c30e623}">
          <xlrd:rvb i="10304"/>
        </ext>
      </extLst>
    </bk>
    <bk>
      <extLst>
        <ext uri="{3e2802c4-a4d2-4d8b-9148-e3be6c30e623}">
          <xlrd:rvb i="10305"/>
        </ext>
      </extLst>
    </bk>
    <bk>
      <extLst>
        <ext uri="{3e2802c4-a4d2-4d8b-9148-e3be6c30e623}">
          <xlrd:rvb i="10306"/>
        </ext>
      </extLst>
    </bk>
    <bk>
      <extLst>
        <ext uri="{3e2802c4-a4d2-4d8b-9148-e3be6c30e623}">
          <xlrd:rvb i="10307"/>
        </ext>
      </extLst>
    </bk>
    <bk>
      <extLst>
        <ext uri="{3e2802c4-a4d2-4d8b-9148-e3be6c30e623}">
          <xlrd:rvb i="10308"/>
        </ext>
      </extLst>
    </bk>
    <bk>
      <extLst>
        <ext uri="{3e2802c4-a4d2-4d8b-9148-e3be6c30e623}">
          <xlrd:rvb i="10309"/>
        </ext>
      </extLst>
    </bk>
    <bk>
      <extLst>
        <ext uri="{3e2802c4-a4d2-4d8b-9148-e3be6c30e623}">
          <xlrd:rvb i="10310"/>
        </ext>
      </extLst>
    </bk>
    <bk>
      <extLst>
        <ext uri="{3e2802c4-a4d2-4d8b-9148-e3be6c30e623}">
          <xlrd:rvb i="10311"/>
        </ext>
      </extLst>
    </bk>
    <bk>
      <extLst>
        <ext uri="{3e2802c4-a4d2-4d8b-9148-e3be6c30e623}">
          <xlrd:rvb i="10312"/>
        </ext>
      </extLst>
    </bk>
    <bk>
      <extLst>
        <ext uri="{3e2802c4-a4d2-4d8b-9148-e3be6c30e623}">
          <xlrd:rvb i="10313"/>
        </ext>
      </extLst>
    </bk>
    <bk>
      <extLst>
        <ext uri="{3e2802c4-a4d2-4d8b-9148-e3be6c30e623}">
          <xlrd:rvb i="10314"/>
        </ext>
      </extLst>
    </bk>
    <bk>
      <extLst>
        <ext uri="{3e2802c4-a4d2-4d8b-9148-e3be6c30e623}">
          <xlrd:rvb i="10315"/>
        </ext>
      </extLst>
    </bk>
    <bk>
      <extLst>
        <ext uri="{3e2802c4-a4d2-4d8b-9148-e3be6c30e623}">
          <xlrd:rvb i="10316"/>
        </ext>
      </extLst>
    </bk>
    <bk>
      <extLst>
        <ext uri="{3e2802c4-a4d2-4d8b-9148-e3be6c30e623}">
          <xlrd:rvb i="10317"/>
        </ext>
      </extLst>
    </bk>
    <bk>
      <extLst>
        <ext uri="{3e2802c4-a4d2-4d8b-9148-e3be6c30e623}">
          <xlrd:rvb i="10318"/>
        </ext>
      </extLst>
    </bk>
    <bk>
      <extLst>
        <ext uri="{3e2802c4-a4d2-4d8b-9148-e3be6c30e623}">
          <xlrd:rvb i="10319"/>
        </ext>
      </extLst>
    </bk>
    <bk>
      <extLst>
        <ext uri="{3e2802c4-a4d2-4d8b-9148-e3be6c30e623}">
          <xlrd:rvb i="10320"/>
        </ext>
      </extLst>
    </bk>
    <bk>
      <extLst>
        <ext uri="{3e2802c4-a4d2-4d8b-9148-e3be6c30e623}">
          <xlrd:rvb i="10321"/>
        </ext>
      </extLst>
    </bk>
    <bk>
      <extLst>
        <ext uri="{3e2802c4-a4d2-4d8b-9148-e3be6c30e623}">
          <xlrd:rvb i="10322"/>
        </ext>
      </extLst>
    </bk>
    <bk>
      <extLst>
        <ext uri="{3e2802c4-a4d2-4d8b-9148-e3be6c30e623}">
          <xlrd:rvb i="10323"/>
        </ext>
      </extLst>
    </bk>
    <bk>
      <extLst>
        <ext uri="{3e2802c4-a4d2-4d8b-9148-e3be6c30e623}">
          <xlrd:rvb i="10324"/>
        </ext>
      </extLst>
    </bk>
    <bk>
      <extLst>
        <ext uri="{3e2802c4-a4d2-4d8b-9148-e3be6c30e623}">
          <xlrd:rvb i="10325"/>
        </ext>
      </extLst>
    </bk>
    <bk>
      <extLst>
        <ext uri="{3e2802c4-a4d2-4d8b-9148-e3be6c30e623}">
          <xlrd:rvb i="10326"/>
        </ext>
      </extLst>
    </bk>
    <bk>
      <extLst>
        <ext uri="{3e2802c4-a4d2-4d8b-9148-e3be6c30e623}">
          <xlrd:rvb i="10327"/>
        </ext>
      </extLst>
    </bk>
    <bk>
      <extLst>
        <ext uri="{3e2802c4-a4d2-4d8b-9148-e3be6c30e623}">
          <xlrd:rvb i="10328"/>
        </ext>
      </extLst>
    </bk>
    <bk>
      <extLst>
        <ext uri="{3e2802c4-a4d2-4d8b-9148-e3be6c30e623}">
          <xlrd:rvb i="10329"/>
        </ext>
      </extLst>
    </bk>
    <bk>
      <extLst>
        <ext uri="{3e2802c4-a4d2-4d8b-9148-e3be6c30e623}">
          <xlrd:rvb i="10330"/>
        </ext>
      </extLst>
    </bk>
    <bk>
      <extLst>
        <ext uri="{3e2802c4-a4d2-4d8b-9148-e3be6c30e623}">
          <xlrd:rvb i="10331"/>
        </ext>
      </extLst>
    </bk>
    <bk>
      <extLst>
        <ext uri="{3e2802c4-a4d2-4d8b-9148-e3be6c30e623}">
          <xlrd:rvb i="10332"/>
        </ext>
      </extLst>
    </bk>
    <bk>
      <extLst>
        <ext uri="{3e2802c4-a4d2-4d8b-9148-e3be6c30e623}">
          <xlrd:rvb i="10333"/>
        </ext>
      </extLst>
    </bk>
    <bk>
      <extLst>
        <ext uri="{3e2802c4-a4d2-4d8b-9148-e3be6c30e623}">
          <xlrd:rvb i="10334"/>
        </ext>
      </extLst>
    </bk>
    <bk>
      <extLst>
        <ext uri="{3e2802c4-a4d2-4d8b-9148-e3be6c30e623}">
          <xlrd:rvb i="10335"/>
        </ext>
      </extLst>
    </bk>
    <bk>
      <extLst>
        <ext uri="{3e2802c4-a4d2-4d8b-9148-e3be6c30e623}">
          <xlrd:rvb i="10336"/>
        </ext>
      </extLst>
    </bk>
    <bk>
      <extLst>
        <ext uri="{3e2802c4-a4d2-4d8b-9148-e3be6c30e623}">
          <xlrd:rvb i="10337"/>
        </ext>
      </extLst>
    </bk>
    <bk>
      <extLst>
        <ext uri="{3e2802c4-a4d2-4d8b-9148-e3be6c30e623}">
          <xlrd:rvb i="10338"/>
        </ext>
      </extLst>
    </bk>
    <bk>
      <extLst>
        <ext uri="{3e2802c4-a4d2-4d8b-9148-e3be6c30e623}">
          <xlrd:rvb i="10339"/>
        </ext>
      </extLst>
    </bk>
    <bk>
      <extLst>
        <ext uri="{3e2802c4-a4d2-4d8b-9148-e3be6c30e623}">
          <xlrd:rvb i="10340"/>
        </ext>
      </extLst>
    </bk>
    <bk>
      <extLst>
        <ext uri="{3e2802c4-a4d2-4d8b-9148-e3be6c30e623}">
          <xlrd:rvb i="10341"/>
        </ext>
      </extLst>
    </bk>
    <bk>
      <extLst>
        <ext uri="{3e2802c4-a4d2-4d8b-9148-e3be6c30e623}">
          <xlrd:rvb i="10342"/>
        </ext>
      </extLst>
    </bk>
    <bk>
      <extLst>
        <ext uri="{3e2802c4-a4d2-4d8b-9148-e3be6c30e623}">
          <xlrd:rvb i="10343"/>
        </ext>
      </extLst>
    </bk>
    <bk>
      <extLst>
        <ext uri="{3e2802c4-a4d2-4d8b-9148-e3be6c30e623}">
          <xlrd:rvb i="10344"/>
        </ext>
      </extLst>
    </bk>
    <bk>
      <extLst>
        <ext uri="{3e2802c4-a4d2-4d8b-9148-e3be6c30e623}">
          <xlrd:rvb i="10345"/>
        </ext>
      </extLst>
    </bk>
    <bk>
      <extLst>
        <ext uri="{3e2802c4-a4d2-4d8b-9148-e3be6c30e623}">
          <xlrd:rvb i="10346"/>
        </ext>
      </extLst>
    </bk>
    <bk>
      <extLst>
        <ext uri="{3e2802c4-a4d2-4d8b-9148-e3be6c30e623}">
          <xlrd:rvb i="10347"/>
        </ext>
      </extLst>
    </bk>
    <bk>
      <extLst>
        <ext uri="{3e2802c4-a4d2-4d8b-9148-e3be6c30e623}">
          <xlrd:rvb i="10348"/>
        </ext>
      </extLst>
    </bk>
    <bk>
      <extLst>
        <ext uri="{3e2802c4-a4d2-4d8b-9148-e3be6c30e623}">
          <xlrd:rvb i="10349"/>
        </ext>
      </extLst>
    </bk>
    <bk>
      <extLst>
        <ext uri="{3e2802c4-a4d2-4d8b-9148-e3be6c30e623}">
          <xlrd:rvb i="10350"/>
        </ext>
      </extLst>
    </bk>
    <bk>
      <extLst>
        <ext uri="{3e2802c4-a4d2-4d8b-9148-e3be6c30e623}">
          <xlrd:rvb i="10351"/>
        </ext>
      </extLst>
    </bk>
    <bk>
      <extLst>
        <ext uri="{3e2802c4-a4d2-4d8b-9148-e3be6c30e623}">
          <xlrd:rvb i="10352"/>
        </ext>
      </extLst>
    </bk>
    <bk>
      <extLst>
        <ext uri="{3e2802c4-a4d2-4d8b-9148-e3be6c30e623}">
          <xlrd:rvb i="10353"/>
        </ext>
      </extLst>
    </bk>
    <bk>
      <extLst>
        <ext uri="{3e2802c4-a4d2-4d8b-9148-e3be6c30e623}">
          <xlrd:rvb i="10354"/>
        </ext>
      </extLst>
    </bk>
    <bk>
      <extLst>
        <ext uri="{3e2802c4-a4d2-4d8b-9148-e3be6c30e623}">
          <xlrd:rvb i="10355"/>
        </ext>
      </extLst>
    </bk>
    <bk>
      <extLst>
        <ext uri="{3e2802c4-a4d2-4d8b-9148-e3be6c30e623}">
          <xlrd:rvb i="10356"/>
        </ext>
      </extLst>
    </bk>
    <bk>
      <extLst>
        <ext uri="{3e2802c4-a4d2-4d8b-9148-e3be6c30e623}">
          <xlrd:rvb i="10357"/>
        </ext>
      </extLst>
    </bk>
    <bk>
      <extLst>
        <ext uri="{3e2802c4-a4d2-4d8b-9148-e3be6c30e623}">
          <xlrd:rvb i="10358"/>
        </ext>
      </extLst>
    </bk>
    <bk>
      <extLst>
        <ext uri="{3e2802c4-a4d2-4d8b-9148-e3be6c30e623}">
          <xlrd:rvb i="10359"/>
        </ext>
      </extLst>
    </bk>
    <bk>
      <extLst>
        <ext uri="{3e2802c4-a4d2-4d8b-9148-e3be6c30e623}">
          <xlrd:rvb i="10360"/>
        </ext>
      </extLst>
    </bk>
    <bk>
      <extLst>
        <ext uri="{3e2802c4-a4d2-4d8b-9148-e3be6c30e623}">
          <xlrd:rvb i="10361"/>
        </ext>
      </extLst>
    </bk>
    <bk>
      <extLst>
        <ext uri="{3e2802c4-a4d2-4d8b-9148-e3be6c30e623}">
          <xlrd:rvb i="10362"/>
        </ext>
      </extLst>
    </bk>
    <bk>
      <extLst>
        <ext uri="{3e2802c4-a4d2-4d8b-9148-e3be6c30e623}">
          <xlrd:rvb i="10363"/>
        </ext>
      </extLst>
    </bk>
    <bk>
      <extLst>
        <ext uri="{3e2802c4-a4d2-4d8b-9148-e3be6c30e623}">
          <xlrd:rvb i="10364"/>
        </ext>
      </extLst>
    </bk>
    <bk>
      <extLst>
        <ext uri="{3e2802c4-a4d2-4d8b-9148-e3be6c30e623}">
          <xlrd:rvb i="10365"/>
        </ext>
      </extLst>
    </bk>
    <bk>
      <extLst>
        <ext uri="{3e2802c4-a4d2-4d8b-9148-e3be6c30e623}">
          <xlrd:rvb i="10366"/>
        </ext>
      </extLst>
    </bk>
    <bk>
      <extLst>
        <ext uri="{3e2802c4-a4d2-4d8b-9148-e3be6c30e623}">
          <xlrd:rvb i="10367"/>
        </ext>
      </extLst>
    </bk>
    <bk>
      <extLst>
        <ext uri="{3e2802c4-a4d2-4d8b-9148-e3be6c30e623}">
          <xlrd:rvb i="10368"/>
        </ext>
      </extLst>
    </bk>
    <bk>
      <extLst>
        <ext uri="{3e2802c4-a4d2-4d8b-9148-e3be6c30e623}">
          <xlrd:rvb i="10369"/>
        </ext>
      </extLst>
    </bk>
    <bk>
      <extLst>
        <ext uri="{3e2802c4-a4d2-4d8b-9148-e3be6c30e623}">
          <xlrd:rvb i="10370"/>
        </ext>
      </extLst>
    </bk>
    <bk>
      <extLst>
        <ext uri="{3e2802c4-a4d2-4d8b-9148-e3be6c30e623}">
          <xlrd:rvb i="10371"/>
        </ext>
      </extLst>
    </bk>
    <bk>
      <extLst>
        <ext uri="{3e2802c4-a4d2-4d8b-9148-e3be6c30e623}">
          <xlrd:rvb i="10372"/>
        </ext>
      </extLst>
    </bk>
    <bk>
      <extLst>
        <ext uri="{3e2802c4-a4d2-4d8b-9148-e3be6c30e623}">
          <xlrd:rvb i="10373"/>
        </ext>
      </extLst>
    </bk>
    <bk>
      <extLst>
        <ext uri="{3e2802c4-a4d2-4d8b-9148-e3be6c30e623}">
          <xlrd:rvb i="10374"/>
        </ext>
      </extLst>
    </bk>
    <bk>
      <extLst>
        <ext uri="{3e2802c4-a4d2-4d8b-9148-e3be6c30e623}">
          <xlrd:rvb i="10375"/>
        </ext>
      </extLst>
    </bk>
    <bk>
      <extLst>
        <ext uri="{3e2802c4-a4d2-4d8b-9148-e3be6c30e623}">
          <xlrd:rvb i="10376"/>
        </ext>
      </extLst>
    </bk>
    <bk>
      <extLst>
        <ext uri="{3e2802c4-a4d2-4d8b-9148-e3be6c30e623}">
          <xlrd:rvb i="10377"/>
        </ext>
      </extLst>
    </bk>
    <bk>
      <extLst>
        <ext uri="{3e2802c4-a4d2-4d8b-9148-e3be6c30e623}">
          <xlrd:rvb i="10378"/>
        </ext>
      </extLst>
    </bk>
    <bk>
      <extLst>
        <ext uri="{3e2802c4-a4d2-4d8b-9148-e3be6c30e623}">
          <xlrd:rvb i="10379"/>
        </ext>
      </extLst>
    </bk>
    <bk>
      <extLst>
        <ext uri="{3e2802c4-a4d2-4d8b-9148-e3be6c30e623}">
          <xlrd:rvb i="10380"/>
        </ext>
      </extLst>
    </bk>
    <bk>
      <extLst>
        <ext uri="{3e2802c4-a4d2-4d8b-9148-e3be6c30e623}">
          <xlrd:rvb i="10381"/>
        </ext>
      </extLst>
    </bk>
    <bk>
      <extLst>
        <ext uri="{3e2802c4-a4d2-4d8b-9148-e3be6c30e623}">
          <xlrd:rvb i="10382"/>
        </ext>
      </extLst>
    </bk>
    <bk>
      <extLst>
        <ext uri="{3e2802c4-a4d2-4d8b-9148-e3be6c30e623}">
          <xlrd:rvb i="10383"/>
        </ext>
      </extLst>
    </bk>
    <bk>
      <extLst>
        <ext uri="{3e2802c4-a4d2-4d8b-9148-e3be6c30e623}">
          <xlrd:rvb i="10384"/>
        </ext>
      </extLst>
    </bk>
    <bk>
      <extLst>
        <ext uri="{3e2802c4-a4d2-4d8b-9148-e3be6c30e623}">
          <xlrd:rvb i="10385"/>
        </ext>
      </extLst>
    </bk>
    <bk>
      <extLst>
        <ext uri="{3e2802c4-a4d2-4d8b-9148-e3be6c30e623}">
          <xlrd:rvb i="10386"/>
        </ext>
      </extLst>
    </bk>
    <bk>
      <extLst>
        <ext uri="{3e2802c4-a4d2-4d8b-9148-e3be6c30e623}">
          <xlrd:rvb i="10387"/>
        </ext>
      </extLst>
    </bk>
    <bk>
      <extLst>
        <ext uri="{3e2802c4-a4d2-4d8b-9148-e3be6c30e623}">
          <xlrd:rvb i="10388"/>
        </ext>
      </extLst>
    </bk>
    <bk>
      <extLst>
        <ext uri="{3e2802c4-a4d2-4d8b-9148-e3be6c30e623}">
          <xlrd:rvb i="10389"/>
        </ext>
      </extLst>
    </bk>
    <bk>
      <extLst>
        <ext uri="{3e2802c4-a4d2-4d8b-9148-e3be6c30e623}">
          <xlrd:rvb i="10390"/>
        </ext>
      </extLst>
    </bk>
    <bk>
      <extLst>
        <ext uri="{3e2802c4-a4d2-4d8b-9148-e3be6c30e623}">
          <xlrd:rvb i="10391"/>
        </ext>
      </extLst>
    </bk>
    <bk>
      <extLst>
        <ext uri="{3e2802c4-a4d2-4d8b-9148-e3be6c30e623}">
          <xlrd:rvb i="10392"/>
        </ext>
      </extLst>
    </bk>
    <bk>
      <extLst>
        <ext uri="{3e2802c4-a4d2-4d8b-9148-e3be6c30e623}">
          <xlrd:rvb i="10393"/>
        </ext>
      </extLst>
    </bk>
    <bk>
      <extLst>
        <ext uri="{3e2802c4-a4d2-4d8b-9148-e3be6c30e623}">
          <xlrd:rvb i="10394"/>
        </ext>
      </extLst>
    </bk>
    <bk>
      <extLst>
        <ext uri="{3e2802c4-a4d2-4d8b-9148-e3be6c30e623}">
          <xlrd:rvb i="10395"/>
        </ext>
      </extLst>
    </bk>
    <bk>
      <extLst>
        <ext uri="{3e2802c4-a4d2-4d8b-9148-e3be6c30e623}">
          <xlrd:rvb i="10396"/>
        </ext>
      </extLst>
    </bk>
    <bk>
      <extLst>
        <ext uri="{3e2802c4-a4d2-4d8b-9148-e3be6c30e623}">
          <xlrd:rvb i="10397"/>
        </ext>
      </extLst>
    </bk>
    <bk>
      <extLst>
        <ext uri="{3e2802c4-a4d2-4d8b-9148-e3be6c30e623}">
          <xlrd:rvb i="10398"/>
        </ext>
      </extLst>
    </bk>
    <bk>
      <extLst>
        <ext uri="{3e2802c4-a4d2-4d8b-9148-e3be6c30e623}">
          <xlrd:rvb i="10399"/>
        </ext>
      </extLst>
    </bk>
    <bk>
      <extLst>
        <ext uri="{3e2802c4-a4d2-4d8b-9148-e3be6c30e623}">
          <xlrd:rvb i="10400"/>
        </ext>
      </extLst>
    </bk>
    <bk>
      <extLst>
        <ext uri="{3e2802c4-a4d2-4d8b-9148-e3be6c30e623}">
          <xlrd:rvb i="10401"/>
        </ext>
      </extLst>
    </bk>
    <bk>
      <extLst>
        <ext uri="{3e2802c4-a4d2-4d8b-9148-e3be6c30e623}">
          <xlrd:rvb i="10402"/>
        </ext>
      </extLst>
    </bk>
    <bk>
      <extLst>
        <ext uri="{3e2802c4-a4d2-4d8b-9148-e3be6c30e623}">
          <xlrd:rvb i="10403"/>
        </ext>
      </extLst>
    </bk>
    <bk>
      <extLst>
        <ext uri="{3e2802c4-a4d2-4d8b-9148-e3be6c30e623}">
          <xlrd:rvb i="10404"/>
        </ext>
      </extLst>
    </bk>
    <bk>
      <extLst>
        <ext uri="{3e2802c4-a4d2-4d8b-9148-e3be6c30e623}">
          <xlrd:rvb i="10405"/>
        </ext>
      </extLst>
    </bk>
    <bk>
      <extLst>
        <ext uri="{3e2802c4-a4d2-4d8b-9148-e3be6c30e623}">
          <xlrd:rvb i="10406"/>
        </ext>
      </extLst>
    </bk>
    <bk>
      <extLst>
        <ext uri="{3e2802c4-a4d2-4d8b-9148-e3be6c30e623}">
          <xlrd:rvb i="10407"/>
        </ext>
      </extLst>
    </bk>
    <bk>
      <extLst>
        <ext uri="{3e2802c4-a4d2-4d8b-9148-e3be6c30e623}">
          <xlrd:rvb i="10408"/>
        </ext>
      </extLst>
    </bk>
    <bk>
      <extLst>
        <ext uri="{3e2802c4-a4d2-4d8b-9148-e3be6c30e623}">
          <xlrd:rvb i="10409"/>
        </ext>
      </extLst>
    </bk>
    <bk>
      <extLst>
        <ext uri="{3e2802c4-a4d2-4d8b-9148-e3be6c30e623}">
          <xlrd:rvb i="10410"/>
        </ext>
      </extLst>
    </bk>
    <bk>
      <extLst>
        <ext uri="{3e2802c4-a4d2-4d8b-9148-e3be6c30e623}">
          <xlrd:rvb i="10411"/>
        </ext>
      </extLst>
    </bk>
    <bk>
      <extLst>
        <ext uri="{3e2802c4-a4d2-4d8b-9148-e3be6c30e623}">
          <xlrd:rvb i="10412"/>
        </ext>
      </extLst>
    </bk>
    <bk>
      <extLst>
        <ext uri="{3e2802c4-a4d2-4d8b-9148-e3be6c30e623}">
          <xlrd:rvb i="10413"/>
        </ext>
      </extLst>
    </bk>
    <bk>
      <extLst>
        <ext uri="{3e2802c4-a4d2-4d8b-9148-e3be6c30e623}">
          <xlrd:rvb i="10414"/>
        </ext>
      </extLst>
    </bk>
    <bk>
      <extLst>
        <ext uri="{3e2802c4-a4d2-4d8b-9148-e3be6c30e623}">
          <xlrd:rvb i="10415"/>
        </ext>
      </extLst>
    </bk>
    <bk>
      <extLst>
        <ext uri="{3e2802c4-a4d2-4d8b-9148-e3be6c30e623}">
          <xlrd:rvb i="10416"/>
        </ext>
      </extLst>
    </bk>
    <bk>
      <extLst>
        <ext uri="{3e2802c4-a4d2-4d8b-9148-e3be6c30e623}">
          <xlrd:rvb i="10417"/>
        </ext>
      </extLst>
    </bk>
    <bk>
      <extLst>
        <ext uri="{3e2802c4-a4d2-4d8b-9148-e3be6c30e623}">
          <xlrd:rvb i="10418"/>
        </ext>
      </extLst>
    </bk>
    <bk>
      <extLst>
        <ext uri="{3e2802c4-a4d2-4d8b-9148-e3be6c30e623}">
          <xlrd:rvb i="10419"/>
        </ext>
      </extLst>
    </bk>
    <bk>
      <extLst>
        <ext uri="{3e2802c4-a4d2-4d8b-9148-e3be6c30e623}">
          <xlrd:rvb i="10420"/>
        </ext>
      </extLst>
    </bk>
    <bk>
      <extLst>
        <ext uri="{3e2802c4-a4d2-4d8b-9148-e3be6c30e623}">
          <xlrd:rvb i="10421"/>
        </ext>
      </extLst>
    </bk>
    <bk>
      <extLst>
        <ext uri="{3e2802c4-a4d2-4d8b-9148-e3be6c30e623}">
          <xlrd:rvb i="10422"/>
        </ext>
      </extLst>
    </bk>
    <bk>
      <extLst>
        <ext uri="{3e2802c4-a4d2-4d8b-9148-e3be6c30e623}">
          <xlrd:rvb i="10423"/>
        </ext>
      </extLst>
    </bk>
    <bk>
      <extLst>
        <ext uri="{3e2802c4-a4d2-4d8b-9148-e3be6c30e623}">
          <xlrd:rvb i="10424"/>
        </ext>
      </extLst>
    </bk>
    <bk>
      <extLst>
        <ext uri="{3e2802c4-a4d2-4d8b-9148-e3be6c30e623}">
          <xlrd:rvb i="10425"/>
        </ext>
      </extLst>
    </bk>
    <bk>
      <extLst>
        <ext uri="{3e2802c4-a4d2-4d8b-9148-e3be6c30e623}">
          <xlrd:rvb i="10426"/>
        </ext>
      </extLst>
    </bk>
    <bk>
      <extLst>
        <ext uri="{3e2802c4-a4d2-4d8b-9148-e3be6c30e623}">
          <xlrd:rvb i="10427"/>
        </ext>
      </extLst>
    </bk>
    <bk>
      <extLst>
        <ext uri="{3e2802c4-a4d2-4d8b-9148-e3be6c30e623}">
          <xlrd:rvb i="10428"/>
        </ext>
      </extLst>
    </bk>
    <bk>
      <extLst>
        <ext uri="{3e2802c4-a4d2-4d8b-9148-e3be6c30e623}">
          <xlrd:rvb i="10429"/>
        </ext>
      </extLst>
    </bk>
    <bk>
      <extLst>
        <ext uri="{3e2802c4-a4d2-4d8b-9148-e3be6c30e623}">
          <xlrd:rvb i="10430"/>
        </ext>
      </extLst>
    </bk>
    <bk>
      <extLst>
        <ext uri="{3e2802c4-a4d2-4d8b-9148-e3be6c30e623}">
          <xlrd:rvb i="10431"/>
        </ext>
      </extLst>
    </bk>
    <bk>
      <extLst>
        <ext uri="{3e2802c4-a4d2-4d8b-9148-e3be6c30e623}">
          <xlrd:rvb i="10432"/>
        </ext>
      </extLst>
    </bk>
    <bk>
      <extLst>
        <ext uri="{3e2802c4-a4d2-4d8b-9148-e3be6c30e623}">
          <xlrd:rvb i="10433"/>
        </ext>
      </extLst>
    </bk>
    <bk>
      <extLst>
        <ext uri="{3e2802c4-a4d2-4d8b-9148-e3be6c30e623}">
          <xlrd:rvb i="10434"/>
        </ext>
      </extLst>
    </bk>
    <bk>
      <extLst>
        <ext uri="{3e2802c4-a4d2-4d8b-9148-e3be6c30e623}">
          <xlrd:rvb i="10435"/>
        </ext>
      </extLst>
    </bk>
    <bk>
      <extLst>
        <ext uri="{3e2802c4-a4d2-4d8b-9148-e3be6c30e623}">
          <xlrd:rvb i="10436"/>
        </ext>
      </extLst>
    </bk>
    <bk>
      <extLst>
        <ext uri="{3e2802c4-a4d2-4d8b-9148-e3be6c30e623}">
          <xlrd:rvb i="10437"/>
        </ext>
      </extLst>
    </bk>
    <bk>
      <extLst>
        <ext uri="{3e2802c4-a4d2-4d8b-9148-e3be6c30e623}">
          <xlrd:rvb i="10438"/>
        </ext>
      </extLst>
    </bk>
    <bk>
      <extLst>
        <ext uri="{3e2802c4-a4d2-4d8b-9148-e3be6c30e623}">
          <xlrd:rvb i="10439"/>
        </ext>
      </extLst>
    </bk>
    <bk>
      <extLst>
        <ext uri="{3e2802c4-a4d2-4d8b-9148-e3be6c30e623}">
          <xlrd:rvb i="10440"/>
        </ext>
      </extLst>
    </bk>
    <bk>
      <extLst>
        <ext uri="{3e2802c4-a4d2-4d8b-9148-e3be6c30e623}">
          <xlrd:rvb i="10441"/>
        </ext>
      </extLst>
    </bk>
    <bk>
      <extLst>
        <ext uri="{3e2802c4-a4d2-4d8b-9148-e3be6c30e623}">
          <xlrd:rvb i="10442"/>
        </ext>
      </extLst>
    </bk>
    <bk>
      <extLst>
        <ext uri="{3e2802c4-a4d2-4d8b-9148-e3be6c30e623}">
          <xlrd:rvb i="10443"/>
        </ext>
      </extLst>
    </bk>
    <bk>
      <extLst>
        <ext uri="{3e2802c4-a4d2-4d8b-9148-e3be6c30e623}">
          <xlrd:rvb i="10444"/>
        </ext>
      </extLst>
    </bk>
    <bk>
      <extLst>
        <ext uri="{3e2802c4-a4d2-4d8b-9148-e3be6c30e623}">
          <xlrd:rvb i="10445"/>
        </ext>
      </extLst>
    </bk>
    <bk>
      <extLst>
        <ext uri="{3e2802c4-a4d2-4d8b-9148-e3be6c30e623}">
          <xlrd:rvb i="10446"/>
        </ext>
      </extLst>
    </bk>
    <bk>
      <extLst>
        <ext uri="{3e2802c4-a4d2-4d8b-9148-e3be6c30e623}">
          <xlrd:rvb i="10447"/>
        </ext>
      </extLst>
    </bk>
    <bk>
      <extLst>
        <ext uri="{3e2802c4-a4d2-4d8b-9148-e3be6c30e623}">
          <xlrd:rvb i="10448"/>
        </ext>
      </extLst>
    </bk>
    <bk>
      <extLst>
        <ext uri="{3e2802c4-a4d2-4d8b-9148-e3be6c30e623}">
          <xlrd:rvb i="10449"/>
        </ext>
      </extLst>
    </bk>
    <bk>
      <extLst>
        <ext uri="{3e2802c4-a4d2-4d8b-9148-e3be6c30e623}">
          <xlrd:rvb i="10450"/>
        </ext>
      </extLst>
    </bk>
    <bk>
      <extLst>
        <ext uri="{3e2802c4-a4d2-4d8b-9148-e3be6c30e623}">
          <xlrd:rvb i="10451"/>
        </ext>
      </extLst>
    </bk>
    <bk>
      <extLst>
        <ext uri="{3e2802c4-a4d2-4d8b-9148-e3be6c30e623}">
          <xlrd:rvb i="10452"/>
        </ext>
      </extLst>
    </bk>
    <bk>
      <extLst>
        <ext uri="{3e2802c4-a4d2-4d8b-9148-e3be6c30e623}">
          <xlrd:rvb i="10453"/>
        </ext>
      </extLst>
    </bk>
    <bk>
      <extLst>
        <ext uri="{3e2802c4-a4d2-4d8b-9148-e3be6c30e623}">
          <xlrd:rvb i="10454"/>
        </ext>
      </extLst>
    </bk>
    <bk>
      <extLst>
        <ext uri="{3e2802c4-a4d2-4d8b-9148-e3be6c30e623}">
          <xlrd:rvb i="10455"/>
        </ext>
      </extLst>
    </bk>
    <bk>
      <extLst>
        <ext uri="{3e2802c4-a4d2-4d8b-9148-e3be6c30e623}">
          <xlrd:rvb i="10456"/>
        </ext>
      </extLst>
    </bk>
    <bk>
      <extLst>
        <ext uri="{3e2802c4-a4d2-4d8b-9148-e3be6c30e623}">
          <xlrd:rvb i="10457"/>
        </ext>
      </extLst>
    </bk>
    <bk>
      <extLst>
        <ext uri="{3e2802c4-a4d2-4d8b-9148-e3be6c30e623}">
          <xlrd:rvb i="10458"/>
        </ext>
      </extLst>
    </bk>
    <bk>
      <extLst>
        <ext uri="{3e2802c4-a4d2-4d8b-9148-e3be6c30e623}">
          <xlrd:rvb i="10459"/>
        </ext>
      </extLst>
    </bk>
    <bk>
      <extLst>
        <ext uri="{3e2802c4-a4d2-4d8b-9148-e3be6c30e623}">
          <xlrd:rvb i="10460"/>
        </ext>
      </extLst>
    </bk>
    <bk>
      <extLst>
        <ext uri="{3e2802c4-a4d2-4d8b-9148-e3be6c30e623}">
          <xlrd:rvb i="10461"/>
        </ext>
      </extLst>
    </bk>
    <bk>
      <extLst>
        <ext uri="{3e2802c4-a4d2-4d8b-9148-e3be6c30e623}">
          <xlrd:rvb i="10462"/>
        </ext>
      </extLst>
    </bk>
    <bk>
      <extLst>
        <ext uri="{3e2802c4-a4d2-4d8b-9148-e3be6c30e623}">
          <xlrd:rvb i="10463"/>
        </ext>
      </extLst>
    </bk>
    <bk>
      <extLst>
        <ext uri="{3e2802c4-a4d2-4d8b-9148-e3be6c30e623}">
          <xlrd:rvb i="10464"/>
        </ext>
      </extLst>
    </bk>
    <bk>
      <extLst>
        <ext uri="{3e2802c4-a4d2-4d8b-9148-e3be6c30e623}">
          <xlrd:rvb i="10465"/>
        </ext>
      </extLst>
    </bk>
    <bk>
      <extLst>
        <ext uri="{3e2802c4-a4d2-4d8b-9148-e3be6c30e623}">
          <xlrd:rvb i="10466"/>
        </ext>
      </extLst>
    </bk>
    <bk>
      <extLst>
        <ext uri="{3e2802c4-a4d2-4d8b-9148-e3be6c30e623}">
          <xlrd:rvb i="10467"/>
        </ext>
      </extLst>
    </bk>
    <bk>
      <extLst>
        <ext uri="{3e2802c4-a4d2-4d8b-9148-e3be6c30e623}">
          <xlrd:rvb i="10468"/>
        </ext>
      </extLst>
    </bk>
    <bk>
      <extLst>
        <ext uri="{3e2802c4-a4d2-4d8b-9148-e3be6c30e623}">
          <xlrd:rvb i="10469"/>
        </ext>
      </extLst>
    </bk>
    <bk>
      <extLst>
        <ext uri="{3e2802c4-a4d2-4d8b-9148-e3be6c30e623}">
          <xlrd:rvb i="10470"/>
        </ext>
      </extLst>
    </bk>
    <bk>
      <extLst>
        <ext uri="{3e2802c4-a4d2-4d8b-9148-e3be6c30e623}">
          <xlrd:rvb i="10471"/>
        </ext>
      </extLst>
    </bk>
    <bk>
      <extLst>
        <ext uri="{3e2802c4-a4d2-4d8b-9148-e3be6c30e623}">
          <xlrd:rvb i="10472"/>
        </ext>
      </extLst>
    </bk>
    <bk>
      <extLst>
        <ext uri="{3e2802c4-a4d2-4d8b-9148-e3be6c30e623}">
          <xlrd:rvb i="10473"/>
        </ext>
      </extLst>
    </bk>
    <bk>
      <extLst>
        <ext uri="{3e2802c4-a4d2-4d8b-9148-e3be6c30e623}">
          <xlrd:rvb i="10474"/>
        </ext>
      </extLst>
    </bk>
    <bk>
      <extLst>
        <ext uri="{3e2802c4-a4d2-4d8b-9148-e3be6c30e623}">
          <xlrd:rvb i="10475"/>
        </ext>
      </extLst>
    </bk>
    <bk>
      <extLst>
        <ext uri="{3e2802c4-a4d2-4d8b-9148-e3be6c30e623}">
          <xlrd:rvb i="10476"/>
        </ext>
      </extLst>
    </bk>
    <bk>
      <extLst>
        <ext uri="{3e2802c4-a4d2-4d8b-9148-e3be6c30e623}">
          <xlrd:rvb i="10477"/>
        </ext>
      </extLst>
    </bk>
    <bk>
      <extLst>
        <ext uri="{3e2802c4-a4d2-4d8b-9148-e3be6c30e623}">
          <xlrd:rvb i="10478"/>
        </ext>
      </extLst>
    </bk>
    <bk>
      <extLst>
        <ext uri="{3e2802c4-a4d2-4d8b-9148-e3be6c30e623}">
          <xlrd:rvb i="10479"/>
        </ext>
      </extLst>
    </bk>
    <bk>
      <extLst>
        <ext uri="{3e2802c4-a4d2-4d8b-9148-e3be6c30e623}">
          <xlrd:rvb i="10480"/>
        </ext>
      </extLst>
    </bk>
    <bk>
      <extLst>
        <ext uri="{3e2802c4-a4d2-4d8b-9148-e3be6c30e623}">
          <xlrd:rvb i="10481"/>
        </ext>
      </extLst>
    </bk>
    <bk>
      <extLst>
        <ext uri="{3e2802c4-a4d2-4d8b-9148-e3be6c30e623}">
          <xlrd:rvb i="10482"/>
        </ext>
      </extLst>
    </bk>
    <bk>
      <extLst>
        <ext uri="{3e2802c4-a4d2-4d8b-9148-e3be6c30e623}">
          <xlrd:rvb i="10483"/>
        </ext>
      </extLst>
    </bk>
    <bk>
      <extLst>
        <ext uri="{3e2802c4-a4d2-4d8b-9148-e3be6c30e623}">
          <xlrd:rvb i="10484"/>
        </ext>
      </extLst>
    </bk>
    <bk>
      <extLst>
        <ext uri="{3e2802c4-a4d2-4d8b-9148-e3be6c30e623}">
          <xlrd:rvb i="10485"/>
        </ext>
      </extLst>
    </bk>
    <bk>
      <extLst>
        <ext uri="{3e2802c4-a4d2-4d8b-9148-e3be6c30e623}">
          <xlrd:rvb i="10486"/>
        </ext>
      </extLst>
    </bk>
    <bk>
      <extLst>
        <ext uri="{3e2802c4-a4d2-4d8b-9148-e3be6c30e623}">
          <xlrd:rvb i="10487"/>
        </ext>
      </extLst>
    </bk>
    <bk>
      <extLst>
        <ext uri="{3e2802c4-a4d2-4d8b-9148-e3be6c30e623}">
          <xlrd:rvb i="10488"/>
        </ext>
      </extLst>
    </bk>
    <bk>
      <extLst>
        <ext uri="{3e2802c4-a4d2-4d8b-9148-e3be6c30e623}">
          <xlrd:rvb i="10489"/>
        </ext>
      </extLst>
    </bk>
    <bk>
      <extLst>
        <ext uri="{3e2802c4-a4d2-4d8b-9148-e3be6c30e623}">
          <xlrd:rvb i="10490"/>
        </ext>
      </extLst>
    </bk>
    <bk>
      <extLst>
        <ext uri="{3e2802c4-a4d2-4d8b-9148-e3be6c30e623}">
          <xlrd:rvb i="10491"/>
        </ext>
      </extLst>
    </bk>
    <bk>
      <extLst>
        <ext uri="{3e2802c4-a4d2-4d8b-9148-e3be6c30e623}">
          <xlrd:rvb i="10492"/>
        </ext>
      </extLst>
    </bk>
    <bk>
      <extLst>
        <ext uri="{3e2802c4-a4d2-4d8b-9148-e3be6c30e623}">
          <xlrd:rvb i="10493"/>
        </ext>
      </extLst>
    </bk>
    <bk>
      <extLst>
        <ext uri="{3e2802c4-a4d2-4d8b-9148-e3be6c30e623}">
          <xlrd:rvb i="10494"/>
        </ext>
      </extLst>
    </bk>
    <bk>
      <extLst>
        <ext uri="{3e2802c4-a4d2-4d8b-9148-e3be6c30e623}">
          <xlrd:rvb i="10495"/>
        </ext>
      </extLst>
    </bk>
    <bk>
      <extLst>
        <ext uri="{3e2802c4-a4d2-4d8b-9148-e3be6c30e623}">
          <xlrd:rvb i="10496"/>
        </ext>
      </extLst>
    </bk>
    <bk>
      <extLst>
        <ext uri="{3e2802c4-a4d2-4d8b-9148-e3be6c30e623}">
          <xlrd:rvb i="10497"/>
        </ext>
      </extLst>
    </bk>
    <bk>
      <extLst>
        <ext uri="{3e2802c4-a4d2-4d8b-9148-e3be6c30e623}">
          <xlrd:rvb i="10498"/>
        </ext>
      </extLst>
    </bk>
    <bk>
      <extLst>
        <ext uri="{3e2802c4-a4d2-4d8b-9148-e3be6c30e623}">
          <xlrd:rvb i="10499"/>
        </ext>
      </extLst>
    </bk>
    <bk>
      <extLst>
        <ext uri="{3e2802c4-a4d2-4d8b-9148-e3be6c30e623}">
          <xlrd:rvb i="10500"/>
        </ext>
      </extLst>
    </bk>
    <bk>
      <extLst>
        <ext uri="{3e2802c4-a4d2-4d8b-9148-e3be6c30e623}">
          <xlrd:rvb i="10501"/>
        </ext>
      </extLst>
    </bk>
    <bk>
      <extLst>
        <ext uri="{3e2802c4-a4d2-4d8b-9148-e3be6c30e623}">
          <xlrd:rvb i="10502"/>
        </ext>
      </extLst>
    </bk>
    <bk>
      <extLst>
        <ext uri="{3e2802c4-a4d2-4d8b-9148-e3be6c30e623}">
          <xlrd:rvb i="10503"/>
        </ext>
      </extLst>
    </bk>
    <bk>
      <extLst>
        <ext uri="{3e2802c4-a4d2-4d8b-9148-e3be6c30e623}">
          <xlrd:rvb i="10504"/>
        </ext>
      </extLst>
    </bk>
    <bk>
      <extLst>
        <ext uri="{3e2802c4-a4d2-4d8b-9148-e3be6c30e623}">
          <xlrd:rvb i="10505"/>
        </ext>
      </extLst>
    </bk>
    <bk>
      <extLst>
        <ext uri="{3e2802c4-a4d2-4d8b-9148-e3be6c30e623}">
          <xlrd:rvb i="10506"/>
        </ext>
      </extLst>
    </bk>
    <bk>
      <extLst>
        <ext uri="{3e2802c4-a4d2-4d8b-9148-e3be6c30e623}">
          <xlrd:rvb i="10507"/>
        </ext>
      </extLst>
    </bk>
    <bk>
      <extLst>
        <ext uri="{3e2802c4-a4d2-4d8b-9148-e3be6c30e623}">
          <xlrd:rvb i="10508"/>
        </ext>
      </extLst>
    </bk>
    <bk>
      <extLst>
        <ext uri="{3e2802c4-a4d2-4d8b-9148-e3be6c30e623}">
          <xlrd:rvb i="10509"/>
        </ext>
      </extLst>
    </bk>
    <bk>
      <extLst>
        <ext uri="{3e2802c4-a4d2-4d8b-9148-e3be6c30e623}">
          <xlrd:rvb i="10510"/>
        </ext>
      </extLst>
    </bk>
    <bk>
      <extLst>
        <ext uri="{3e2802c4-a4d2-4d8b-9148-e3be6c30e623}">
          <xlrd:rvb i="10511"/>
        </ext>
      </extLst>
    </bk>
    <bk>
      <extLst>
        <ext uri="{3e2802c4-a4d2-4d8b-9148-e3be6c30e623}">
          <xlrd:rvb i="10512"/>
        </ext>
      </extLst>
    </bk>
    <bk>
      <extLst>
        <ext uri="{3e2802c4-a4d2-4d8b-9148-e3be6c30e623}">
          <xlrd:rvb i="10513"/>
        </ext>
      </extLst>
    </bk>
    <bk>
      <extLst>
        <ext uri="{3e2802c4-a4d2-4d8b-9148-e3be6c30e623}">
          <xlrd:rvb i="10514"/>
        </ext>
      </extLst>
    </bk>
    <bk>
      <extLst>
        <ext uri="{3e2802c4-a4d2-4d8b-9148-e3be6c30e623}">
          <xlrd:rvb i="10515"/>
        </ext>
      </extLst>
    </bk>
    <bk>
      <extLst>
        <ext uri="{3e2802c4-a4d2-4d8b-9148-e3be6c30e623}">
          <xlrd:rvb i="10516"/>
        </ext>
      </extLst>
    </bk>
    <bk>
      <extLst>
        <ext uri="{3e2802c4-a4d2-4d8b-9148-e3be6c30e623}">
          <xlrd:rvb i="10517"/>
        </ext>
      </extLst>
    </bk>
    <bk>
      <extLst>
        <ext uri="{3e2802c4-a4d2-4d8b-9148-e3be6c30e623}">
          <xlrd:rvb i="10518"/>
        </ext>
      </extLst>
    </bk>
    <bk>
      <extLst>
        <ext uri="{3e2802c4-a4d2-4d8b-9148-e3be6c30e623}">
          <xlrd:rvb i="10519"/>
        </ext>
      </extLst>
    </bk>
    <bk>
      <extLst>
        <ext uri="{3e2802c4-a4d2-4d8b-9148-e3be6c30e623}">
          <xlrd:rvb i="10520"/>
        </ext>
      </extLst>
    </bk>
    <bk>
      <extLst>
        <ext uri="{3e2802c4-a4d2-4d8b-9148-e3be6c30e623}">
          <xlrd:rvb i="10521"/>
        </ext>
      </extLst>
    </bk>
    <bk>
      <extLst>
        <ext uri="{3e2802c4-a4d2-4d8b-9148-e3be6c30e623}">
          <xlrd:rvb i="10522"/>
        </ext>
      </extLst>
    </bk>
    <bk>
      <extLst>
        <ext uri="{3e2802c4-a4d2-4d8b-9148-e3be6c30e623}">
          <xlrd:rvb i="10523"/>
        </ext>
      </extLst>
    </bk>
    <bk>
      <extLst>
        <ext uri="{3e2802c4-a4d2-4d8b-9148-e3be6c30e623}">
          <xlrd:rvb i="10524"/>
        </ext>
      </extLst>
    </bk>
    <bk>
      <extLst>
        <ext uri="{3e2802c4-a4d2-4d8b-9148-e3be6c30e623}">
          <xlrd:rvb i="10525"/>
        </ext>
      </extLst>
    </bk>
    <bk>
      <extLst>
        <ext uri="{3e2802c4-a4d2-4d8b-9148-e3be6c30e623}">
          <xlrd:rvb i="10526"/>
        </ext>
      </extLst>
    </bk>
    <bk>
      <extLst>
        <ext uri="{3e2802c4-a4d2-4d8b-9148-e3be6c30e623}">
          <xlrd:rvb i="10527"/>
        </ext>
      </extLst>
    </bk>
    <bk>
      <extLst>
        <ext uri="{3e2802c4-a4d2-4d8b-9148-e3be6c30e623}">
          <xlrd:rvb i="10528"/>
        </ext>
      </extLst>
    </bk>
    <bk>
      <extLst>
        <ext uri="{3e2802c4-a4d2-4d8b-9148-e3be6c30e623}">
          <xlrd:rvb i="10529"/>
        </ext>
      </extLst>
    </bk>
    <bk>
      <extLst>
        <ext uri="{3e2802c4-a4d2-4d8b-9148-e3be6c30e623}">
          <xlrd:rvb i="10530"/>
        </ext>
      </extLst>
    </bk>
    <bk>
      <extLst>
        <ext uri="{3e2802c4-a4d2-4d8b-9148-e3be6c30e623}">
          <xlrd:rvb i="10531"/>
        </ext>
      </extLst>
    </bk>
    <bk>
      <extLst>
        <ext uri="{3e2802c4-a4d2-4d8b-9148-e3be6c30e623}">
          <xlrd:rvb i="10532"/>
        </ext>
      </extLst>
    </bk>
    <bk>
      <extLst>
        <ext uri="{3e2802c4-a4d2-4d8b-9148-e3be6c30e623}">
          <xlrd:rvb i="10533"/>
        </ext>
      </extLst>
    </bk>
    <bk>
      <extLst>
        <ext uri="{3e2802c4-a4d2-4d8b-9148-e3be6c30e623}">
          <xlrd:rvb i="10534"/>
        </ext>
      </extLst>
    </bk>
    <bk>
      <extLst>
        <ext uri="{3e2802c4-a4d2-4d8b-9148-e3be6c30e623}">
          <xlrd:rvb i="10535"/>
        </ext>
      </extLst>
    </bk>
    <bk>
      <extLst>
        <ext uri="{3e2802c4-a4d2-4d8b-9148-e3be6c30e623}">
          <xlrd:rvb i="10536"/>
        </ext>
      </extLst>
    </bk>
    <bk>
      <extLst>
        <ext uri="{3e2802c4-a4d2-4d8b-9148-e3be6c30e623}">
          <xlrd:rvb i="10537"/>
        </ext>
      </extLst>
    </bk>
    <bk>
      <extLst>
        <ext uri="{3e2802c4-a4d2-4d8b-9148-e3be6c30e623}">
          <xlrd:rvb i="10538"/>
        </ext>
      </extLst>
    </bk>
    <bk>
      <extLst>
        <ext uri="{3e2802c4-a4d2-4d8b-9148-e3be6c30e623}">
          <xlrd:rvb i="10539"/>
        </ext>
      </extLst>
    </bk>
    <bk>
      <extLst>
        <ext uri="{3e2802c4-a4d2-4d8b-9148-e3be6c30e623}">
          <xlrd:rvb i="10540"/>
        </ext>
      </extLst>
    </bk>
    <bk>
      <extLst>
        <ext uri="{3e2802c4-a4d2-4d8b-9148-e3be6c30e623}">
          <xlrd:rvb i="10541"/>
        </ext>
      </extLst>
    </bk>
    <bk>
      <extLst>
        <ext uri="{3e2802c4-a4d2-4d8b-9148-e3be6c30e623}">
          <xlrd:rvb i="10542"/>
        </ext>
      </extLst>
    </bk>
    <bk>
      <extLst>
        <ext uri="{3e2802c4-a4d2-4d8b-9148-e3be6c30e623}">
          <xlrd:rvb i="10543"/>
        </ext>
      </extLst>
    </bk>
    <bk>
      <extLst>
        <ext uri="{3e2802c4-a4d2-4d8b-9148-e3be6c30e623}">
          <xlrd:rvb i="10544"/>
        </ext>
      </extLst>
    </bk>
    <bk>
      <extLst>
        <ext uri="{3e2802c4-a4d2-4d8b-9148-e3be6c30e623}">
          <xlrd:rvb i="10545"/>
        </ext>
      </extLst>
    </bk>
    <bk>
      <extLst>
        <ext uri="{3e2802c4-a4d2-4d8b-9148-e3be6c30e623}">
          <xlrd:rvb i="10546"/>
        </ext>
      </extLst>
    </bk>
    <bk>
      <extLst>
        <ext uri="{3e2802c4-a4d2-4d8b-9148-e3be6c30e623}">
          <xlrd:rvb i="10547"/>
        </ext>
      </extLst>
    </bk>
    <bk>
      <extLst>
        <ext uri="{3e2802c4-a4d2-4d8b-9148-e3be6c30e623}">
          <xlrd:rvb i="10548"/>
        </ext>
      </extLst>
    </bk>
    <bk>
      <extLst>
        <ext uri="{3e2802c4-a4d2-4d8b-9148-e3be6c30e623}">
          <xlrd:rvb i="10549"/>
        </ext>
      </extLst>
    </bk>
    <bk>
      <extLst>
        <ext uri="{3e2802c4-a4d2-4d8b-9148-e3be6c30e623}">
          <xlrd:rvb i="10550"/>
        </ext>
      </extLst>
    </bk>
    <bk>
      <extLst>
        <ext uri="{3e2802c4-a4d2-4d8b-9148-e3be6c30e623}">
          <xlrd:rvb i="10551"/>
        </ext>
      </extLst>
    </bk>
    <bk>
      <extLst>
        <ext uri="{3e2802c4-a4d2-4d8b-9148-e3be6c30e623}">
          <xlrd:rvb i="10552"/>
        </ext>
      </extLst>
    </bk>
    <bk>
      <extLst>
        <ext uri="{3e2802c4-a4d2-4d8b-9148-e3be6c30e623}">
          <xlrd:rvb i="10553"/>
        </ext>
      </extLst>
    </bk>
    <bk>
      <extLst>
        <ext uri="{3e2802c4-a4d2-4d8b-9148-e3be6c30e623}">
          <xlrd:rvb i="10554"/>
        </ext>
      </extLst>
    </bk>
    <bk>
      <extLst>
        <ext uri="{3e2802c4-a4d2-4d8b-9148-e3be6c30e623}">
          <xlrd:rvb i="10555"/>
        </ext>
      </extLst>
    </bk>
    <bk>
      <extLst>
        <ext uri="{3e2802c4-a4d2-4d8b-9148-e3be6c30e623}">
          <xlrd:rvb i="10556"/>
        </ext>
      </extLst>
    </bk>
    <bk>
      <extLst>
        <ext uri="{3e2802c4-a4d2-4d8b-9148-e3be6c30e623}">
          <xlrd:rvb i="10557"/>
        </ext>
      </extLst>
    </bk>
    <bk>
      <extLst>
        <ext uri="{3e2802c4-a4d2-4d8b-9148-e3be6c30e623}">
          <xlrd:rvb i="10558"/>
        </ext>
      </extLst>
    </bk>
    <bk>
      <extLst>
        <ext uri="{3e2802c4-a4d2-4d8b-9148-e3be6c30e623}">
          <xlrd:rvb i="10559"/>
        </ext>
      </extLst>
    </bk>
    <bk>
      <extLst>
        <ext uri="{3e2802c4-a4d2-4d8b-9148-e3be6c30e623}">
          <xlrd:rvb i="10560"/>
        </ext>
      </extLst>
    </bk>
    <bk>
      <extLst>
        <ext uri="{3e2802c4-a4d2-4d8b-9148-e3be6c30e623}">
          <xlrd:rvb i="10561"/>
        </ext>
      </extLst>
    </bk>
    <bk>
      <extLst>
        <ext uri="{3e2802c4-a4d2-4d8b-9148-e3be6c30e623}">
          <xlrd:rvb i="10562"/>
        </ext>
      </extLst>
    </bk>
    <bk>
      <extLst>
        <ext uri="{3e2802c4-a4d2-4d8b-9148-e3be6c30e623}">
          <xlrd:rvb i="10563"/>
        </ext>
      </extLst>
    </bk>
    <bk>
      <extLst>
        <ext uri="{3e2802c4-a4d2-4d8b-9148-e3be6c30e623}">
          <xlrd:rvb i="10564"/>
        </ext>
      </extLst>
    </bk>
    <bk>
      <extLst>
        <ext uri="{3e2802c4-a4d2-4d8b-9148-e3be6c30e623}">
          <xlrd:rvb i="10565"/>
        </ext>
      </extLst>
    </bk>
    <bk>
      <extLst>
        <ext uri="{3e2802c4-a4d2-4d8b-9148-e3be6c30e623}">
          <xlrd:rvb i="10566"/>
        </ext>
      </extLst>
    </bk>
    <bk>
      <extLst>
        <ext uri="{3e2802c4-a4d2-4d8b-9148-e3be6c30e623}">
          <xlrd:rvb i="10567"/>
        </ext>
      </extLst>
    </bk>
    <bk>
      <extLst>
        <ext uri="{3e2802c4-a4d2-4d8b-9148-e3be6c30e623}">
          <xlrd:rvb i="10568"/>
        </ext>
      </extLst>
    </bk>
    <bk>
      <extLst>
        <ext uri="{3e2802c4-a4d2-4d8b-9148-e3be6c30e623}">
          <xlrd:rvb i="10569"/>
        </ext>
      </extLst>
    </bk>
    <bk>
      <extLst>
        <ext uri="{3e2802c4-a4d2-4d8b-9148-e3be6c30e623}">
          <xlrd:rvb i="10570"/>
        </ext>
      </extLst>
    </bk>
    <bk>
      <extLst>
        <ext uri="{3e2802c4-a4d2-4d8b-9148-e3be6c30e623}">
          <xlrd:rvb i="10571"/>
        </ext>
      </extLst>
    </bk>
    <bk>
      <extLst>
        <ext uri="{3e2802c4-a4d2-4d8b-9148-e3be6c30e623}">
          <xlrd:rvb i="10572"/>
        </ext>
      </extLst>
    </bk>
    <bk>
      <extLst>
        <ext uri="{3e2802c4-a4d2-4d8b-9148-e3be6c30e623}">
          <xlrd:rvb i="10573"/>
        </ext>
      </extLst>
    </bk>
    <bk>
      <extLst>
        <ext uri="{3e2802c4-a4d2-4d8b-9148-e3be6c30e623}">
          <xlrd:rvb i="10574"/>
        </ext>
      </extLst>
    </bk>
    <bk>
      <extLst>
        <ext uri="{3e2802c4-a4d2-4d8b-9148-e3be6c30e623}">
          <xlrd:rvb i="10575"/>
        </ext>
      </extLst>
    </bk>
    <bk>
      <extLst>
        <ext uri="{3e2802c4-a4d2-4d8b-9148-e3be6c30e623}">
          <xlrd:rvb i="10576"/>
        </ext>
      </extLst>
    </bk>
    <bk>
      <extLst>
        <ext uri="{3e2802c4-a4d2-4d8b-9148-e3be6c30e623}">
          <xlrd:rvb i="10577"/>
        </ext>
      </extLst>
    </bk>
    <bk>
      <extLst>
        <ext uri="{3e2802c4-a4d2-4d8b-9148-e3be6c30e623}">
          <xlrd:rvb i="10578"/>
        </ext>
      </extLst>
    </bk>
    <bk>
      <extLst>
        <ext uri="{3e2802c4-a4d2-4d8b-9148-e3be6c30e623}">
          <xlrd:rvb i="10579"/>
        </ext>
      </extLst>
    </bk>
    <bk>
      <extLst>
        <ext uri="{3e2802c4-a4d2-4d8b-9148-e3be6c30e623}">
          <xlrd:rvb i="10580"/>
        </ext>
      </extLst>
    </bk>
    <bk>
      <extLst>
        <ext uri="{3e2802c4-a4d2-4d8b-9148-e3be6c30e623}">
          <xlrd:rvb i="10581"/>
        </ext>
      </extLst>
    </bk>
    <bk>
      <extLst>
        <ext uri="{3e2802c4-a4d2-4d8b-9148-e3be6c30e623}">
          <xlrd:rvb i="10582"/>
        </ext>
      </extLst>
    </bk>
    <bk>
      <extLst>
        <ext uri="{3e2802c4-a4d2-4d8b-9148-e3be6c30e623}">
          <xlrd:rvb i="10583"/>
        </ext>
      </extLst>
    </bk>
    <bk>
      <extLst>
        <ext uri="{3e2802c4-a4d2-4d8b-9148-e3be6c30e623}">
          <xlrd:rvb i="10584"/>
        </ext>
      </extLst>
    </bk>
    <bk>
      <extLst>
        <ext uri="{3e2802c4-a4d2-4d8b-9148-e3be6c30e623}">
          <xlrd:rvb i="10585"/>
        </ext>
      </extLst>
    </bk>
    <bk>
      <extLst>
        <ext uri="{3e2802c4-a4d2-4d8b-9148-e3be6c30e623}">
          <xlrd:rvb i="10586"/>
        </ext>
      </extLst>
    </bk>
    <bk>
      <extLst>
        <ext uri="{3e2802c4-a4d2-4d8b-9148-e3be6c30e623}">
          <xlrd:rvb i="10587"/>
        </ext>
      </extLst>
    </bk>
    <bk>
      <extLst>
        <ext uri="{3e2802c4-a4d2-4d8b-9148-e3be6c30e623}">
          <xlrd:rvb i="10588"/>
        </ext>
      </extLst>
    </bk>
    <bk>
      <extLst>
        <ext uri="{3e2802c4-a4d2-4d8b-9148-e3be6c30e623}">
          <xlrd:rvb i="10589"/>
        </ext>
      </extLst>
    </bk>
    <bk>
      <extLst>
        <ext uri="{3e2802c4-a4d2-4d8b-9148-e3be6c30e623}">
          <xlrd:rvb i="10590"/>
        </ext>
      </extLst>
    </bk>
    <bk>
      <extLst>
        <ext uri="{3e2802c4-a4d2-4d8b-9148-e3be6c30e623}">
          <xlrd:rvb i="10591"/>
        </ext>
      </extLst>
    </bk>
    <bk>
      <extLst>
        <ext uri="{3e2802c4-a4d2-4d8b-9148-e3be6c30e623}">
          <xlrd:rvb i="10592"/>
        </ext>
      </extLst>
    </bk>
    <bk>
      <extLst>
        <ext uri="{3e2802c4-a4d2-4d8b-9148-e3be6c30e623}">
          <xlrd:rvb i="10593"/>
        </ext>
      </extLst>
    </bk>
    <bk>
      <extLst>
        <ext uri="{3e2802c4-a4d2-4d8b-9148-e3be6c30e623}">
          <xlrd:rvb i="10594"/>
        </ext>
      </extLst>
    </bk>
    <bk>
      <extLst>
        <ext uri="{3e2802c4-a4d2-4d8b-9148-e3be6c30e623}">
          <xlrd:rvb i="10595"/>
        </ext>
      </extLst>
    </bk>
    <bk>
      <extLst>
        <ext uri="{3e2802c4-a4d2-4d8b-9148-e3be6c30e623}">
          <xlrd:rvb i="10596"/>
        </ext>
      </extLst>
    </bk>
    <bk>
      <extLst>
        <ext uri="{3e2802c4-a4d2-4d8b-9148-e3be6c30e623}">
          <xlrd:rvb i="10597"/>
        </ext>
      </extLst>
    </bk>
    <bk>
      <extLst>
        <ext uri="{3e2802c4-a4d2-4d8b-9148-e3be6c30e623}">
          <xlrd:rvb i="10598"/>
        </ext>
      </extLst>
    </bk>
    <bk>
      <extLst>
        <ext uri="{3e2802c4-a4d2-4d8b-9148-e3be6c30e623}">
          <xlrd:rvb i="10599"/>
        </ext>
      </extLst>
    </bk>
    <bk>
      <extLst>
        <ext uri="{3e2802c4-a4d2-4d8b-9148-e3be6c30e623}">
          <xlrd:rvb i="10600"/>
        </ext>
      </extLst>
    </bk>
    <bk>
      <extLst>
        <ext uri="{3e2802c4-a4d2-4d8b-9148-e3be6c30e623}">
          <xlrd:rvb i="10601"/>
        </ext>
      </extLst>
    </bk>
    <bk>
      <extLst>
        <ext uri="{3e2802c4-a4d2-4d8b-9148-e3be6c30e623}">
          <xlrd:rvb i="10602"/>
        </ext>
      </extLst>
    </bk>
    <bk>
      <extLst>
        <ext uri="{3e2802c4-a4d2-4d8b-9148-e3be6c30e623}">
          <xlrd:rvb i="10603"/>
        </ext>
      </extLst>
    </bk>
    <bk>
      <extLst>
        <ext uri="{3e2802c4-a4d2-4d8b-9148-e3be6c30e623}">
          <xlrd:rvb i="10604"/>
        </ext>
      </extLst>
    </bk>
    <bk>
      <extLst>
        <ext uri="{3e2802c4-a4d2-4d8b-9148-e3be6c30e623}">
          <xlrd:rvb i="10605"/>
        </ext>
      </extLst>
    </bk>
    <bk>
      <extLst>
        <ext uri="{3e2802c4-a4d2-4d8b-9148-e3be6c30e623}">
          <xlrd:rvb i="10606"/>
        </ext>
      </extLst>
    </bk>
    <bk>
      <extLst>
        <ext uri="{3e2802c4-a4d2-4d8b-9148-e3be6c30e623}">
          <xlrd:rvb i="10607"/>
        </ext>
      </extLst>
    </bk>
    <bk>
      <extLst>
        <ext uri="{3e2802c4-a4d2-4d8b-9148-e3be6c30e623}">
          <xlrd:rvb i="10608"/>
        </ext>
      </extLst>
    </bk>
    <bk>
      <extLst>
        <ext uri="{3e2802c4-a4d2-4d8b-9148-e3be6c30e623}">
          <xlrd:rvb i="10609"/>
        </ext>
      </extLst>
    </bk>
    <bk>
      <extLst>
        <ext uri="{3e2802c4-a4d2-4d8b-9148-e3be6c30e623}">
          <xlrd:rvb i="10610"/>
        </ext>
      </extLst>
    </bk>
    <bk>
      <extLst>
        <ext uri="{3e2802c4-a4d2-4d8b-9148-e3be6c30e623}">
          <xlrd:rvb i="10611"/>
        </ext>
      </extLst>
    </bk>
    <bk>
      <extLst>
        <ext uri="{3e2802c4-a4d2-4d8b-9148-e3be6c30e623}">
          <xlrd:rvb i="10612"/>
        </ext>
      </extLst>
    </bk>
    <bk>
      <extLst>
        <ext uri="{3e2802c4-a4d2-4d8b-9148-e3be6c30e623}">
          <xlrd:rvb i="10613"/>
        </ext>
      </extLst>
    </bk>
    <bk>
      <extLst>
        <ext uri="{3e2802c4-a4d2-4d8b-9148-e3be6c30e623}">
          <xlrd:rvb i="10614"/>
        </ext>
      </extLst>
    </bk>
    <bk>
      <extLst>
        <ext uri="{3e2802c4-a4d2-4d8b-9148-e3be6c30e623}">
          <xlrd:rvb i="10615"/>
        </ext>
      </extLst>
    </bk>
    <bk>
      <extLst>
        <ext uri="{3e2802c4-a4d2-4d8b-9148-e3be6c30e623}">
          <xlrd:rvb i="10616"/>
        </ext>
      </extLst>
    </bk>
    <bk>
      <extLst>
        <ext uri="{3e2802c4-a4d2-4d8b-9148-e3be6c30e623}">
          <xlrd:rvb i="10617"/>
        </ext>
      </extLst>
    </bk>
    <bk>
      <extLst>
        <ext uri="{3e2802c4-a4d2-4d8b-9148-e3be6c30e623}">
          <xlrd:rvb i="10618"/>
        </ext>
      </extLst>
    </bk>
    <bk>
      <extLst>
        <ext uri="{3e2802c4-a4d2-4d8b-9148-e3be6c30e623}">
          <xlrd:rvb i="10619"/>
        </ext>
      </extLst>
    </bk>
    <bk>
      <extLst>
        <ext uri="{3e2802c4-a4d2-4d8b-9148-e3be6c30e623}">
          <xlrd:rvb i="10620"/>
        </ext>
      </extLst>
    </bk>
    <bk>
      <extLst>
        <ext uri="{3e2802c4-a4d2-4d8b-9148-e3be6c30e623}">
          <xlrd:rvb i="10621"/>
        </ext>
      </extLst>
    </bk>
    <bk>
      <extLst>
        <ext uri="{3e2802c4-a4d2-4d8b-9148-e3be6c30e623}">
          <xlrd:rvb i="10622"/>
        </ext>
      </extLst>
    </bk>
    <bk>
      <extLst>
        <ext uri="{3e2802c4-a4d2-4d8b-9148-e3be6c30e623}">
          <xlrd:rvb i="10623"/>
        </ext>
      </extLst>
    </bk>
    <bk>
      <extLst>
        <ext uri="{3e2802c4-a4d2-4d8b-9148-e3be6c30e623}">
          <xlrd:rvb i="10624"/>
        </ext>
      </extLst>
    </bk>
    <bk>
      <extLst>
        <ext uri="{3e2802c4-a4d2-4d8b-9148-e3be6c30e623}">
          <xlrd:rvb i="10625"/>
        </ext>
      </extLst>
    </bk>
    <bk>
      <extLst>
        <ext uri="{3e2802c4-a4d2-4d8b-9148-e3be6c30e623}">
          <xlrd:rvb i="10626"/>
        </ext>
      </extLst>
    </bk>
    <bk>
      <extLst>
        <ext uri="{3e2802c4-a4d2-4d8b-9148-e3be6c30e623}">
          <xlrd:rvb i="10627"/>
        </ext>
      </extLst>
    </bk>
    <bk>
      <extLst>
        <ext uri="{3e2802c4-a4d2-4d8b-9148-e3be6c30e623}">
          <xlrd:rvb i="10628"/>
        </ext>
      </extLst>
    </bk>
    <bk>
      <extLst>
        <ext uri="{3e2802c4-a4d2-4d8b-9148-e3be6c30e623}">
          <xlrd:rvb i="10629"/>
        </ext>
      </extLst>
    </bk>
    <bk>
      <extLst>
        <ext uri="{3e2802c4-a4d2-4d8b-9148-e3be6c30e623}">
          <xlrd:rvb i="10630"/>
        </ext>
      </extLst>
    </bk>
    <bk>
      <extLst>
        <ext uri="{3e2802c4-a4d2-4d8b-9148-e3be6c30e623}">
          <xlrd:rvb i="10631"/>
        </ext>
      </extLst>
    </bk>
    <bk>
      <extLst>
        <ext uri="{3e2802c4-a4d2-4d8b-9148-e3be6c30e623}">
          <xlrd:rvb i="10632"/>
        </ext>
      </extLst>
    </bk>
    <bk>
      <extLst>
        <ext uri="{3e2802c4-a4d2-4d8b-9148-e3be6c30e623}">
          <xlrd:rvb i="10633"/>
        </ext>
      </extLst>
    </bk>
    <bk>
      <extLst>
        <ext uri="{3e2802c4-a4d2-4d8b-9148-e3be6c30e623}">
          <xlrd:rvb i="10634"/>
        </ext>
      </extLst>
    </bk>
    <bk>
      <extLst>
        <ext uri="{3e2802c4-a4d2-4d8b-9148-e3be6c30e623}">
          <xlrd:rvb i="10635"/>
        </ext>
      </extLst>
    </bk>
    <bk>
      <extLst>
        <ext uri="{3e2802c4-a4d2-4d8b-9148-e3be6c30e623}">
          <xlrd:rvb i="10636"/>
        </ext>
      </extLst>
    </bk>
    <bk>
      <extLst>
        <ext uri="{3e2802c4-a4d2-4d8b-9148-e3be6c30e623}">
          <xlrd:rvb i="10637"/>
        </ext>
      </extLst>
    </bk>
    <bk>
      <extLst>
        <ext uri="{3e2802c4-a4d2-4d8b-9148-e3be6c30e623}">
          <xlrd:rvb i="10638"/>
        </ext>
      </extLst>
    </bk>
    <bk>
      <extLst>
        <ext uri="{3e2802c4-a4d2-4d8b-9148-e3be6c30e623}">
          <xlrd:rvb i="10639"/>
        </ext>
      </extLst>
    </bk>
    <bk>
      <extLst>
        <ext uri="{3e2802c4-a4d2-4d8b-9148-e3be6c30e623}">
          <xlrd:rvb i="10640"/>
        </ext>
      </extLst>
    </bk>
    <bk>
      <extLst>
        <ext uri="{3e2802c4-a4d2-4d8b-9148-e3be6c30e623}">
          <xlrd:rvb i="10641"/>
        </ext>
      </extLst>
    </bk>
    <bk>
      <extLst>
        <ext uri="{3e2802c4-a4d2-4d8b-9148-e3be6c30e623}">
          <xlrd:rvb i="10642"/>
        </ext>
      </extLst>
    </bk>
    <bk>
      <extLst>
        <ext uri="{3e2802c4-a4d2-4d8b-9148-e3be6c30e623}">
          <xlrd:rvb i="10643"/>
        </ext>
      </extLst>
    </bk>
    <bk>
      <extLst>
        <ext uri="{3e2802c4-a4d2-4d8b-9148-e3be6c30e623}">
          <xlrd:rvb i="10644"/>
        </ext>
      </extLst>
    </bk>
    <bk>
      <extLst>
        <ext uri="{3e2802c4-a4d2-4d8b-9148-e3be6c30e623}">
          <xlrd:rvb i="10645"/>
        </ext>
      </extLst>
    </bk>
    <bk>
      <extLst>
        <ext uri="{3e2802c4-a4d2-4d8b-9148-e3be6c30e623}">
          <xlrd:rvb i="10646"/>
        </ext>
      </extLst>
    </bk>
    <bk>
      <extLst>
        <ext uri="{3e2802c4-a4d2-4d8b-9148-e3be6c30e623}">
          <xlrd:rvb i="10647"/>
        </ext>
      </extLst>
    </bk>
    <bk>
      <extLst>
        <ext uri="{3e2802c4-a4d2-4d8b-9148-e3be6c30e623}">
          <xlrd:rvb i="10648"/>
        </ext>
      </extLst>
    </bk>
    <bk>
      <extLst>
        <ext uri="{3e2802c4-a4d2-4d8b-9148-e3be6c30e623}">
          <xlrd:rvb i="10649"/>
        </ext>
      </extLst>
    </bk>
    <bk>
      <extLst>
        <ext uri="{3e2802c4-a4d2-4d8b-9148-e3be6c30e623}">
          <xlrd:rvb i="10650"/>
        </ext>
      </extLst>
    </bk>
    <bk>
      <extLst>
        <ext uri="{3e2802c4-a4d2-4d8b-9148-e3be6c30e623}">
          <xlrd:rvb i="10651"/>
        </ext>
      </extLst>
    </bk>
    <bk>
      <extLst>
        <ext uri="{3e2802c4-a4d2-4d8b-9148-e3be6c30e623}">
          <xlrd:rvb i="10652"/>
        </ext>
      </extLst>
    </bk>
    <bk>
      <extLst>
        <ext uri="{3e2802c4-a4d2-4d8b-9148-e3be6c30e623}">
          <xlrd:rvb i="10653"/>
        </ext>
      </extLst>
    </bk>
    <bk>
      <extLst>
        <ext uri="{3e2802c4-a4d2-4d8b-9148-e3be6c30e623}">
          <xlrd:rvb i="10654"/>
        </ext>
      </extLst>
    </bk>
    <bk>
      <extLst>
        <ext uri="{3e2802c4-a4d2-4d8b-9148-e3be6c30e623}">
          <xlrd:rvb i="10655"/>
        </ext>
      </extLst>
    </bk>
    <bk>
      <extLst>
        <ext uri="{3e2802c4-a4d2-4d8b-9148-e3be6c30e623}">
          <xlrd:rvb i="10656"/>
        </ext>
      </extLst>
    </bk>
    <bk>
      <extLst>
        <ext uri="{3e2802c4-a4d2-4d8b-9148-e3be6c30e623}">
          <xlrd:rvb i="10657"/>
        </ext>
      </extLst>
    </bk>
    <bk>
      <extLst>
        <ext uri="{3e2802c4-a4d2-4d8b-9148-e3be6c30e623}">
          <xlrd:rvb i="10658"/>
        </ext>
      </extLst>
    </bk>
    <bk>
      <extLst>
        <ext uri="{3e2802c4-a4d2-4d8b-9148-e3be6c30e623}">
          <xlrd:rvb i="10659"/>
        </ext>
      </extLst>
    </bk>
    <bk>
      <extLst>
        <ext uri="{3e2802c4-a4d2-4d8b-9148-e3be6c30e623}">
          <xlrd:rvb i="10660"/>
        </ext>
      </extLst>
    </bk>
    <bk>
      <extLst>
        <ext uri="{3e2802c4-a4d2-4d8b-9148-e3be6c30e623}">
          <xlrd:rvb i="10661"/>
        </ext>
      </extLst>
    </bk>
    <bk>
      <extLst>
        <ext uri="{3e2802c4-a4d2-4d8b-9148-e3be6c30e623}">
          <xlrd:rvb i="10662"/>
        </ext>
      </extLst>
    </bk>
    <bk>
      <extLst>
        <ext uri="{3e2802c4-a4d2-4d8b-9148-e3be6c30e623}">
          <xlrd:rvb i="10663"/>
        </ext>
      </extLst>
    </bk>
    <bk>
      <extLst>
        <ext uri="{3e2802c4-a4d2-4d8b-9148-e3be6c30e623}">
          <xlrd:rvb i="10664"/>
        </ext>
      </extLst>
    </bk>
    <bk>
      <extLst>
        <ext uri="{3e2802c4-a4d2-4d8b-9148-e3be6c30e623}">
          <xlrd:rvb i="10665"/>
        </ext>
      </extLst>
    </bk>
    <bk>
      <extLst>
        <ext uri="{3e2802c4-a4d2-4d8b-9148-e3be6c30e623}">
          <xlrd:rvb i="10666"/>
        </ext>
      </extLst>
    </bk>
    <bk>
      <extLst>
        <ext uri="{3e2802c4-a4d2-4d8b-9148-e3be6c30e623}">
          <xlrd:rvb i="10667"/>
        </ext>
      </extLst>
    </bk>
    <bk>
      <extLst>
        <ext uri="{3e2802c4-a4d2-4d8b-9148-e3be6c30e623}">
          <xlrd:rvb i="10668"/>
        </ext>
      </extLst>
    </bk>
    <bk>
      <extLst>
        <ext uri="{3e2802c4-a4d2-4d8b-9148-e3be6c30e623}">
          <xlrd:rvb i="10669"/>
        </ext>
      </extLst>
    </bk>
    <bk>
      <extLst>
        <ext uri="{3e2802c4-a4d2-4d8b-9148-e3be6c30e623}">
          <xlrd:rvb i="10670"/>
        </ext>
      </extLst>
    </bk>
    <bk>
      <extLst>
        <ext uri="{3e2802c4-a4d2-4d8b-9148-e3be6c30e623}">
          <xlrd:rvb i="10671"/>
        </ext>
      </extLst>
    </bk>
    <bk>
      <extLst>
        <ext uri="{3e2802c4-a4d2-4d8b-9148-e3be6c30e623}">
          <xlrd:rvb i="10672"/>
        </ext>
      </extLst>
    </bk>
    <bk>
      <extLst>
        <ext uri="{3e2802c4-a4d2-4d8b-9148-e3be6c30e623}">
          <xlrd:rvb i="10673"/>
        </ext>
      </extLst>
    </bk>
    <bk>
      <extLst>
        <ext uri="{3e2802c4-a4d2-4d8b-9148-e3be6c30e623}">
          <xlrd:rvb i="10674"/>
        </ext>
      </extLst>
    </bk>
    <bk>
      <extLst>
        <ext uri="{3e2802c4-a4d2-4d8b-9148-e3be6c30e623}">
          <xlrd:rvb i="10675"/>
        </ext>
      </extLst>
    </bk>
    <bk>
      <extLst>
        <ext uri="{3e2802c4-a4d2-4d8b-9148-e3be6c30e623}">
          <xlrd:rvb i="10676"/>
        </ext>
      </extLst>
    </bk>
    <bk>
      <extLst>
        <ext uri="{3e2802c4-a4d2-4d8b-9148-e3be6c30e623}">
          <xlrd:rvb i="10677"/>
        </ext>
      </extLst>
    </bk>
    <bk>
      <extLst>
        <ext uri="{3e2802c4-a4d2-4d8b-9148-e3be6c30e623}">
          <xlrd:rvb i="10678"/>
        </ext>
      </extLst>
    </bk>
    <bk>
      <extLst>
        <ext uri="{3e2802c4-a4d2-4d8b-9148-e3be6c30e623}">
          <xlrd:rvb i="10679"/>
        </ext>
      </extLst>
    </bk>
    <bk>
      <extLst>
        <ext uri="{3e2802c4-a4d2-4d8b-9148-e3be6c30e623}">
          <xlrd:rvb i="10680"/>
        </ext>
      </extLst>
    </bk>
    <bk>
      <extLst>
        <ext uri="{3e2802c4-a4d2-4d8b-9148-e3be6c30e623}">
          <xlrd:rvb i="10681"/>
        </ext>
      </extLst>
    </bk>
    <bk>
      <extLst>
        <ext uri="{3e2802c4-a4d2-4d8b-9148-e3be6c30e623}">
          <xlrd:rvb i="10682"/>
        </ext>
      </extLst>
    </bk>
    <bk>
      <extLst>
        <ext uri="{3e2802c4-a4d2-4d8b-9148-e3be6c30e623}">
          <xlrd:rvb i="10683"/>
        </ext>
      </extLst>
    </bk>
    <bk>
      <extLst>
        <ext uri="{3e2802c4-a4d2-4d8b-9148-e3be6c30e623}">
          <xlrd:rvb i="10684"/>
        </ext>
      </extLst>
    </bk>
    <bk>
      <extLst>
        <ext uri="{3e2802c4-a4d2-4d8b-9148-e3be6c30e623}">
          <xlrd:rvb i="10685"/>
        </ext>
      </extLst>
    </bk>
    <bk>
      <extLst>
        <ext uri="{3e2802c4-a4d2-4d8b-9148-e3be6c30e623}">
          <xlrd:rvb i="10686"/>
        </ext>
      </extLst>
    </bk>
    <bk>
      <extLst>
        <ext uri="{3e2802c4-a4d2-4d8b-9148-e3be6c30e623}">
          <xlrd:rvb i="10687"/>
        </ext>
      </extLst>
    </bk>
    <bk>
      <extLst>
        <ext uri="{3e2802c4-a4d2-4d8b-9148-e3be6c30e623}">
          <xlrd:rvb i="10688"/>
        </ext>
      </extLst>
    </bk>
    <bk>
      <extLst>
        <ext uri="{3e2802c4-a4d2-4d8b-9148-e3be6c30e623}">
          <xlrd:rvb i="10689"/>
        </ext>
      </extLst>
    </bk>
    <bk>
      <extLst>
        <ext uri="{3e2802c4-a4d2-4d8b-9148-e3be6c30e623}">
          <xlrd:rvb i="10690"/>
        </ext>
      </extLst>
    </bk>
    <bk>
      <extLst>
        <ext uri="{3e2802c4-a4d2-4d8b-9148-e3be6c30e623}">
          <xlrd:rvb i="10691"/>
        </ext>
      </extLst>
    </bk>
    <bk>
      <extLst>
        <ext uri="{3e2802c4-a4d2-4d8b-9148-e3be6c30e623}">
          <xlrd:rvb i="10692"/>
        </ext>
      </extLst>
    </bk>
    <bk>
      <extLst>
        <ext uri="{3e2802c4-a4d2-4d8b-9148-e3be6c30e623}">
          <xlrd:rvb i="10693"/>
        </ext>
      </extLst>
    </bk>
    <bk>
      <extLst>
        <ext uri="{3e2802c4-a4d2-4d8b-9148-e3be6c30e623}">
          <xlrd:rvb i="10694"/>
        </ext>
      </extLst>
    </bk>
    <bk>
      <extLst>
        <ext uri="{3e2802c4-a4d2-4d8b-9148-e3be6c30e623}">
          <xlrd:rvb i="10695"/>
        </ext>
      </extLst>
    </bk>
    <bk>
      <extLst>
        <ext uri="{3e2802c4-a4d2-4d8b-9148-e3be6c30e623}">
          <xlrd:rvb i="10696"/>
        </ext>
      </extLst>
    </bk>
    <bk>
      <extLst>
        <ext uri="{3e2802c4-a4d2-4d8b-9148-e3be6c30e623}">
          <xlrd:rvb i="10697"/>
        </ext>
      </extLst>
    </bk>
    <bk>
      <extLst>
        <ext uri="{3e2802c4-a4d2-4d8b-9148-e3be6c30e623}">
          <xlrd:rvb i="10698"/>
        </ext>
      </extLst>
    </bk>
    <bk>
      <extLst>
        <ext uri="{3e2802c4-a4d2-4d8b-9148-e3be6c30e623}">
          <xlrd:rvb i="10699"/>
        </ext>
      </extLst>
    </bk>
    <bk>
      <extLst>
        <ext uri="{3e2802c4-a4d2-4d8b-9148-e3be6c30e623}">
          <xlrd:rvb i="10700"/>
        </ext>
      </extLst>
    </bk>
    <bk>
      <extLst>
        <ext uri="{3e2802c4-a4d2-4d8b-9148-e3be6c30e623}">
          <xlrd:rvb i="10701"/>
        </ext>
      </extLst>
    </bk>
    <bk>
      <extLst>
        <ext uri="{3e2802c4-a4d2-4d8b-9148-e3be6c30e623}">
          <xlrd:rvb i="10702"/>
        </ext>
      </extLst>
    </bk>
    <bk>
      <extLst>
        <ext uri="{3e2802c4-a4d2-4d8b-9148-e3be6c30e623}">
          <xlrd:rvb i="10703"/>
        </ext>
      </extLst>
    </bk>
    <bk>
      <extLst>
        <ext uri="{3e2802c4-a4d2-4d8b-9148-e3be6c30e623}">
          <xlrd:rvb i="10704"/>
        </ext>
      </extLst>
    </bk>
    <bk>
      <extLst>
        <ext uri="{3e2802c4-a4d2-4d8b-9148-e3be6c30e623}">
          <xlrd:rvb i="10705"/>
        </ext>
      </extLst>
    </bk>
    <bk>
      <extLst>
        <ext uri="{3e2802c4-a4d2-4d8b-9148-e3be6c30e623}">
          <xlrd:rvb i="10706"/>
        </ext>
      </extLst>
    </bk>
    <bk>
      <extLst>
        <ext uri="{3e2802c4-a4d2-4d8b-9148-e3be6c30e623}">
          <xlrd:rvb i="10707"/>
        </ext>
      </extLst>
    </bk>
    <bk>
      <extLst>
        <ext uri="{3e2802c4-a4d2-4d8b-9148-e3be6c30e623}">
          <xlrd:rvb i="10708"/>
        </ext>
      </extLst>
    </bk>
    <bk>
      <extLst>
        <ext uri="{3e2802c4-a4d2-4d8b-9148-e3be6c30e623}">
          <xlrd:rvb i="10709"/>
        </ext>
      </extLst>
    </bk>
    <bk>
      <extLst>
        <ext uri="{3e2802c4-a4d2-4d8b-9148-e3be6c30e623}">
          <xlrd:rvb i="10710"/>
        </ext>
      </extLst>
    </bk>
    <bk>
      <extLst>
        <ext uri="{3e2802c4-a4d2-4d8b-9148-e3be6c30e623}">
          <xlrd:rvb i="10711"/>
        </ext>
      </extLst>
    </bk>
    <bk>
      <extLst>
        <ext uri="{3e2802c4-a4d2-4d8b-9148-e3be6c30e623}">
          <xlrd:rvb i="10712"/>
        </ext>
      </extLst>
    </bk>
    <bk>
      <extLst>
        <ext uri="{3e2802c4-a4d2-4d8b-9148-e3be6c30e623}">
          <xlrd:rvb i="10713"/>
        </ext>
      </extLst>
    </bk>
    <bk>
      <extLst>
        <ext uri="{3e2802c4-a4d2-4d8b-9148-e3be6c30e623}">
          <xlrd:rvb i="10714"/>
        </ext>
      </extLst>
    </bk>
    <bk>
      <extLst>
        <ext uri="{3e2802c4-a4d2-4d8b-9148-e3be6c30e623}">
          <xlrd:rvb i="10715"/>
        </ext>
      </extLst>
    </bk>
    <bk>
      <extLst>
        <ext uri="{3e2802c4-a4d2-4d8b-9148-e3be6c30e623}">
          <xlrd:rvb i="10716"/>
        </ext>
      </extLst>
    </bk>
    <bk>
      <extLst>
        <ext uri="{3e2802c4-a4d2-4d8b-9148-e3be6c30e623}">
          <xlrd:rvb i="10717"/>
        </ext>
      </extLst>
    </bk>
    <bk>
      <extLst>
        <ext uri="{3e2802c4-a4d2-4d8b-9148-e3be6c30e623}">
          <xlrd:rvb i="10718"/>
        </ext>
      </extLst>
    </bk>
    <bk>
      <extLst>
        <ext uri="{3e2802c4-a4d2-4d8b-9148-e3be6c30e623}">
          <xlrd:rvb i="10719"/>
        </ext>
      </extLst>
    </bk>
    <bk>
      <extLst>
        <ext uri="{3e2802c4-a4d2-4d8b-9148-e3be6c30e623}">
          <xlrd:rvb i="10720"/>
        </ext>
      </extLst>
    </bk>
    <bk>
      <extLst>
        <ext uri="{3e2802c4-a4d2-4d8b-9148-e3be6c30e623}">
          <xlrd:rvb i="10721"/>
        </ext>
      </extLst>
    </bk>
    <bk>
      <extLst>
        <ext uri="{3e2802c4-a4d2-4d8b-9148-e3be6c30e623}">
          <xlrd:rvb i="10722"/>
        </ext>
      </extLst>
    </bk>
    <bk>
      <extLst>
        <ext uri="{3e2802c4-a4d2-4d8b-9148-e3be6c30e623}">
          <xlrd:rvb i="10723"/>
        </ext>
      </extLst>
    </bk>
    <bk>
      <extLst>
        <ext uri="{3e2802c4-a4d2-4d8b-9148-e3be6c30e623}">
          <xlrd:rvb i="10724"/>
        </ext>
      </extLst>
    </bk>
    <bk>
      <extLst>
        <ext uri="{3e2802c4-a4d2-4d8b-9148-e3be6c30e623}">
          <xlrd:rvb i="10725"/>
        </ext>
      </extLst>
    </bk>
    <bk>
      <extLst>
        <ext uri="{3e2802c4-a4d2-4d8b-9148-e3be6c30e623}">
          <xlrd:rvb i="10726"/>
        </ext>
      </extLst>
    </bk>
    <bk>
      <extLst>
        <ext uri="{3e2802c4-a4d2-4d8b-9148-e3be6c30e623}">
          <xlrd:rvb i="10727"/>
        </ext>
      </extLst>
    </bk>
    <bk>
      <extLst>
        <ext uri="{3e2802c4-a4d2-4d8b-9148-e3be6c30e623}">
          <xlrd:rvb i="10728"/>
        </ext>
      </extLst>
    </bk>
    <bk>
      <extLst>
        <ext uri="{3e2802c4-a4d2-4d8b-9148-e3be6c30e623}">
          <xlrd:rvb i="10729"/>
        </ext>
      </extLst>
    </bk>
    <bk>
      <extLst>
        <ext uri="{3e2802c4-a4d2-4d8b-9148-e3be6c30e623}">
          <xlrd:rvb i="10730"/>
        </ext>
      </extLst>
    </bk>
    <bk>
      <extLst>
        <ext uri="{3e2802c4-a4d2-4d8b-9148-e3be6c30e623}">
          <xlrd:rvb i="10731"/>
        </ext>
      </extLst>
    </bk>
    <bk>
      <extLst>
        <ext uri="{3e2802c4-a4d2-4d8b-9148-e3be6c30e623}">
          <xlrd:rvb i="10732"/>
        </ext>
      </extLst>
    </bk>
    <bk>
      <extLst>
        <ext uri="{3e2802c4-a4d2-4d8b-9148-e3be6c30e623}">
          <xlrd:rvb i="10733"/>
        </ext>
      </extLst>
    </bk>
    <bk>
      <extLst>
        <ext uri="{3e2802c4-a4d2-4d8b-9148-e3be6c30e623}">
          <xlrd:rvb i="10734"/>
        </ext>
      </extLst>
    </bk>
    <bk>
      <extLst>
        <ext uri="{3e2802c4-a4d2-4d8b-9148-e3be6c30e623}">
          <xlrd:rvb i="10735"/>
        </ext>
      </extLst>
    </bk>
    <bk>
      <extLst>
        <ext uri="{3e2802c4-a4d2-4d8b-9148-e3be6c30e623}">
          <xlrd:rvb i="10736"/>
        </ext>
      </extLst>
    </bk>
    <bk>
      <extLst>
        <ext uri="{3e2802c4-a4d2-4d8b-9148-e3be6c30e623}">
          <xlrd:rvb i="10737"/>
        </ext>
      </extLst>
    </bk>
    <bk>
      <extLst>
        <ext uri="{3e2802c4-a4d2-4d8b-9148-e3be6c30e623}">
          <xlrd:rvb i="10738"/>
        </ext>
      </extLst>
    </bk>
    <bk>
      <extLst>
        <ext uri="{3e2802c4-a4d2-4d8b-9148-e3be6c30e623}">
          <xlrd:rvb i="10739"/>
        </ext>
      </extLst>
    </bk>
    <bk>
      <extLst>
        <ext uri="{3e2802c4-a4d2-4d8b-9148-e3be6c30e623}">
          <xlrd:rvb i="10740"/>
        </ext>
      </extLst>
    </bk>
    <bk>
      <extLst>
        <ext uri="{3e2802c4-a4d2-4d8b-9148-e3be6c30e623}">
          <xlrd:rvb i="10741"/>
        </ext>
      </extLst>
    </bk>
    <bk>
      <extLst>
        <ext uri="{3e2802c4-a4d2-4d8b-9148-e3be6c30e623}">
          <xlrd:rvb i="10742"/>
        </ext>
      </extLst>
    </bk>
    <bk>
      <extLst>
        <ext uri="{3e2802c4-a4d2-4d8b-9148-e3be6c30e623}">
          <xlrd:rvb i="10743"/>
        </ext>
      </extLst>
    </bk>
    <bk>
      <extLst>
        <ext uri="{3e2802c4-a4d2-4d8b-9148-e3be6c30e623}">
          <xlrd:rvb i="10744"/>
        </ext>
      </extLst>
    </bk>
    <bk>
      <extLst>
        <ext uri="{3e2802c4-a4d2-4d8b-9148-e3be6c30e623}">
          <xlrd:rvb i="10745"/>
        </ext>
      </extLst>
    </bk>
    <bk>
      <extLst>
        <ext uri="{3e2802c4-a4d2-4d8b-9148-e3be6c30e623}">
          <xlrd:rvb i="10746"/>
        </ext>
      </extLst>
    </bk>
    <bk>
      <extLst>
        <ext uri="{3e2802c4-a4d2-4d8b-9148-e3be6c30e623}">
          <xlrd:rvb i="10747"/>
        </ext>
      </extLst>
    </bk>
    <bk>
      <extLst>
        <ext uri="{3e2802c4-a4d2-4d8b-9148-e3be6c30e623}">
          <xlrd:rvb i="10748"/>
        </ext>
      </extLst>
    </bk>
    <bk>
      <extLst>
        <ext uri="{3e2802c4-a4d2-4d8b-9148-e3be6c30e623}">
          <xlrd:rvb i="10749"/>
        </ext>
      </extLst>
    </bk>
    <bk>
      <extLst>
        <ext uri="{3e2802c4-a4d2-4d8b-9148-e3be6c30e623}">
          <xlrd:rvb i="10750"/>
        </ext>
      </extLst>
    </bk>
    <bk>
      <extLst>
        <ext uri="{3e2802c4-a4d2-4d8b-9148-e3be6c30e623}">
          <xlrd:rvb i="10751"/>
        </ext>
      </extLst>
    </bk>
    <bk>
      <extLst>
        <ext uri="{3e2802c4-a4d2-4d8b-9148-e3be6c30e623}">
          <xlrd:rvb i="10752"/>
        </ext>
      </extLst>
    </bk>
    <bk>
      <extLst>
        <ext uri="{3e2802c4-a4d2-4d8b-9148-e3be6c30e623}">
          <xlrd:rvb i="10753"/>
        </ext>
      </extLst>
    </bk>
    <bk>
      <extLst>
        <ext uri="{3e2802c4-a4d2-4d8b-9148-e3be6c30e623}">
          <xlrd:rvb i="10754"/>
        </ext>
      </extLst>
    </bk>
    <bk>
      <extLst>
        <ext uri="{3e2802c4-a4d2-4d8b-9148-e3be6c30e623}">
          <xlrd:rvb i="10755"/>
        </ext>
      </extLst>
    </bk>
    <bk>
      <extLst>
        <ext uri="{3e2802c4-a4d2-4d8b-9148-e3be6c30e623}">
          <xlrd:rvb i="10756"/>
        </ext>
      </extLst>
    </bk>
    <bk>
      <extLst>
        <ext uri="{3e2802c4-a4d2-4d8b-9148-e3be6c30e623}">
          <xlrd:rvb i="10757"/>
        </ext>
      </extLst>
    </bk>
    <bk>
      <extLst>
        <ext uri="{3e2802c4-a4d2-4d8b-9148-e3be6c30e623}">
          <xlrd:rvb i="10758"/>
        </ext>
      </extLst>
    </bk>
    <bk>
      <extLst>
        <ext uri="{3e2802c4-a4d2-4d8b-9148-e3be6c30e623}">
          <xlrd:rvb i="10759"/>
        </ext>
      </extLst>
    </bk>
    <bk>
      <extLst>
        <ext uri="{3e2802c4-a4d2-4d8b-9148-e3be6c30e623}">
          <xlrd:rvb i="10760"/>
        </ext>
      </extLst>
    </bk>
    <bk>
      <extLst>
        <ext uri="{3e2802c4-a4d2-4d8b-9148-e3be6c30e623}">
          <xlrd:rvb i="10761"/>
        </ext>
      </extLst>
    </bk>
    <bk>
      <extLst>
        <ext uri="{3e2802c4-a4d2-4d8b-9148-e3be6c30e623}">
          <xlrd:rvb i="10762"/>
        </ext>
      </extLst>
    </bk>
    <bk>
      <extLst>
        <ext uri="{3e2802c4-a4d2-4d8b-9148-e3be6c30e623}">
          <xlrd:rvb i="10763"/>
        </ext>
      </extLst>
    </bk>
    <bk>
      <extLst>
        <ext uri="{3e2802c4-a4d2-4d8b-9148-e3be6c30e623}">
          <xlrd:rvb i="10764"/>
        </ext>
      </extLst>
    </bk>
    <bk>
      <extLst>
        <ext uri="{3e2802c4-a4d2-4d8b-9148-e3be6c30e623}">
          <xlrd:rvb i="10765"/>
        </ext>
      </extLst>
    </bk>
    <bk>
      <extLst>
        <ext uri="{3e2802c4-a4d2-4d8b-9148-e3be6c30e623}">
          <xlrd:rvb i="10766"/>
        </ext>
      </extLst>
    </bk>
    <bk>
      <extLst>
        <ext uri="{3e2802c4-a4d2-4d8b-9148-e3be6c30e623}">
          <xlrd:rvb i="10767"/>
        </ext>
      </extLst>
    </bk>
    <bk>
      <extLst>
        <ext uri="{3e2802c4-a4d2-4d8b-9148-e3be6c30e623}">
          <xlrd:rvb i="10768"/>
        </ext>
      </extLst>
    </bk>
    <bk>
      <extLst>
        <ext uri="{3e2802c4-a4d2-4d8b-9148-e3be6c30e623}">
          <xlrd:rvb i="10769"/>
        </ext>
      </extLst>
    </bk>
    <bk>
      <extLst>
        <ext uri="{3e2802c4-a4d2-4d8b-9148-e3be6c30e623}">
          <xlrd:rvb i="10770"/>
        </ext>
      </extLst>
    </bk>
    <bk>
      <extLst>
        <ext uri="{3e2802c4-a4d2-4d8b-9148-e3be6c30e623}">
          <xlrd:rvb i="10771"/>
        </ext>
      </extLst>
    </bk>
    <bk>
      <extLst>
        <ext uri="{3e2802c4-a4d2-4d8b-9148-e3be6c30e623}">
          <xlrd:rvb i="10772"/>
        </ext>
      </extLst>
    </bk>
    <bk>
      <extLst>
        <ext uri="{3e2802c4-a4d2-4d8b-9148-e3be6c30e623}">
          <xlrd:rvb i="10773"/>
        </ext>
      </extLst>
    </bk>
    <bk>
      <extLst>
        <ext uri="{3e2802c4-a4d2-4d8b-9148-e3be6c30e623}">
          <xlrd:rvb i="10774"/>
        </ext>
      </extLst>
    </bk>
    <bk>
      <extLst>
        <ext uri="{3e2802c4-a4d2-4d8b-9148-e3be6c30e623}">
          <xlrd:rvb i="10775"/>
        </ext>
      </extLst>
    </bk>
    <bk>
      <extLst>
        <ext uri="{3e2802c4-a4d2-4d8b-9148-e3be6c30e623}">
          <xlrd:rvb i="10776"/>
        </ext>
      </extLst>
    </bk>
    <bk>
      <extLst>
        <ext uri="{3e2802c4-a4d2-4d8b-9148-e3be6c30e623}">
          <xlrd:rvb i="10777"/>
        </ext>
      </extLst>
    </bk>
    <bk>
      <extLst>
        <ext uri="{3e2802c4-a4d2-4d8b-9148-e3be6c30e623}">
          <xlrd:rvb i="10778"/>
        </ext>
      </extLst>
    </bk>
    <bk>
      <extLst>
        <ext uri="{3e2802c4-a4d2-4d8b-9148-e3be6c30e623}">
          <xlrd:rvb i="10779"/>
        </ext>
      </extLst>
    </bk>
    <bk>
      <extLst>
        <ext uri="{3e2802c4-a4d2-4d8b-9148-e3be6c30e623}">
          <xlrd:rvb i="10780"/>
        </ext>
      </extLst>
    </bk>
    <bk>
      <extLst>
        <ext uri="{3e2802c4-a4d2-4d8b-9148-e3be6c30e623}">
          <xlrd:rvb i="10781"/>
        </ext>
      </extLst>
    </bk>
    <bk>
      <extLst>
        <ext uri="{3e2802c4-a4d2-4d8b-9148-e3be6c30e623}">
          <xlrd:rvb i="10782"/>
        </ext>
      </extLst>
    </bk>
    <bk>
      <extLst>
        <ext uri="{3e2802c4-a4d2-4d8b-9148-e3be6c30e623}">
          <xlrd:rvb i="10783"/>
        </ext>
      </extLst>
    </bk>
    <bk>
      <extLst>
        <ext uri="{3e2802c4-a4d2-4d8b-9148-e3be6c30e623}">
          <xlrd:rvb i="10784"/>
        </ext>
      </extLst>
    </bk>
    <bk>
      <extLst>
        <ext uri="{3e2802c4-a4d2-4d8b-9148-e3be6c30e623}">
          <xlrd:rvb i="10785"/>
        </ext>
      </extLst>
    </bk>
    <bk>
      <extLst>
        <ext uri="{3e2802c4-a4d2-4d8b-9148-e3be6c30e623}">
          <xlrd:rvb i="10786"/>
        </ext>
      </extLst>
    </bk>
    <bk>
      <extLst>
        <ext uri="{3e2802c4-a4d2-4d8b-9148-e3be6c30e623}">
          <xlrd:rvb i="10787"/>
        </ext>
      </extLst>
    </bk>
    <bk>
      <extLst>
        <ext uri="{3e2802c4-a4d2-4d8b-9148-e3be6c30e623}">
          <xlrd:rvb i="10788"/>
        </ext>
      </extLst>
    </bk>
    <bk>
      <extLst>
        <ext uri="{3e2802c4-a4d2-4d8b-9148-e3be6c30e623}">
          <xlrd:rvb i="10789"/>
        </ext>
      </extLst>
    </bk>
    <bk>
      <extLst>
        <ext uri="{3e2802c4-a4d2-4d8b-9148-e3be6c30e623}">
          <xlrd:rvb i="10790"/>
        </ext>
      </extLst>
    </bk>
    <bk>
      <extLst>
        <ext uri="{3e2802c4-a4d2-4d8b-9148-e3be6c30e623}">
          <xlrd:rvb i="10791"/>
        </ext>
      </extLst>
    </bk>
    <bk>
      <extLst>
        <ext uri="{3e2802c4-a4d2-4d8b-9148-e3be6c30e623}">
          <xlrd:rvb i="10792"/>
        </ext>
      </extLst>
    </bk>
    <bk>
      <extLst>
        <ext uri="{3e2802c4-a4d2-4d8b-9148-e3be6c30e623}">
          <xlrd:rvb i="10793"/>
        </ext>
      </extLst>
    </bk>
    <bk>
      <extLst>
        <ext uri="{3e2802c4-a4d2-4d8b-9148-e3be6c30e623}">
          <xlrd:rvb i="10794"/>
        </ext>
      </extLst>
    </bk>
    <bk>
      <extLst>
        <ext uri="{3e2802c4-a4d2-4d8b-9148-e3be6c30e623}">
          <xlrd:rvb i="10795"/>
        </ext>
      </extLst>
    </bk>
    <bk>
      <extLst>
        <ext uri="{3e2802c4-a4d2-4d8b-9148-e3be6c30e623}">
          <xlrd:rvb i="10796"/>
        </ext>
      </extLst>
    </bk>
    <bk>
      <extLst>
        <ext uri="{3e2802c4-a4d2-4d8b-9148-e3be6c30e623}">
          <xlrd:rvb i="10797"/>
        </ext>
      </extLst>
    </bk>
    <bk>
      <extLst>
        <ext uri="{3e2802c4-a4d2-4d8b-9148-e3be6c30e623}">
          <xlrd:rvb i="10798"/>
        </ext>
      </extLst>
    </bk>
    <bk>
      <extLst>
        <ext uri="{3e2802c4-a4d2-4d8b-9148-e3be6c30e623}">
          <xlrd:rvb i="10799"/>
        </ext>
      </extLst>
    </bk>
    <bk>
      <extLst>
        <ext uri="{3e2802c4-a4d2-4d8b-9148-e3be6c30e623}">
          <xlrd:rvb i="10800"/>
        </ext>
      </extLst>
    </bk>
    <bk>
      <extLst>
        <ext uri="{3e2802c4-a4d2-4d8b-9148-e3be6c30e623}">
          <xlrd:rvb i="10801"/>
        </ext>
      </extLst>
    </bk>
    <bk>
      <extLst>
        <ext uri="{3e2802c4-a4d2-4d8b-9148-e3be6c30e623}">
          <xlrd:rvb i="10802"/>
        </ext>
      </extLst>
    </bk>
    <bk>
      <extLst>
        <ext uri="{3e2802c4-a4d2-4d8b-9148-e3be6c30e623}">
          <xlrd:rvb i="10803"/>
        </ext>
      </extLst>
    </bk>
    <bk>
      <extLst>
        <ext uri="{3e2802c4-a4d2-4d8b-9148-e3be6c30e623}">
          <xlrd:rvb i="10804"/>
        </ext>
      </extLst>
    </bk>
    <bk>
      <extLst>
        <ext uri="{3e2802c4-a4d2-4d8b-9148-e3be6c30e623}">
          <xlrd:rvb i="10805"/>
        </ext>
      </extLst>
    </bk>
    <bk>
      <extLst>
        <ext uri="{3e2802c4-a4d2-4d8b-9148-e3be6c30e623}">
          <xlrd:rvb i="10806"/>
        </ext>
      </extLst>
    </bk>
    <bk>
      <extLst>
        <ext uri="{3e2802c4-a4d2-4d8b-9148-e3be6c30e623}">
          <xlrd:rvb i="10807"/>
        </ext>
      </extLst>
    </bk>
    <bk>
      <extLst>
        <ext uri="{3e2802c4-a4d2-4d8b-9148-e3be6c30e623}">
          <xlrd:rvb i="10808"/>
        </ext>
      </extLst>
    </bk>
    <bk>
      <extLst>
        <ext uri="{3e2802c4-a4d2-4d8b-9148-e3be6c30e623}">
          <xlrd:rvb i="10809"/>
        </ext>
      </extLst>
    </bk>
    <bk>
      <extLst>
        <ext uri="{3e2802c4-a4d2-4d8b-9148-e3be6c30e623}">
          <xlrd:rvb i="10810"/>
        </ext>
      </extLst>
    </bk>
    <bk>
      <extLst>
        <ext uri="{3e2802c4-a4d2-4d8b-9148-e3be6c30e623}">
          <xlrd:rvb i="10811"/>
        </ext>
      </extLst>
    </bk>
    <bk>
      <extLst>
        <ext uri="{3e2802c4-a4d2-4d8b-9148-e3be6c30e623}">
          <xlrd:rvb i="10812"/>
        </ext>
      </extLst>
    </bk>
    <bk>
      <extLst>
        <ext uri="{3e2802c4-a4d2-4d8b-9148-e3be6c30e623}">
          <xlrd:rvb i="10813"/>
        </ext>
      </extLst>
    </bk>
    <bk>
      <extLst>
        <ext uri="{3e2802c4-a4d2-4d8b-9148-e3be6c30e623}">
          <xlrd:rvb i="10814"/>
        </ext>
      </extLst>
    </bk>
    <bk>
      <extLst>
        <ext uri="{3e2802c4-a4d2-4d8b-9148-e3be6c30e623}">
          <xlrd:rvb i="10815"/>
        </ext>
      </extLst>
    </bk>
    <bk>
      <extLst>
        <ext uri="{3e2802c4-a4d2-4d8b-9148-e3be6c30e623}">
          <xlrd:rvb i="10816"/>
        </ext>
      </extLst>
    </bk>
    <bk>
      <extLst>
        <ext uri="{3e2802c4-a4d2-4d8b-9148-e3be6c30e623}">
          <xlrd:rvb i="10817"/>
        </ext>
      </extLst>
    </bk>
    <bk>
      <extLst>
        <ext uri="{3e2802c4-a4d2-4d8b-9148-e3be6c30e623}">
          <xlrd:rvb i="10818"/>
        </ext>
      </extLst>
    </bk>
    <bk>
      <extLst>
        <ext uri="{3e2802c4-a4d2-4d8b-9148-e3be6c30e623}">
          <xlrd:rvb i="10819"/>
        </ext>
      </extLst>
    </bk>
    <bk>
      <extLst>
        <ext uri="{3e2802c4-a4d2-4d8b-9148-e3be6c30e623}">
          <xlrd:rvb i="10820"/>
        </ext>
      </extLst>
    </bk>
    <bk>
      <extLst>
        <ext uri="{3e2802c4-a4d2-4d8b-9148-e3be6c30e623}">
          <xlrd:rvb i="10821"/>
        </ext>
      </extLst>
    </bk>
    <bk>
      <extLst>
        <ext uri="{3e2802c4-a4d2-4d8b-9148-e3be6c30e623}">
          <xlrd:rvb i="10822"/>
        </ext>
      </extLst>
    </bk>
    <bk>
      <extLst>
        <ext uri="{3e2802c4-a4d2-4d8b-9148-e3be6c30e623}">
          <xlrd:rvb i="10823"/>
        </ext>
      </extLst>
    </bk>
    <bk>
      <extLst>
        <ext uri="{3e2802c4-a4d2-4d8b-9148-e3be6c30e623}">
          <xlrd:rvb i="10824"/>
        </ext>
      </extLst>
    </bk>
    <bk>
      <extLst>
        <ext uri="{3e2802c4-a4d2-4d8b-9148-e3be6c30e623}">
          <xlrd:rvb i="10825"/>
        </ext>
      </extLst>
    </bk>
    <bk>
      <extLst>
        <ext uri="{3e2802c4-a4d2-4d8b-9148-e3be6c30e623}">
          <xlrd:rvb i="10826"/>
        </ext>
      </extLst>
    </bk>
    <bk>
      <extLst>
        <ext uri="{3e2802c4-a4d2-4d8b-9148-e3be6c30e623}">
          <xlrd:rvb i="10827"/>
        </ext>
      </extLst>
    </bk>
    <bk>
      <extLst>
        <ext uri="{3e2802c4-a4d2-4d8b-9148-e3be6c30e623}">
          <xlrd:rvb i="10828"/>
        </ext>
      </extLst>
    </bk>
    <bk>
      <extLst>
        <ext uri="{3e2802c4-a4d2-4d8b-9148-e3be6c30e623}">
          <xlrd:rvb i="10829"/>
        </ext>
      </extLst>
    </bk>
    <bk>
      <extLst>
        <ext uri="{3e2802c4-a4d2-4d8b-9148-e3be6c30e623}">
          <xlrd:rvb i="10830"/>
        </ext>
      </extLst>
    </bk>
    <bk>
      <extLst>
        <ext uri="{3e2802c4-a4d2-4d8b-9148-e3be6c30e623}">
          <xlrd:rvb i="10831"/>
        </ext>
      </extLst>
    </bk>
    <bk>
      <extLst>
        <ext uri="{3e2802c4-a4d2-4d8b-9148-e3be6c30e623}">
          <xlrd:rvb i="10832"/>
        </ext>
      </extLst>
    </bk>
    <bk>
      <extLst>
        <ext uri="{3e2802c4-a4d2-4d8b-9148-e3be6c30e623}">
          <xlrd:rvb i="10833"/>
        </ext>
      </extLst>
    </bk>
    <bk>
      <extLst>
        <ext uri="{3e2802c4-a4d2-4d8b-9148-e3be6c30e623}">
          <xlrd:rvb i="10834"/>
        </ext>
      </extLst>
    </bk>
    <bk>
      <extLst>
        <ext uri="{3e2802c4-a4d2-4d8b-9148-e3be6c30e623}">
          <xlrd:rvb i="10835"/>
        </ext>
      </extLst>
    </bk>
    <bk>
      <extLst>
        <ext uri="{3e2802c4-a4d2-4d8b-9148-e3be6c30e623}">
          <xlrd:rvb i="10836"/>
        </ext>
      </extLst>
    </bk>
    <bk>
      <extLst>
        <ext uri="{3e2802c4-a4d2-4d8b-9148-e3be6c30e623}">
          <xlrd:rvb i="10837"/>
        </ext>
      </extLst>
    </bk>
    <bk>
      <extLst>
        <ext uri="{3e2802c4-a4d2-4d8b-9148-e3be6c30e623}">
          <xlrd:rvb i="10838"/>
        </ext>
      </extLst>
    </bk>
    <bk>
      <extLst>
        <ext uri="{3e2802c4-a4d2-4d8b-9148-e3be6c30e623}">
          <xlrd:rvb i="10839"/>
        </ext>
      </extLst>
    </bk>
    <bk>
      <extLst>
        <ext uri="{3e2802c4-a4d2-4d8b-9148-e3be6c30e623}">
          <xlrd:rvb i="10840"/>
        </ext>
      </extLst>
    </bk>
    <bk>
      <extLst>
        <ext uri="{3e2802c4-a4d2-4d8b-9148-e3be6c30e623}">
          <xlrd:rvb i="10841"/>
        </ext>
      </extLst>
    </bk>
    <bk>
      <extLst>
        <ext uri="{3e2802c4-a4d2-4d8b-9148-e3be6c30e623}">
          <xlrd:rvb i="10842"/>
        </ext>
      </extLst>
    </bk>
    <bk>
      <extLst>
        <ext uri="{3e2802c4-a4d2-4d8b-9148-e3be6c30e623}">
          <xlrd:rvb i="10843"/>
        </ext>
      </extLst>
    </bk>
    <bk>
      <extLst>
        <ext uri="{3e2802c4-a4d2-4d8b-9148-e3be6c30e623}">
          <xlrd:rvb i="10844"/>
        </ext>
      </extLst>
    </bk>
    <bk>
      <extLst>
        <ext uri="{3e2802c4-a4d2-4d8b-9148-e3be6c30e623}">
          <xlrd:rvb i="10845"/>
        </ext>
      </extLst>
    </bk>
    <bk>
      <extLst>
        <ext uri="{3e2802c4-a4d2-4d8b-9148-e3be6c30e623}">
          <xlrd:rvb i="10846"/>
        </ext>
      </extLst>
    </bk>
    <bk>
      <extLst>
        <ext uri="{3e2802c4-a4d2-4d8b-9148-e3be6c30e623}">
          <xlrd:rvb i="10847"/>
        </ext>
      </extLst>
    </bk>
    <bk>
      <extLst>
        <ext uri="{3e2802c4-a4d2-4d8b-9148-e3be6c30e623}">
          <xlrd:rvb i="10848"/>
        </ext>
      </extLst>
    </bk>
    <bk>
      <extLst>
        <ext uri="{3e2802c4-a4d2-4d8b-9148-e3be6c30e623}">
          <xlrd:rvb i="10849"/>
        </ext>
      </extLst>
    </bk>
    <bk>
      <extLst>
        <ext uri="{3e2802c4-a4d2-4d8b-9148-e3be6c30e623}">
          <xlrd:rvb i="10850"/>
        </ext>
      </extLst>
    </bk>
    <bk>
      <extLst>
        <ext uri="{3e2802c4-a4d2-4d8b-9148-e3be6c30e623}">
          <xlrd:rvb i="10851"/>
        </ext>
      </extLst>
    </bk>
    <bk>
      <extLst>
        <ext uri="{3e2802c4-a4d2-4d8b-9148-e3be6c30e623}">
          <xlrd:rvb i="10852"/>
        </ext>
      </extLst>
    </bk>
    <bk>
      <extLst>
        <ext uri="{3e2802c4-a4d2-4d8b-9148-e3be6c30e623}">
          <xlrd:rvb i="10853"/>
        </ext>
      </extLst>
    </bk>
    <bk>
      <extLst>
        <ext uri="{3e2802c4-a4d2-4d8b-9148-e3be6c30e623}">
          <xlrd:rvb i="10854"/>
        </ext>
      </extLst>
    </bk>
    <bk>
      <extLst>
        <ext uri="{3e2802c4-a4d2-4d8b-9148-e3be6c30e623}">
          <xlrd:rvb i="10855"/>
        </ext>
      </extLst>
    </bk>
    <bk>
      <extLst>
        <ext uri="{3e2802c4-a4d2-4d8b-9148-e3be6c30e623}">
          <xlrd:rvb i="10856"/>
        </ext>
      </extLst>
    </bk>
    <bk>
      <extLst>
        <ext uri="{3e2802c4-a4d2-4d8b-9148-e3be6c30e623}">
          <xlrd:rvb i="10857"/>
        </ext>
      </extLst>
    </bk>
    <bk>
      <extLst>
        <ext uri="{3e2802c4-a4d2-4d8b-9148-e3be6c30e623}">
          <xlrd:rvb i="10858"/>
        </ext>
      </extLst>
    </bk>
    <bk>
      <extLst>
        <ext uri="{3e2802c4-a4d2-4d8b-9148-e3be6c30e623}">
          <xlrd:rvb i="10859"/>
        </ext>
      </extLst>
    </bk>
    <bk>
      <extLst>
        <ext uri="{3e2802c4-a4d2-4d8b-9148-e3be6c30e623}">
          <xlrd:rvb i="10860"/>
        </ext>
      </extLst>
    </bk>
    <bk>
      <extLst>
        <ext uri="{3e2802c4-a4d2-4d8b-9148-e3be6c30e623}">
          <xlrd:rvb i="10861"/>
        </ext>
      </extLst>
    </bk>
    <bk>
      <extLst>
        <ext uri="{3e2802c4-a4d2-4d8b-9148-e3be6c30e623}">
          <xlrd:rvb i="10862"/>
        </ext>
      </extLst>
    </bk>
    <bk>
      <extLst>
        <ext uri="{3e2802c4-a4d2-4d8b-9148-e3be6c30e623}">
          <xlrd:rvb i="10863"/>
        </ext>
      </extLst>
    </bk>
    <bk>
      <extLst>
        <ext uri="{3e2802c4-a4d2-4d8b-9148-e3be6c30e623}">
          <xlrd:rvb i="10864"/>
        </ext>
      </extLst>
    </bk>
    <bk>
      <extLst>
        <ext uri="{3e2802c4-a4d2-4d8b-9148-e3be6c30e623}">
          <xlrd:rvb i="10865"/>
        </ext>
      </extLst>
    </bk>
    <bk>
      <extLst>
        <ext uri="{3e2802c4-a4d2-4d8b-9148-e3be6c30e623}">
          <xlrd:rvb i="10866"/>
        </ext>
      </extLst>
    </bk>
    <bk>
      <extLst>
        <ext uri="{3e2802c4-a4d2-4d8b-9148-e3be6c30e623}">
          <xlrd:rvb i="10867"/>
        </ext>
      </extLst>
    </bk>
    <bk>
      <extLst>
        <ext uri="{3e2802c4-a4d2-4d8b-9148-e3be6c30e623}">
          <xlrd:rvb i="10868"/>
        </ext>
      </extLst>
    </bk>
    <bk>
      <extLst>
        <ext uri="{3e2802c4-a4d2-4d8b-9148-e3be6c30e623}">
          <xlrd:rvb i="10869"/>
        </ext>
      </extLst>
    </bk>
    <bk>
      <extLst>
        <ext uri="{3e2802c4-a4d2-4d8b-9148-e3be6c30e623}">
          <xlrd:rvb i="10870"/>
        </ext>
      </extLst>
    </bk>
    <bk>
      <extLst>
        <ext uri="{3e2802c4-a4d2-4d8b-9148-e3be6c30e623}">
          <xlrd:rvb i="10871"/>
        </ext>
      </extLst>
    </bk>
    <bk>
      <extLst>
        <ext uri="{3e2802c4-a4d2-4d8b-9148-e3be6c30e623}">
          <xlrd:rvb i="10872"/>
        </ext>
      </extLst>
    </bk>
    <bk>
      <extLst>
        <ext uri="{3e2802c4-a4d2-4d8b-9148-e3be6c30e623}">
          <xlrd:rvb i="10873"/>
        </ext>
      </extLst>
    </bk>
    <bk>
      <extLst>
        <ext uri="{3e2802c4-a4d2-4d8b-9148-e3be6c30e623}">
          <xlrd:rvb i="10874"/>
        </ext>
      </extLst>
    </bk>
    <bk>
      <extLst>
        <ext uri="{3e2802c4-a4d2-4d8b-9148-e3be6c30e623}">
          <xlrd:rvb i="10875"/>
        </ext>
      </extLst>
    </bk>
    <bk>
      <extLst>
        <ext uri="{3e2802c4-a4d2-4d8b-9148-e3be6c30e623}">
          <xlrd:rvb i="10876"/>
        </ext>
      </extLst>
    </bk>
    <bk>
      <extLst>
        <ext uri="{3e2802c4-a4d2-4d8b-9148-e3be6c30e623}">
          <xlrd:rvb i="10877"/>
        </ext>
      </extLst>
    </bk>
    <bk>
      <extLst>
        <ext uri="{3e2802c4-a4d2-4d8b-9148-e3be6c30e623}">
          <xlrd:rvb i="10878"/>
        </ext>
      </extLst>
    </bk>
    <bk>
      <extLst>
        <ext uri="{3e2802c4-a4d2-4d8b-9148-e3be6c30e623}">
          <xlrd:rvb i="10879"/>
        </ext>
      </extLst>
    </bk>
    <bk>
      <extLst>
        <ext uri="{3e2802c4-a4d2-4d8b-9148-e3be6c30e623}">
          <xlrd:rvb i="10880"/>
        </ext>
      </extLst>
    </bk>
    <bk>
      <extLst>
        <ext uri="{3e2802c4-a4d2-4d8b-9148-e3be6c30e623}">
          <xlrd:rvb i="10881"/>
        </ext>
      </extLst>
    </bk>
    <bk>
      <extLst>
        <ext uri="{3e2802c4-a4d2-4d8b-9148-e3be6c30e623}">
          <xlrd:rvb i="10882"/>
        </ext>
      </extLst>
    </bk>
    <bk>
      <extLst>
        <ext uri="{3e2802c4-a4d2-4d8b-9148-e3be6c30e623}">
          <xlrd:rvb i="10883"/>
        </ext>
      </extLst>
    </bk>
    <bk>
      <extLst>
        <ext uri="{3e2802c4-a4d2-4d8b-9148-e3be6c30e623}">
          <xlrd:rvb i="10884"/>
        </ext>
      </extLst>
    </bk>
    <bk>
      <extLst>
        <ext uri="{3e2802c4-a4d2-4d8b-9148-e3be6c30e623}">
          <xlrd:rvb i="10885"/>
        </ext>
      </extLst>
    </bk>
    <bk>
      <extLst>
        <ext uri="{3e2802c4-a4d2-4d8b-9148-e3be6c30e623}">
          <xlrd:rvb i="10886"/>
        </ext>
      </extLst>
    </bk>
    <bk>
      <extLst>
        <ext uri="{3e2802c4-a4d2-4d8b-9148-e3be6c30e623}">
          <xlrd:rvb i="10887"/>
        </ext>
      </extLst>
    </bk>
    <bk>
      <extLst>
        <ext uri="{3e2802c4-a4d2-4d8b-9148-e3be6c30e623}">
          <xlrd:rvb i="10888"/>
        </ext>
      </extLst>
    </bk>
    <bk>
      <extLst>
        <ext uri="{3e2802c4-a4d2-4d8b-9148-e3be6c30e623}">
          <xlrd:rvb i="10889"/>
        </ext>
      </extLst>
    </bk>
    <bk>
      <extLst>
        <ext uri="{3e2802c4-a4d2-4d8b-9148-e3be6c30e623}">
          <xlrd:rvb i="10890"/>
        </ext>
      </extLst>
    </bk>
    <bk>
      <extLst>
        <ext uri="{3e2802c4-a4d2-4d8b-9148-e3be6c30e623}">
          <xlrd:rvb i="10891"/>
        </ext>
      </extLst>
    </bk>
    <bk>
      <extLst>
        <ext uri="{3e2802c4-a4d2-4d8b-9148-e3be6c30e623}">
          <xlrd:rvb i="10892"/>
        </ext>
      </extLst>
    </bk>
    <bk>
      <extLst>
        <ext uri="{3e2802c4-a4d2-4d8b-9148-e3be6c30e623}">
          <xlrd:rvb i="10893"/>
        </ext>
      </extLst>
    </bk>
    <bk>
      <extLst>
        <ext uri="{3e2802c4-a4d2-4d8b-9148-e3be6c30e623}">
          <xlrd:rvb i="10894"/>
        </ext>
      </extLst>
    </bk>
    <bk>
      <extLst>
        <ext uri="{3e2802c4-a4d2-4d8b-9148-e3be6c30e623}">
          <xlrd:rvb i="10895"/>
        </ext>
      </extLst>
    </bk>
    <bk>
      <extLst>
        <ext uri="{3e2802c4-a4d2-4d8b-9148-e3be6c30e623}">
          <xlrd:rvb i="10896"/>
        </ext>
      </extLst>
    </bk>
    <bk>
      <extLst>
        <ext uri="{3e2802c4-a4d2-4d8b-9148-e3be6c30e623}">
          <xlrd:rvb i="10897"/>
        </ext>
      </extLst>
    </bk>
    <bk>
      <extLst>
        <ext uri="{3e2802c4-a4d2-4d8b-9148-e3be6c30e623}">
          <xlrd:rvb i="10898"/>
        </ext>
      </extLst>
    </bk>
    <bk>
      <extLst>
        <ext uri="{3e2802c4-a4d2-4d8b-9148-e3be6c30e623}">
          <xlrd:rvb i="10899"/>
        </ext>
      </extLst>
    </bk>
    <bk>
      <extLst>
        <ext uri="{3e2802c4-a4d2-4d8b-9148-e3be6c30e623}">
          <xlrd:rvb i="10900"/>
        </ext>
      </extLst>
    </bk>
    <bk>
      <extLst>
        <ext uri="{3e2802c4-a4d2-4d8b-9148-e3be6c30e623}">
          <xlrd:rvb i="10901"/>
        </ext>
      </extLst>
    </bk>
    <bk>
      <extLst>
        <ext uri="{3e2802c4-a4d2-4d8b-9148-e3be6c30e623}">
          <xlrd:rvb i="10902"/>
        </ext>
      </extLst>
    </bk>
    <bk>
      <extLst>
        <ext uri="{3e2802c4-a4d2-4d8b-9148-e3be6c30e623}">
          <xlrd:rvb i="10903"/>
        </ext>
      </extLst>
    </bk>
    <bk>
      <extLst>
        <ext uri="{3e2802c4-a4d2-4d8b-9148-e3be6c30e623}">
          <xlrd:rvb i="10904"/>
        </ext>
      </extLst>
    </bk>
    <bk>
      <extLst>
        <ext uri="{3e2802c4-a4d2-4d8b-9148-e3be6c30e623}">
          <xlrd:rvb i="10905"/>
        </ext>
      </extLst>
    </bk>
    <bk>
      <extLst>
        <ext uri="{3e2802c4-a4d2-4d8b-9148-e3be6c30e623}">
          <xlrd:rvb i="10906"/>
        </ext>
      </extLst>
    </bk>
    <bk>
      <extLst>
        <ext uri="{3e2802c4-a4d2-4d8b-9148-e3be6c30e623}">
          <xlrd:rvb i="10907"/>
        </ext>
      </extLst>
    </bk>
    <bk>
      <extLst>
        <ext uri="{3e2802c4-a4d2-4d8b-9148-e3be6c30e623}">
          <xlrd:rvb i="10908"/>
        </ext>
      </extLst>
    </bk>
    <bk>
      <extLst>
        <ext uri="{3e2802c4-a4d2-4d8b-9148-e3be6c30e623}">
          <xlrd:rvb i="10909"/>
        </ext>
      </extLst>
    </bk>
    <bk>
      <extLst>
        <ext uri="{3e2802c4-a4d2-4d8b-9148-e3be6c30e623}">
          <xlrd:rvb i="10910"/>
        </ext>
      </extLst>
    </bk>
    <bk>
      <extLst>
        <ext uri="{3e2802c4-a4d2-4d8b-9148-e3be6c30e623}">
          <xlrd:rvb i="10911"/>
        </ext>
      </extLst>
    </bk>
    <bk>
      <extLst>
        <ext uri="{3e2802c4-a4d2-4d8b-9148-e3be6c30e623}">
          <xlrd:rvb i="10912"/>
        </ext>
      </extLst>
    </bk>
    <bk>
      <extLst>
        <ext uri="{3e2802c4-a4d2-4d8b-9148-e3be6c30e623}">
          <xlrd:rvb i="10913"/>
        </ext>
      </extLst>
    </bk>
    <bk>
      <extLst>
        <ext uri="{3e2802c4-a4d2-4d8b-9148-e3be6c30e623}">
          <xlrd:rvb i="10914"/>
        </ext>
      </extLst>
    </bk>
    <bk>
      <extLst>
        <ext uri="{3e2802c4-a4d2-4d8b-9148-e3be6c30e623}">
          <xlrd:rvb i="10915"/>
        </ext>
      </extLst>
    </bk>
    <bk>
      <extLst>
        <ext uri="{3e2802c4-a4d2-4d8b-9148-e3be6c30e623}">
          <xlrd:rvb i="10916"/>
        </ext>
      </extLst>
    </bk>
    <bk>
      <extLst>
        <ext uri="{3e2802c4-a4d2-4d8b-9148-e3be6c30e623}">
          <xlrd:rvb i="10917"/>
        </ext>
      </extLst>
    </bk>
    <bk>
      <extLst>
        <ext uri="{3e2802c4-a4d2-4d8b-9148-e3be6c30e623}">
          <xlrd:rvb i="10918"/>
        </ext>
      </extLst>
    </bk>
    <bk>
      <extLst>
        <ext uri="{3e2802c4-a4d2-4d8b-9148-e3be6c30e623}">
          <xlrd:rvb i="10919"/>
        </ext>
      </extLst>
    </bk>
    <bk>
      <extLst>
        <ext uri="{3e2802c4-a4d2-4d8b-9148-e3be6c30e623}">
          <xlrd:rvb i="10920"/>
        </ext>
      </extLst>
    </bk>
    <bk>
      <extLst>
        <ext uri="{3e2802c4-a4d2-4d8b-9148-e3be6c30e623}">
          <xlrd:rvb i="10921"/>
        </ext>
      </extLst>
    </bk>
    <bk>
      <extLst>
        <ext uri="{3e2802c4-a4d2-4d8b-9148-e3be6c30e623}">
          <xlrd:rvb i="10922"/>
        </ext>
      </extLst>
    </bk>
    <bk>
      <extLst>
        <ext uri="{3e2802c4-a4d2-4d8b-9148-e3be6c30e623}">
          <xlrd:rvb i="10923"/>
        </ext>
      </extLst>
    </bk>
    <bk>
      <extLst>
        <ext uri="{3e2802c4-a4d2-4d8b-9148-e3be6c30e623}">
          <xlrd:rvb i="10924"/>
        </ext>
      </extLst>
    </bk>
    <bk>
      <extLst>
        <ext uri="{3e2802c4-a4d2-4d8b-9148-e3be6c30e623}">
          <xlrd:rvb i="10925"/>
        </ext>
      </extLst>
    </bk>
    <bk>
      <extLst>
        <ext uri="{3e2802c4-a4d2-4d8b-9148-e3be6c30e623}">
          <xlrd:rvb i="10926"/>
        </ext>
      </extLst>
    </bk>
    <bk>
      <extLst>
        <ext uri="{3e2802c4-a4d2-4d8b-9148-e3be6c30e623}">
          <xlrd:rvb i="10927"/>
        </ext>
      </extLst>
    </bk>
    <bk>
      <extLst>
        <ext uri="{3e2802c4-a4d2-4d8b-9148-e3be6c30e623}">
          <xlrd:rvb i="10928"/>
        </ext>
      </extLst>
    </bk>
    <bk>
      <extLst>
        <ext uri="{3e2802c4-a4d2-4d8b-9148-e3be6c30e623}">
          <xlrd:rvb i="10929"/>
        </ext>
      </extLst>
    </bk>
    <bk>
      <extLst>
        <ext uri="{3e2802c4-a4d2-4d8b-9148-e3be6c30e623}">
          <xlrd:rvb i="10930"/>
        </ext>
      </extLst>
    </bk>
    <bk>
      <extLst>
        <ext uri="{3e2802c4-a4d2-4d8b-9148-e3be6c30e623}">
          <xlrd:rvb i="10931"/>
        </ext>
      </extLst>
    </bk>
    <bk>
      <extLst>
        <ext uri="{3e2802c4-a4d2-4d8b-9148-e3be6c30e623}">
          <xlrd:rvb i="10932"/>
        </ext>
      </extLst>
    </bk>
    <bk>
      <extLst>
        <ext uri="{3e2802c4-a4d2-4d8b-9148-e3be6c30e623}">
          <xlrd:rvb i="10933"/>
        </ext>
      </extLst>
    </bk>
    <bk>
      <extLst>
        <ext uri="{3e2802c4-a4d2-4d8b-9148-e3be6c30e623}">
          <xlrd:rvb i="10934"/>
        </ext>
      </extLst>
    </bk>
    <bk>
      <extLst>
        <ext uri="{3e2802c4-a4d2-4d8b-9148-e3be6c30e623}">
          <xlrd:rvb i="10935"/>
        </ext>
      </extLst>
    </bk>
    <bk>
      <extLst>
        <ext uri="{3e2802c4-a4d2-4d8b-9148-e3be6c30e623}">
          <xlrd:rvb i="10936"/>
        </ext>
      </extLst>
    </bk>
    <bk>
      <extLst>
        <ext uri="{3e2802c4-a4d2-4d8b-9148-e3be6c30e623}">
          <xlrd:rvb i="10937"/>
        </ext>
      </extLst>
    </bk>
    <bk>
      <extLst>
        <ext uri="{3e2802c4-a4d2-4d8b-9148-e3be6c30e623}">
          <xlrd:rvb i="10938"/>
        </ext>
      </extLst>
    </bk>
    <bk>
      <extLst>
        <ext uri="{3e2802c4-a4d2-4d8b-9148-e3be6c30e623}">
          <xlrd:rvb i="10939"/>
        </ext>
      </extLst>
    </bk>
    <bk>
      <extLst>
        <ext uri="{3e2802c4-a4d2-4d8b-9148-e3be6c30e623}">
          <xlrd:rvb i="10940"/>
        </ext>
      </extLst>
    </bk>
    <bk>
      <extLst>
        <ext uri="{3e2802c4-a4d2-4d8b-9148-e3be6c30e623}">
          <xlrd:rvb i="10941"/>
        </ext>
      </extLst>
    </bk>
    <bk>
      <extLst>
        <ext uri="{3e2802c4-a4d2-4d8b-9148-e3be6c30e623}">
          <xlrd:rvb i="10942"/>
        </ext>
      </extLst>
    </bk>
    <bk>
      <extLst>
        <ext uri="{3e2802c4-a4d2-4d8b-9148-e3be6c30e623}">
          <xlrd:rvb i="10943"/>
        </ext>
      </extLst>
    </bk>
    <bk>
      <extLst>
        <ext uri="{3e2802c4-a4d2-4d8b-9148-e3be6c30e623}">
          <xlrd:rvb i="10944"/>
        </ext>
      </extLst>
    </bk>
    <bk>
      <extLst>
        <ext uri="{3e2802c4-a4d2-4d8b-9148-e3be6c30e623}">
          <xlrd:rvb i="10945"/>
        </ext>
      </extLst>
    </bk>
    <bk>
      <extLst>
        <ext uri="{3e2802c4-a4d2-4d8b-9148-e3be6c30e623}">
          <xlrd:rvb i="10946"/>
        </ext>
      </extLst>
    </bk>
    <bk>
      <extLst>
        <ext uri="{3e2802c4-a4d2-4d8b-9148-e3be6c30e623}">
          <xlrd:rvb i="10947"/>
        </ext>
      </extLst>
    </bk>
    <bk>
      <extLst>
        <ext uri="{3e2802c4-a4d2-4d8b-9148-e3be6c30e623}">
          <xlrd:rvb i="10948"/>
        </ext>
      </extLst>
    </bk>
    <bk>
      <extLst>
        <ext uri="{3e2802c4-a4d2-4d8b-9148-e3be6c30e623}">
          <xlrd:rvb i="10949"/>
        </ext>
      </extLst>
    </bk>
    <bk>
      <extLst>
        <ext uri="{3e2802c4-a4d2-4d8b-9148-e3be6c30e623}">
          <xlrd:rvb i="10950"/>
        </ext>
      </extLst>
    </bk>
    <bk>
      <extLst>
        <ext uri="{3e2802c4-a4d2-4d8b-9148-e3be6c30e623}">
          <xlrd:rvb i="10951"/>
        </ext>
      </extLst>
    </bk>
    <bk>
      <extLst>
        <ext uri="{3e2802c4-a4d2-4d8b-9148-e3be6c30e623}">
          <xlrd:rvb i="10952"/>
        </ext>
      </extLst>
    </bk>
    <bk>
      <extLst>
        <ext uri="{3e2802c4-a4d2-4d8b-9148-e3be6c30e623}">
          <xlrd:rvb i="10953"/>
        </ext>
      </extLst>
    </bk>
    <bk>
      <extLst>
        <ext uri="{3e2802c4-a4d2-4d8b-9148-e3be6c30e623}">
          <xlrd:rvb i="10954"/>
        </ext>
      </extLst>
    </bk>
    <bk>
      <extLst>
        <ext uri="{3e2802c4-a4d2-4d8b-9148-e3be6c30e623}">
          <xlrd:rvb i="10955"/>
        </ext>
      </extLst>
    </bk>
    <bk>
      <extLst>
        <ext uri="{3e2802c4-a4d2-4d8b-9148-e3be6c30e623}">
          <xlrd:rvb i="10956"/>
        </ext>
      </extLst>
    </bk>
    <bk>
      <extLst>
        <ext uri="{3e2802c4-a4d2-4d8b-9148-e3be6c30e623}">
          <xlrd:rvb i="10957"/>
        </ext>
      </extLst>
    </bk>
    <bk>
      <extLst>
        <ext uri="{3e2802c4-a4d2-4d8b-9148-e3be6c30e623}">
          <xlrd:rvb i="10958"/>
        </ext>
      </extLst>
    </bk>
    <bk>
      <extLst>
        <ext uri="{3e2802c4-a4d2-4d8b-9148-e3be6c30e623}">
          <xlrd:rvb i="10959"/>
        </ext>
      </extLst>
    </bk>
    <bk>
      <extLst>
        <ext uri="{3e2802c4-a4d2-4d8b-9148-e3be6c30e623}">
          <xlrd:rvb i="10960"/>
        </ext>
      </extLst>
    </bk>
    <bk>
      <extLst>
        <ext uri="{3e2802c4-a4d2-4d8b-9148-e3be6c30e623}">
          <xlrd:rvb i="10961"/>
        </ext>
      </extLst>
    </bk>
    <bk>
      <extLst>
        <ext uri="{3e2802c4-a4d2-4d8b-9148-e3be6c30e623}">
          <xlrd:rvb i="10962"/>
        </ext>
      </extLst>
    </bk>
    <bk>
      <extLst>
        <ext uri="{3e2802c4-a4d2-4d8b-9148-e3be6c30e623}">
          <xlrd:rvb i="10963"/>
        </ext>
      </extLst>
    </bk>
    <bk>
      <extLst>
        <ext uri="{3e2802c4-a4d2-4d8b-9148-e3be6c30e623}">
          <xlrd:rvb i="10964"/>
        </ext>
      </extLst>
    </bk>
    <bk>
      <extLst>
        <ext uri="{3e2802c4-a4d2-4d8b-9148-e3be6c30e623}">
          <xlrd:rvb i="10965"/>
        </ext>
      </extLst>
    </bk>
    <bk>
      <extLst>
        <ext uri="{3e2802c4-a4d2-4d8b-9148-e3be6c30e623}">
          <xlrd:rvb i="10966"/>
        </ext>
      </extLst>
    </bk>
    <bk>
      <extLst>
        <ext uri="{3e2802c4-a4d2-4d8b-9148-e3be6c30e623}">
          <xlrd:rvb i="10967"/>
        </ext>
      </extLst>
    </bk>
    <bk>
      <extLst>
        <ext uri="{3e2802c4-a4d2-4d8b-9148-e3be6c30e623}">
          <xlrd:rvb i="10968"/>
        </ext>
      </extLst>
    </bk>
    <bk>
      <extLst>
        <ext uri="{3e2802c4-a4d2-4d8b-9148-e3be6c30e623}">
          <xlrd:rvb i="10969"/>
        </ext>
      </extLst>
    </bk>
    <bk>
      <extLst>
        <ext uri="{3e2802c4-a4d2-4d8b-9148-e3be6c30e623}">
          <xlrd:rvb i="10970"/>
        </ext>
      </extLst>
    </bk>
    <bk>
      <extLst>
        <ext uri="{3e2802c4-a4d2-4d8b-9148-e3be6c30e623}">
          <xlrd:rvb i="10971"/>
        </ext>
      </extLst>
    </bk>
    <bk>
      <extLst>
        <ext uri="{3e2802c4-a4d2-4d8b-9148-e3be6c30e623}">
          <xlrd:rvb i="10972"/>
        </ext>
      </extLst>
    </bk>
    <bk>
      <extLst>
        <ext uri="{3e2802c4-a4d2-4d8b-9148-e3be6c30e623}">
          <xlrd:rvb i="10973"/>
        </ext>
      </extLst>
    </bk>
    <bk>
      <extLst>
        <ext uri="{3e2802c4-a4d2-4d8b-9148-e3be6c30e623}">
          <xlrd:rvb i="10974"/>
        </ext>
      </extLst>
    </bk>
    <bk>
      <extLst>
        <ext uri="{3e2802c4-a4d2-4d8b-9148-e3be6c30e623}">
          <xlrd:rvb i="10975"/>
        </ext>
      </extLst>
    </bk>
    <bk>
      <extLst>
        <ext uri="{3e2802c4-a4d2-4d8b-9148-e3be6c30e623}">
          <xlrd:rvb i="10976"/>
        </ext>
      </extLst>
    </bk>
    <bk>
      <extLst>
        <ext uri="{3e2802c4-a4d2-4d8b-9148-e3be6c30e623}">
          <xlrd:rvb i="10977"/>
        </ext>
      </extLst>
    </bk>
    <bk>
      <extLst>
        <ext uri="{3e2802c4-a4d2-4d8b-9148-e3be6c30e623}">
          <xlrd:rvb i="10978"/>
        </ext>
      </extLst>
    </bk>
    <bk>
      <extLst>
        <ext uri="{3e2802c4-a4d2-4d8b-9148-e3be6c30e623}">
          <xlrd:rvb i="10979"/>
        </ext>
      </extLst>
    </bk>
    <bk>
      <extLst>
        <ext uri="{3e2802c4-a4d2-4d8b-9148-e3be6c30e623}">
          <xlrd:rvb i="10980"/>
        </ext>
      </extLst>
    </bk>
    <bk>
      <extLst>
        <ext uri="{3e2802c4-a4d2-4d8b-9148-e3be6c30e623}">
          <xlrd:rvb i="10981"/>
        </ext>
      </extLst>
    </bk>
    <bk>
      <extLst>
        <ext uri="{3e2802c4-a4d2-4d8b-9148-e3be6c30e623}">
          <xlrd:rvb i="10982"/>
        </ext>
      </extLst>
    </bk>
    <bk>
      <extLst>
        <ext uri="{3e2802c4-a4d2-4d8b-9148-e3be6c30e623}">
          <xlrd:rvb i="10983"/>
        </ext>
      </extLst>
    </bk>
    <bk>
      <extLst>
        <ext uri="{3e2802c4-a4d2-4d8b-9148-e3be6c30e623}">
          <xlrd:rvb i="10984"/>
        </ext>
      </extLst>
    </bk>
    <bk>
      <extLst>
        <ext uri="{3e2802c4-a4d2-4d8b-9148-e3be6c30e623}">
          <xlrd:rvb i="10985"/>
        </ext>
      </extLst>
    </bk>
    <bk>
      <extLst>
        <ext uri="{3e2802c4-a4d2-4d8b-9148-e3be6c30e623}">
          <xlrd:rvb i="10986"/>
        </ext>
      </extLst>
    </bk>
    <bk>
      <extLst>
        <ext uri="{3e2802c4-a4d2-4d8b-9148-e3be6c30e623}">
          <xlrd:rvb i="10987"/>
        </ext>
      </extLst>
    </bk>
    <bk>
      <extLst>
        <ext uri="{3e2802c4-a4d2-4d8b-9148-e3be6c30e623}">
          <xlrd:rvb i="10988"/>
        </ext>
      </extLst>
    </bk>
    <bk>
      <extLst>
        <ext uri="{3e2802c4-a4d2-4d8b-9148-e3be6c30e623}">
          <xlrd:rvb i="10989"/>
        </ext>
      </extLst>
    </bk>
    <bk>
      <extLst>
        <ext uri="{3e2802c4-a4d2-4d8b-9148-e3be6c30e623}">
          <xlrd:rvb i="10990"/>
        </ext>
      </extLst>
    </bk>
    <bk>
      <extLst>
        <ext uri="{3e2802c4-a4d2-4d8b-9148-e3be6c30e623}">
          <xlrd:rvb i="10991"/>
        </ext>
      </extLst>
    </bk>
    <bk>
      <extLst>
        <ext uri="{3e2802c4-a4d2-4d8b-9148-e3be6c30e623}">
          <xlrd:rvb i="10992"/>
        </ext>
      </extLst>
    </bk>
    <bk>
      <extLst>
        <ext uri="{3e2802c4-a4d2-4d8b-9148-e3be6c30e623}">
          <xlrd:rvb i="10993"/>
        </ext>
      </extLst>
    </bk>
    <bk>
      <extLst>
        <ext uri="{3e2802c4-a4d2-4d8b-9148-e3be6c30e623}">
          <xlrd:rvb i="10994"/>
        </ext>
      </extLst>
    </bk>
    <bk>
      <extLst>
        <ext uri="{3e2802c4-a4d2-4d8b-9148-e3be6c30e623}">
          <xlrd:rvb i="10995"/>
        </ext>
      </extLst>
    </bk>
    <bk>
      <extLst>
        <ext uri="{3e2802c4-a4d2-4d8b-9148-e3be6c30e623}">
          <xlrd:rvb i="10996"/>
        </ext>
      </extLst>
    </bk>
    <bk>
      <extLst>
        <ext uri="{3e2802c4-a4d2-4d8b-9148-e3be6c30e623}">
          <xlrd:rvb i="10997"/>
        </ext>
      </extLst>
    </bk>
    <bk>
      <extLst>
        <ext uri="{3e2802c4-a4d2-4d8b-9148-e3be6c30e623}">
          <xlrd:rvb i="10998"/>
        </ext>
      </extLst>
    </bk>
    <bk>
      <extLst>
        <ext uri="{3e2802c4-a4d2-4d8b-9148-e3be6c30e623}">
          <xlrd:rvb i="10999"/>
        </ext>
      </extLst>
    </bk>
    <bk>
      <extLst>
        <ext uri="{3e2802c4-a4d2-4d8b-9148-e3be6c30e623}">
          <xlrd:rvb i="11000"/>
        </ext>
      </extLst>
    </bk>
    <bk>
      <extLst>
        <ext uri="{3e2802c4-a4d2-4d8b-9148-e3be6c30e623}">
          <xlrd:rvb i="11001"/>
        </ext>
      </extLst>
    </bk>
    <bk>
      <extLst>
        <ext uri="{3e2802c4-a4d2-4d8b-9148-e3be6c30e623}">
          <xlrd:rvb i="11002"/>
        </ext>
      </extLst>
    </bk>
    <bk>
      <extLst>
        <ext uri="{3e2802c4-a4d2-4d8b-9148-e3be6c30e623}">
          <xlrd:rvb i="11003"/>
        </ext>
      </extLst>
    </bk>
    <bk>
      <extLst>
        <ext uri="{3e2802c4-a4d2-4d8b-9148-e3be6c30e623}">
          <xlrd:rvb i="11004"/>
        </ext>
      </extLst>
    </bk>
    <bk>
      <extLst>
        <ext uri="{3e2802c4-a4d2-4d8b-9148-e3be6c30e623}">
          <xlrd:rvb i="11005"/>
        </ext>
      </extLst>
    </bk>
    <bk>
      <extLst>
        <ext uri="{3e2802c4-a4d2-4d8b-9148-e3be6c30e623}">
          <xlrd:rvb i="11006"/>
        </ext>
      </extLst>
    </bk>
    <bk>
      <extLst>
        <ext uri="{3e2802c4-a4d2-4d8b-9148-e3be6c30e623}">
          <xlrd:rvb i="11007"/>
        </ext>
      </extLst>
    </bk>
    <bk>
      <extLst>
        <ext uri="{3e2802c4-a4d2-4d8b-9148-e3be6c30e623}">
          <xlrd:rvb i="11008"/>
        </ext>
      </extLst>
    </bk>
    <bk>
      <extLst>
        <ext uri="{3e2802c4-a4d2-4d8b-9148-e3be6c30e623}">
          <xlrd:rvb i="11009"/>
        </ext>
      </extLst>
    </bk>
    <bk>
      <extLst>
        <ext uri="{3e2802c4-a4d2-4d8b-9148-e3be6c30e623}">
          <xlrd:rvb i="11010"/>
        </ext>
      </extLst>
    </bk>
    <bk>
      <extLst>
        <ext uri="{3e2802c4-a4d2-4d8b-9148-e3be6c30e623}">
          <xlrd:rvb i="11011"/>
        </ext>
      </extLst>
    </bk>
    <bk>
      <extLst>
        <ext uri="{3e2802c4-a4d2-4d8b-9148-e3be6c30e623}">
          <xlrd:rvb i="11012"/>
        </ext>
      </extLst>
    </bk>
    <bk>
      <extLst>
        <ext uri="{3e2802c4-a4d2-4d8b-9148-e3be6c30e623}">
          <xlrd:rvb i="11013"/>
        </ext>
      </extLst>
    </bk>
    <bk>
      <extLst>
        <ext uri="{3e2802c4-a4d2-4d8b-9148-e3be6c30e623}">
          <xlrd:rvb i="11014"/>
        </ext>
      </extLst>
    </bk>
    <bk>
      <extLst>
        <ext uri="{3e2802c4-a4d2-4d8b-9148-e3be6c30e623}">
          <xlrd:rvb i="11015"/>
        </ext>
      </extLst>
    </bk>
    <bk>
      <extLst>
        <ext uri="{3e2802c4-a4d2-4d8b-9148-e3be6c30e623}">
          <xlrd:rvb i="11016"/>
        </ext>
      </extLst>
    </bk>
    <bk>
      <extLst>
        <ext uri="{3e2802c4-a4d2-4d8b-9148-e3be6c30e623}">
          <xlrd:rvb i="11017"/>
        </ext>
      </extLst>
    </bk>
    <bk>
      <extLst>
        <ext uri="{3e2802c4-a4d2-4d8b-9148-e3be6c30e623}">
          <xlrd:rvb i="11018"/>
        </ext>
      </extLst>
    </bk>
    <bk>
      <extLst>
        <ext uri="{3e2802c4-a4d2-4d8b-9148-e3be6c30e623}">
          <xlrd:rvb i="11019"/>
        </ext>
      </extLst>
    </bk>
    <bk>
      <extLst>
        <ext uri="{3e2802c4-a4d2-4d8b-9148-e3be6c30e623}">
          <xlrd:rvb i="11020"/>
        </ext>
      </extLst>
    </bk>
    <bk>
      <extLst>
        <ext uri="{3e2802c4-a4d2-4d8b-9148-e3be6c30e623}">
          <xlrd:rvb i="11021"/>
        </ext>
      </extLst>
    </bk>
    <bk>
      <extLst>
        <ext uri="{3e2802c4-a4d2-4d8b-9148-e3be6c30e623}">
          <xlrd:rvb i="11022"/>
        </ext>
      </extLst>
    </bk>
    <bk>
      <extLst>
        <ext uri="{3e2802c4-a4d2-4d8b-9148-e3be6c30e623}">
          <xlrd:rvb i="11023"/>
        </ext>
      </extLst>
    </bk>
    <bk>
      <extLst>
        <ext uri="{3e2802c4-a4d2-4d8b-9148-e3be6c30e623}">
          <xlrd:rvb i="11024"/>
        </ext>
      </extLst>
    </bk>
    <bk>
      <extLst>
        <ext uri="{3e2802c4-a4d2-4d8b-9148-e3be6c30e623}">
          <xlrd:rvb i="11025"/>
        </ext>
      </extLst>
    </bk>
    <bk>
      <extLst>
        <ext uri="{3e2802c4-a4d2-4d8b-9148-e3be6c30e623}">
          <xlrd:rvb i="11026"/>
        </ext>
      </extLst>
    </bk>
    <bk>
      <extLst>
        <ext uri="{3e2802c4-a4d2-4d8b-9148-e3be6c30e623}">
          <xlrd:rvb i="11027"/>
        </ext>
      </extLst>
    </bk>
    <bk>
      <extLst>
        <ext uri="{3e2802c4-a4d2-4d8b-9148-e3be6c30e623}">
          <xlrd:rvb i="11028"/>
        </ext>
      </extLst>
    </bk>
    <bk>
      <extLst>
        <ext uri="{3e2802c4-a4d2-4d8b-9148-e3be6c30e623}">
          <xlrd:rvb i="11029"/>
        </ext>
      </extLst>
    </bk>
    <bk>
      <extLst>
        <ext uri="{3e2802c4-a4d2-4d8b-9148-e3be6c30e623}">
          <xlrd:rvb i="11030"/>
        </ext>
      </extLst>
    </bk>
    <bk>
      <extLst>
        <ext uri="{3e2802c4-a4d2-4d8b-9148-e3be6c30e623}">
          <xlrd:rvb i="11031"/>
        </ext>
      </extLst>
    </bk>
    <bk>
      <extLst>
        <ext uri="{3e2802c4-a4d2-4d8b-9148-e3be6c30e623}">
          <xlrd:rvb i="11032"/>
        </ext>
      </extLst>
    </bk>
    <bk>
      <extLst>
        <ext uri="{3e2802c4-a4d2-4d8b-9148-e3be6c30e623}">
          <xlrd:rvb i="11033"/>
        </ext>
      </extLst>
    </bk>
    <bk>
      <extLst>
        <ext uri="{3e2802c4-a4d2-4d8b-9148-e3be6c30e623}">
          <xlrd:rvb i="11034"/>
        </ext>
      </extLst>
    </bk>
    <bk>
      <extLst>
        <ext uri="{3e2802c4-a4d2-4d8b-9148-e3be6c30e623}">
          <xlrd:rvb i="11035"/>
        </ext>
      </extLst>
    </bk>
    <bk>
      <extLst>
        <ext uri="{3e2802c4-a4d2-4d8b-9148-e3be6c30e623}">
          <xlrd:rvb i="11036"/>
        </ext>
      </extLst>
    </bk>
    <bk>
      <extLst>
        <ext uri="{3e2802c4-a4d2-4d8b-9148-e3be6c30e623}">
          <xlrd:rvb i="11037"/>
        </ext>
      </extLst>
    </bk>
    <bk>
      <extLst>
        <ext uri="{3e2802c4-a4d2-4d8b-9148-e3be6c30e623}">
          <xlrd:rvb i="11038"/>
        </ext>
      </extLst>
    </bk>
    <bk>
      <extLst>
        <ext uri="{3e2802c4-a4d2-4d8b-9148-e3be6c30e623}">
          <xlrd:rvb i="11039"/>
        </ext>
      </extLst>
    </bk>
    <bk>
      <extLst>
        <ext uri="{3e2802c4-a4d2-4d8b-9148-e3be6c30e623}">
          <xlrd:rvb i="11040"/>
        </ext>
      </extLst>
    </bk>
    <bk>
      <extLst>
        <ext uri="{3e2802c4-a4d2-4d8b-9148-e3be6c30e623}">
          <xlrd:rvb i="11041"/>
        </ext>
      </extLst>
    </bk>
    <bk>
      <extLst>
        <ext uri="{3e2802c4-a4d2-4d8b-9148-e3be6c30e623}">
          <xlrd:rvb i="11042"/>
        </ext>
      </extLst>
    </bk>
    <bk>
      <extLst>
        <ext uri="{3e2802c4-a4d2-4d8b-9148-e3be6c30e623}">
          <xlrd:rvb i="11043"/>
        </ext>
      </extLst>
    </bk>
    <bk>
      <extLst>
        <ext uri="{3e2802c4-a4d2-4d8b-9148-e3be6c30e623}">
          <xlrd:rvb i="11044"/>
        </ext>
      </extLst>
    </bk>
    <bk>
      <extLst>
        <ext uri="{3e2802c4-a4d2-4d8b-9148-e3be6c30e623}">
          <xlrd:rvb i="11045"/>
        </ext>
      </extLst>
    </bk>
    <bk>
      <extLst>
        <ext uri="{3e2802c4-a4d2-4d8b-9148-e3be6c30e623}">
          <xlrd:rvb i="11046"/>
        </ext>
      </extLst>
    </bk>
    <bk>
      <extLst>
        <ext uri="{3e2802c4-a4d2-4d8b-9148-e3be6c30e623}">
          <xlrd:rvb i="11047"/>
        </ext>
      </extLst>
    </bk>
    <bk>
      <extLst>
        <ext uri="{3e2802c4-a4d2-4d8b-9148-e3be6c30e623}">
          <xlrd:rvb i="11048"/>
        </ext>
      </extLst>
    </bk>
    <bk>
      <extLst>
        <ext uri="{3e2802c4-a4d2-4d8b-9148-e3be6c30e623}">
          <xlrd:rvb i="11049"/>
        </ext>
      </extLst>
    </bk>
    <bk>
      <extLst>
        <ext uri="{3e2802c4-a4d2-4d8b-9148-e3be6c30e623}">
          <xlrd:rvb i="11050"/>
        </ext>
      </extLst>
    </bk>
    <bk>
      <extLst>
        <ext uri="{3e2802c4-a4d2-4d8b-9148-e3be6c30e623}">
          <xlrd:rvb i="11051"/>
        </ext>
      </extLst>
    </bk>
    <bk>
      <extLst>
        <ext uri="{3e2802c4-a4d2-4d8b-9148-e3be6c30e623}">
          <xlrd:rvb i="11052"/>
        </ext>
      </extLst>
    </bk>
    <bk>
      <extLst>
        <ext uri="{3e2802c4-a4d2-4d8b-9148-e3be6c30e623}">
          <xlrd:rvb i="11053"/>
        </ext>
      </extLst>
    </bk>
    <bk>
      <extLst>
        <ext uri="{3e2802c4-a4d2-4d8b-9148-e3be6c30e623}">
          <xlrd:rvb i="11054"/>
        </ext>
      </extLst>
    </bk>
    <bk>
      <extLst>
        <ext uri="{3e2802c4-a4d2-4d8b-9148-e3be6c30e623}">
          <xlrd:rvb i="11055"/>
        </ext>
      </extLst>
    </bk>
    <bk>
      <extLst>
        <ext uri="{3e2802c4-a4d2-4d8b-9148-e3be6c30e623}">
          <xlrd:rvb i="11056"/>
        </ext>
      </extLst>
    </bk>
    <bk>
      <extLst>
        <ext uri="{3e2802c4-a4d2-4d8b-9148-e3be6c30e623}">
          <xlrd:rvb i="11057"/>
        </ext>
      </extLst>
    </bk>
    <bk>
      <extLst>
        <ext uri="{3e2802c4-a4d2-4d8b-9148-e3be6c30e623}">
          <xlrd:rvb i="11058"/>
        </ext>
      </extLst>
    </bk>
    <bk>
      <extLst>
        <ext uri="{3e2802c4-a4d2-4d8b-9148-e3be6c30e623}">
          <xlrd:rvb i="11059"/>
        </ext>
      </extLst>
    </bk>
    <bk>
      <extLst>
        <ext uri="{3e2802c4-a4d2-4d8b-9148-e3be6c30e623}">
          <xlrd:rvb i="11060"/>
        </ext>
      </extLst>
    </bk>
    <bk>
      <extLst>
        <ext uri="{3e2802c4-a4d2-4d8b-9148-e3be6c30e623}">
          <xlrd:rvb i="11061"/>
        </ext>
      </extLst>
    </bk>
    <bk>
      <extLst>
        <ext uri="{3e2802c4-a4d2-4d8b-9148-e3be6c30e623}">
          <xlrd:rvb i="11062"/>
        </ext>
      </extLst>
    </bk>
    <bk>
      <extLst>
        <ext uri="{3e2802c4-a4d2-4d8b-9148-e3be6c30e623}">
          <xlrd:rvb i="11063"/>
        </ext>
      </extLst>
    </bk>
    <bk>
      <extLst>
        <ext uri="{3e2802c4-a4d2-4d8b-9148-e3be6c30e623}">
          <xlrd:rvb i="11064"/>
        </ext>
      </extLst>
    </bk>
    <bk>
      <extLst>
        <ext uri="{3e2802c4-a4d2-4d8b-9148-e3be6c30e623}">
          <xlrd:rvb i="11065"/>
        </ext>
      </extLst>
    </bk>
    <bk>
      <extLst>
        <ext uri="{3e2802c4-a4d2-4d8b-9148-e3be6c30e623}">
          <xlrd:rvb i="11066"/>
        </ext>
      </extLst>
    </bk>
    <bk>
      <extLst>
        <ext uri="{3e2802c4-a4d2-4d8b-9148-e3be6c30e623}">
          <xlrd:rvb i="11067"/>
        </ext>
      </extLst>
    </bk>
    <bk>
      <extLst>
        <ext uri="{3e2802c4-a4d2-4d8b-9148-e3be6c30e623}">
          <xlrd:rvb i="11068"/>
        </ext>
      </extLst>
    </bk>
    <bk>
      <extLst>
        <ext uri="{3e2802c4-a4d2-4d8b-9148-e3be6c30e623}">
          <xlrd:rvb i="11069"/>
        </ext>
      </extLst>
    </bk>
    <bk>
      <extLst>
        <ext uri="{3e2802c4-a4d2-4d8b-9148-e3be6c30e623}">
          <xlrd:rvb i="11070"/>
        </ext>
      </extLst>
    </bk>
    <bk>
      <extLst>
        <ext uri="{3e2802c4-a4d2-4d8b-9148-e3be6c30e623}">
          <xlrd:rvb i="11071"/>
        </ext>
      </extLst>
    </bk>
    <bk>
      <extLst>
        <ext uri="{3e2802c4-a4d2-4d8b-9148-e3be6c30e623}">
          <xlrd:rvb i="11072"/>
        </ext>
      </extLst>
    </bk>
    <bk>
      <extLst>
        <ext uri="{3e2802c4-a4d2-4d8b-9148-e3be6c30e623}">
          <xlrd:rvb i="11073"/>
        </ext>
      </extLst>
    </bk>
    <bk>
      <extLst>
        <ext uri="{3e2802c4-a4d2-4d8b-9148-e3be6c30e623}">
          <xlrd:rvb i="11074"/>
        </ext>
      </extLst>
    </bk>
    <bk>
      <extLst>
        <ext uri="{3e2802c4-a4d2-4d8b-9148-e3be6c30e623}">
          <xlrd:rvb i="11075"/>
        </ext>
      </extLst>
    </bk>
    <bk>
      <extLst>
        <ext uri="{3e2802c4-a4d2-4d8b-9148-e3be6c30e623}">
          <xlrd:rvb i="11076"/>
        </ext>
      </extLst>
    </bk>
    <bk>
      <extLst>
        <ext uri="{3e2802c4-a4d2-4d8b-9148-e3be6c30e623}">
          <xlrd:rvb i="11077"/>
        </ext>
      </extLst>
    </bk>
    <bk>
      <extLst>
        <ext uri="{3e2802c4-a4d2-4d8b-9148-e3be6c30e623}">
          <xlrd:rvb i="11078"/>
        </ext>
      </extLst>
    </bk>
    <bk>
      <extLst>
        <ext uri="{3e2802c4-a4d2-4d8b-9148-e3be6c30e623}">
          <xlrd:rvb i="11079"/>
        </ext>
      </extLst>
    </bk>
    <bk>
      <extLst>
        <ext uri="{3e2802c4-a4d2-4d8b-9148-e3be6c30e623}">
          <xlrd:rvb i="11080"/>
        </ext>
      </extLst>
    </bk>
    <bk>
      <extLst>
        <ext uri="{3e2802c4-a4d2-4d8b-9148-e3be6c30e623}">
          <xlrd:rvb i="11081"/>
        </ext>
      </extLst>
    </bk>
    <bk>
      <extLst>
        <ext uri="{3e2802c4-a4d2-4d8b-9148-e3be6c30e623}">
          <xlrd:rvb i="11082"/>
        </ext>
      </extLst>
    </bk>
    <bk>
      <extLst>
        <ext uri="{3e2802c4-a4d2-4d8b-9148-e3be6c30e623}">
          <xlrd:rvb i="11083"/>
        </ext>
      </extLst>
    </bk>
    <bk>
      <extLst>
        <ext uri="{3e2802c4-a4d2-4d8b-9148-e3be6c30e623}">
          <xlrd:rvb i="11084"/>
        </ext>
      </extLst>
    </bk>
    <bk>
      <extLst>
        <ext uri="{3e2802c4-a4d2-4d8b-9148-e3be6c30e623}">
          <xlrd:rvb i="11085"/>
        </ext>
      </extLst>
    </bk>
    <bk>
      <extLst>
        <ext uri="{3e2802c4-a4d2-4d8b-9148-e3be6c30e623}">
          <xlrd:rvb i="11086"/>
        </ext>
      </extLst>
    </bk>
    <bk>
      <extLst>
        <ext uri="{3e2802c4-a4d2-4d8b-9148-e3be6c30e623}">
          <xlrd:rvb i="11087"/>
        </ext>
      </extLst>
    </bk>
    <bk>
      <extLst>
        <ext uri="{3e2802c4-a4d2-4d8b-9148-e3be6c30e623}">
          <xlrd:rvb i="11088"/>
        </ext>
      </extLst>
    </bk>
    <bk>
      <extLst>
        <ext uri="{3e2802c4-a4d2-4d8b-9148-e3be6c30e623}">
          <xlrd:rvb i="11089"/>
        </ext>
      </extLst>
    </bk>
    <bk>
      <extLst>
        <ext uri="{3e2802c4-a4d2-4d8b-9148-e3be6c30e623}">
          <xlrd:rvb i="11090"/>
        </ext>
      </extLst>
    </bk>
    <bk>
      <extLst>
        <ext uri="{3e2802c4-a4d2-4d8b-9148-e3be6c30e623}">
          <xlrd:rvb i="11091"/>
        </ext>
      </extLst>
    </bk>
    <bk>
      <extLst>
        <ext uri="{3e2802c4-a4d2-4d8b-9148-e3be6c30e623}">
          <xlrd:rvb i="11092"/>
        </ext>
      </extLst>
    </bk>
    <bk>
      <extLst>
        <ext uri="{3e2802c4-a4d2-4d8b-9148-e3be6c30e623}">
          <xlrd:rvb i="11093"/>
        </ext>
      </extLst>
    </bk>
    <bk>
      <extLst>
        <ext uri="{3e2802c4-a4d2-4d8b-9148-e3be6c30e623}">
          <xlrd:rvb i="11094"/>
        </ext>
      </extLst>
    </bk>
    <bk>
      <extLst>
        <ext uri="{3e2802c4-a4d2-4d8b-9148-e3be6c30e623}">
          <xlrd:rvb i="11095"/>
        </ext>
      </extLst>
    </bk>
    <bk>
      <extLst>
        <ext uri="{3e2802c4-a4d2-4d8b-9148-e3be6c30e623}">
          <xlrd:rvb i="11096"/>
        </ext>
      </extLst>
    </bk>
    <bk>
      <extLst>
        <ext uri="{3e2802c4-a4d2-4d8b-9148-e3be6c30e623}">
          <xlrd:rvb i="11097"/>
        </ext>
      </extLst>
    </bk>
    <bk>
      <extLst>
        <ext uri="{3e2802c4-a4d2-4d8b-9148-e3be6c30e623}">
          <xlrd:rvb i="11098"/>
        </ext>
      </extLst>
    </bk>
    <bk>
      <extLst>
        <ext uri="{3e2802c4-a4d2-4d8b-9148-e3be6c30e623}">
          <xlrd:rvb i="11099"/>
        </ext>
      </extLst>
    </bk>
    <bk>
      <extLst>
        <ext uri="{3e2802c4-a4d2-4d8b-9148-e3be6c30e623}">
          <xlrd:rvb i="11100"/>
        </ext>
      </extLst>
    </bk>
    <bk>
      <extLst>
        <ext uri="{3e2802c4-a4d2-4d8b-9148-e3be6c30e623}">
          <xlrd:rvb i="11101"/>
        </ext>
      </extLst>
    </bk>
    <bk>
      <extLst>
        <ext uri="{3e2802c4-a4d2-4d8b-9148-e3be6c30e623}">
          <xlrd:rvb i="11102"/>
        </ext>
      </extLst>
    </bk>
    <bk>
      <extLst>
        <ext uri="{3e2802c4-a4d2-4d8b-9148-e3be6c30e623}">
          <xlrd:rvb i="11103"/>
        </ext>
      </extLst>
    </bk>
    <bk>
      <extLst>
        <ext uri="{3e2802c4-a4d2-4d8b-9148-e3be6c30e623}">
          <xlrd:rvb i="11104"/>
        </ext>
      </extLst>
    </bk>
    <bk>
      <extLst>
        <ext uri="{3e2802c4-a4d2-4d8b-9148-e3be6c30e623}">
          <xlrd:rvb i="11105"/>
        </ext>
      </extLst>
    </bk>
    <bk>
      <extLst>
        <ext uri="{3e2802c4-a4d2-4d8b-9148-e3be6c30e623}">
          <xlrd:rvb i="11106"/>
        </ext>
      </extLst>
    </bk>
    <bk>
      <extLst>
        <ext uri="{3e2802c4-a4d2-4d8b-9148-e3be6c30e623}">
          <xlrd:rvb i="11107"/>
        </ext>
      </extLst>
    </bk>
    <bk>
      <extLst>
        <ext uri="{3e2802c4-a4d2-4d8b-9148-e3be6c30e623}">
          <xlrd:rvb i="11108"/>
        </ext>
      </extLst>
    </bk>
    <bk>
      <extLst>
        <ext uri="{3e2802c4-a4d2-4d8b-9148-e3be6c30e623}">
          <xlrd:rvb i="11109"/>
        </ext>
      </extLst>
    </bk>
    <bk>
      <extLst>
        <ext uri="{3e2802c4-a4d2-4d8b-9148-e3be6c30e623}">
          <xlrd:rvb i="11110"/>
        </ext>
      </extLst>
    </bk>
    <bk>
      <extLst>
        <ext uri="{3e2802c4-a4d2-4d8b-9148-e3be6c30e623}">
          <xlrd:rvb i="11111"/>
        </ext>
      </extLst>
    </bk>
    <bk>
      <extLst>
        <ext uri="{3e2802c4-a4d2-4d8b-9148-e3be6c30e623}">
          <xlrd:rvb i="11112"/>
        </ext>
      </extLst>
    </bk>
    <bk>
      <extLst>
        <ext uri="{3e2802c4-a4d2-4d8b-9148-e3be6c30e623}">
          <xlrd:rvb i="11113"/>
        </ext>
      </extLst>
    </bk>
    <bk>
      <extLst>
        <ext uri="{3e2802c4-a4d2-4d8b-9148-e3be6c30e623}">
          <xlrd:rvb i="11114"/>
        </ext>
      </extLst>
    </bk>
    <bk>
      <extLst>
        <ext uri="{3e2802c4-a4d2-4d8b-9148-e3be6c30e623}">
          <xlrd:rvb i="11115"/>
        </ext>
      </extLst>
    </bk>
    <bk>
      <extLst>
        <ext uri="{3e2802c4-a4d2-4d8b-9148-e3be6c30e623}">
          <xlrd:rvb i="11116"/>
        </ext>
      </extLst>
    </bk>
    <bk>
      <extLst>
        <ext uri="{3e2802c4-a4d2-4d8b-9148-e3be6c30e623}">
          <xlrd:rvb i="11117"/>
        </ext>
      </extLst>
    </bk>
    <bk>
      <extLst>
        <ext uri="{3e2802c4-a4d2-4d8b-9148-e3be6c30e623}">
          <xlrd:rvb i="11118"/>
        </ext>
      </extLst>
    </bk>
    <bk>
      <extLst>
        <ext uri="{3e2802c4-a4d2-4d8b-9148-e3be6c30e623}">
          <xlrd:rvb i="11119"/>
        </ext>
      </extLst>
    </bk>
    <bk>
      <extLst>
        <ext uri="{3e2802c4-a4d2-4d8b-9148-e3be6c30e623}">
          <xlrd:rvb i="11120"/>
        </ext>
      </extLst>
    </bk>
    <bk>
      <extLst>
        <ext uri="{3e2802c4-a4d2-4d8b-9148-e3be6c30e623}">
          <xlrd:rvb i="11121"/>
        </ext>
      </extLst>
    </bk>
    <bk>
      <extLst>
        <ext uri="{3e2802c4-a4d2-4d8b-9148-e3be6c30e623}">
          <xlrd:rvb i="11122"/>
        </ext>
      </extLst>
    </bk>
    <bk>
      <extLst>
        <ext uri="{3e2802c4-a4d2-4d8b-9148-e3be6c30e623}">
          <xlrd:rvb i="11123"/>
        </ext>
      </extLst>
    </bk>
    <bk>
      <extLst>
        <ext uri="{3e2802c4-a4d2-4d8b-9148-e3be6c30e623}">
          <xlrd:rvb i="11124"/>
        </ext>
      </extLst>
    </bk>
    <bk>
      <extLst>
        <ext uri="{3e2802c4-a4d2-4d8b-9148-e3be6c30e623}">
          <xlrd:rvb i="11125"/>
        </ext>
      </extLst>
    </bk>
    <bk>
      <extLst>
        <ext uri="{3e2802c4-a4d2-4d8b-9148-e3be6c30e623}">
          <xlrd:rvb i="11126"/>
        </ext>
      </extLst>
    </bk>
    <bk>
      <extLst>
        <ext uri="{3e2802c4-a4d2-4d8b-9148-e3be6c30e623}">
          <xlrd:rvb i="11127"/>
        </ext>
      </extLst>
    </bk>
    <bk>
      <extLst>
        <ext uri="{3e2802c4-a4d2-4d8b-9148-e3be6c30e623}">
          <xlrd:rvb i="11128"/>
        </ext>
      </extLst>
    </bk>
    <bk>
      <extLst>
        <ext uri="{3e2802c4-a4d2-4d8b-9148-e3be6c30e623}">
          <xlrd:rvb i="11129"/>
        </ext>
      </extLst>
    </bk>
    <bk>
      <extLst>
        <ext uri="{3e2802c4-a4d2-4d8b-9148-e3be6c30e623}">
          <xlrd:rvb i="11130"/>
        </ext>
      </extLst>
    </bk>
    <bk>
      <extLst>
        <ext uri="{3e2802c4-a4d2-4d8b-9148-e3be6c30e623}">
          <xlrd:rvb i="11131"/>
        </ext>
      </extLst>
    </bk>
    <bk>
      <extLst>
        <ext uri="{3e2802c4-a4d2-4d8b-9148-e3be6c30e623}">
          <xlrd:rvb i="11132"/>
        </ext>
      </extLst>
    </bk>
    <bk>
      <extLst>
        <ext uri="{3e2802c4-a4d2-4d8b-9148-e3be6c30e623}">
          <xlrd:rvb i="11133"/>
        </ext>
      </extLst>
    </bk>
    <bk>
      <extLst>
        <ext uri="{3e2802c4-a4d2-4d8b-9148-e3be6c30e623}">
          <xlrd:rvb i="11134"/>
        </ext>
      </extLst>
    </bk>
    <bk>
      <extLst>
        <ext uri="{3e2802c4-a4d2-4d8b-9148-e3be6c30e623}">
          <xlrd:rvb i="11135"/>
        </ext>
      </extLst>
    </bk>
    <bk>
      <extLst>
        <ext uri="{3e2802c4-a4d2-4d8b-9148-e3be6c30e623}">
          <xlrd:rvb i="11136"/>
        </ext>
      </extLst>
    </bk>
    <bk>
      <extLst>
        <ext uri="{3e2802c4-a4d2-4d8b-9148-e3be6c30e623}">
          <xlrd:rvb i="11137"/>
        </ext>
      </extLst>
    </bk>
    <bk>
      <extLst>
        <ext uri="{3e2802c4-a4d2-4d8b-9148-e3be6c30e623}">
          <xlrd:rvb i="11138"/>
        </ext>
      </extLst>
    </bk>
    <bk>
      <extLst>
        <ext uri="{3e2802c4-a4d2-4d8b-9148-e3be6c30e623}">
          <xlrd:rvb i="11139"/>
        </ext>
      </extLst>
    </bk>
    <bk>
      <extLst>
        <ext uri="{3e2802c4-a4d2-4d8b-9148-e3be6c30e623}">
          <xlrd:rvb i="11140"/>
        </ext>
      </extLst>
    </bk>
    <bk>
      <extLst>
        <ext uri="{3e2802c4-a4d2-4d8b-9148-e3be6c30e623}">
          <xlrd:rvb i="11141"/>
        </ext>
      </extLst>
    </bk>
    <bk>
      <extLst>
        <ext uri="{3e2802c4-a4d2-4d8b-9148-e3be6c30e623}">
          <xlrd:rvb i="11142"/>
        </ext>
      </extLst>
    </bk>
    <bk>
      <extLst>
        <ext uri="{3e2802c4-a4d2-4d8b-9148-e3be6c30e623}">
          <xlrd:rvb i="11143"/>
        </ext>
      </extLst>
    </bk>
    <bk>
      <extLst>
        <ext uri="{3e2802c4-a4d2-4d8b-9148-e3be6c30e623}">
          <xlrd:rvb i="11144"/>
        </ext>
      </extLst>
    </bk>
    <bk>
      <extLst>
        <ext uri="{3e2802c4-a4d2-4d8b-9148-e3be6c30e623}">
          <xlrd:rvb i="11145"/>
        </ext>
      </extLst>
    </bk>
    <bk>
      <extLst>
        <ext uri="{3e2802c4-a4d2-4d8b-9148-e3be6c30e623}">
          <xlrd:rvb i="11146"/>
        </ext>
      </extLst>
    </bk>
    <bk>
      <extLst>
        <ext uri="{3e2802c4-a4d2-4d8b-9148-e3be6c30e623}">
          <xlrd:rvb i="11147"/>
        </ext>
      </extLst>
    </bk>
    <bk>
      <extLst>
        <ext uri="{3e2802c4-a4d2-4d8b-9148-e3be6c30e623}">
          <xlrd:rvb i="11148"/>
        </ext>
      </extLst>
    </bk>
    <bk>
      <extLst>
        <ext uri="{3e2802c4-a4d2-4d8b-9148-e3be6c30e623}">
          <xlrd:rvb i="11149"/>
        </ext>
      </extLst>
    </bk>
    <bk>
      <extLst>
        <ext uri="{3e2802c4-a4d2-4d8b-9148-e3be6c30e623}">
          <xlrd:rvb i="11150"/>
        </ext>
      </extLst>
    </bk>
    <bk>
      <extLst>
        <ext uri="{3e2802c4-a4d2-4d8b-9148-e3be6c30e623}">
          <xlrd:rvb i="11151"/>
        </ext>
      </extLst>
    </bk>
    <bk>
      <extLst>
        <ext uri="{3e2802c4-a4d2-4d8b-9148-e3be6c30e623}">
          <xlrd:rvb i="11152"/>
        </ext>
      </extLst>
    </bk>
    <bk>
      <extLst>
        <ext uri="{3e2802c4-a4d2-4d8b-9148-e3be6c30e623}">
          <xlrd:rvb i="11153"/>
        </ext>
      </extLst>
    </bk>
    <bk>
      <extLst>
        <ext uri="{3e2802c4-a4d2-4d8b-9148-e3be6c30e623}">
          <xlrd:rvb i="11154"/>
        </ext>
      </extLst>
    </bk>
    <bk>
      <extLst>
        <ext uri="{3e2802c4-a4d2-4d8b-9148-e3be6c30e623}">
          <xlrd:rvb i="11155"/>
        </ext>
      </extLst>
    </bk>
    <bk>
      <extLst>
        <ext uri="{3e2802c4-a4d2-4d8b-9148-e3be6c30e623}">
          <xlrd:rvb i="11156"/>
        </ext>
      </extLst>
    </bk>
    <bk>
      <extLst>
        <ext uri="{3e2802c4-a4d2-4d8b-9148-e3be6c30e623}">
          <xlrd:rvb i="11157"/>
        </ext>
      </extLst>
    </bk>
    <bk>
      <extLst>
        <ext uri="{3e2802c4-a4d2-4d8b-9148-e3be6c30e623}">
          <xlrd:rvb i="11158"/>
        </ext>
      </extLst>
    </bk>
    <bk>
      <extLst>
        <ext uri="{3e2802c4-a4d2-4d8b-9148-e3be6c30e623}">
          <xlrd:rvb i="11159"/>
        </ext>
      </extLst>
    </bk>
    <bk>
      <extLst>
        <ext uri="{3e2802c4-a4d2-4d8b-9148-e3be6c30e623}">
          <xlrd:rvb i="11160"/>
        </ext>
      </extLst>
    </bk>
    <bk>
      <extLst>
        <ext uri="{3e2802c4-a4d2-4d8b-9148-e3be6c30e623}">
          <xlrd:rvb i="11161"/>
        </ext>
      </extLst>
    </bk>
    <bk>
      <extLst>
        <ext uri="{3e2802c4-a4d2-4d8b-9148-e3be6c30e623}">
          <xlrd:rvb i="11162"/>
        </ext>
      </extLst>
    </bk>
    <bk>
      <extLst>
        <ext uri="{3e2802c4-a4d2-4d8b-9148-e3be6c30e623}">
          <xlrd:rvb i="11163"/>
        </ext>
      </extLst>
    </bk>
    <bk>
      <extLst>
        <ext uri="{3e2802c4-a4d2-4d8b-9148-e3be6c30e623}">
          <xlrd:rvb i="11164"/>
        </ext>
      </extLst>
    </bk>
    <bk>
      <extLst>
        <ext uri="{3e2802c4-a4d2-4d8b-9148-e3be6c30e623}">
          <xlrd:rvb i="11165"/>
        </ext>
      </extLst>
    </bk>
    <bk>
      <extLst>
        <ext uri="{3e2802c4-a4d2-4d8b-9148-e3be6c30e623}">
          <xlrd:rvb i="11166"/>
        </ext>
      </extLst>
    </bk>
    <bk>
      <extLst>
        <ext uri="{3e2802c4-a4d2-4d8b-9148-e3be6c30e623}">
          <xlrd:rvb i="11167"/>
        </ext>
      </extLst>
    </bk>
    <bk>
      <extLst>
        <ext uri="{3e2802c4-a4d2-4d8b-9148-e3be6c30e623}">
          <xlrd:rvb i="11168"/>
        </ext>
      </extLst>
    </bk>
    <bk>
      <extLst>
        <ext uri="{3e2802c4-a4d2-4d8b-9148-e3be6c30e623}">
          <xlrd:rvb i="11169"/>
        </ext>
      </extLst>
    </bk>
    <bk>
      <extLst>
        <ext uri="{3e2802c4-a4d2-4d8b-9148-e3be6c30e623}">
          <xlrd:rvb i="11170"/>
        </ext>
      </extLst>
    </bk>
    <bk>
      <extLst>
        <ext uri="{3e2802c4-a4d2-4d8b-9148-e3be6c30e623}">
          <xlrd:rvb i="11171"/>
        </ext>
      </extLst>
    </bk>
    <bk>
      <extLst>
        <ext uri="{3e2802c4-a4d2-4d8b-9148-e3be6c30e623}">
          <xlrd:rvb i="11172"/>
        </ext>
      </extLst>
    </bk>
    <bk>
      <extLst>
        <ext uri="{3e2802c4-a4d2-4d8b-9148-e3be6c30e623}">
          <xlrd:rvb i="11173"/>
        </ext>
      </extLst>
    </bk>
    <bk>
      <extLst>
        <ext uri="{3e2802c4-a4d2-4d8b-9148-e3be6c30e623}">
          <xlrd:rvb i="11174"/>
        </ext>
      </extLst>
    </bk>
    <bk>
      <extLst>
        <ext uri="{3e2802c4-a4d2-4d8b-9148-e3be6c30e623}">
          <xlrd:rvb i="11175"/>
        </ext>
      </extLst>
    </bk>
    <bk>
      <extLst>
        <ext uri="{3e2802c4-a4d2-4d8b-9148-e3be6c30e623}">
          <xlrd:rvb i="11176"/>
        </ext>
      </extLst>
    </bk>
    <bk>
      <extLst>
        <ext uri="{3e2802c4-a4d2-4d8b-9148-e3be6c30e623}">
          <xlrd:rvb i="11177"/>
        </ext>
      </extLst>
    </bk>
    <bk>
      <extLst>
        <ext uri="{3e2802c4-a4d2-4d8b-9148-e3be6c30e623}">
          <xlrd:rvb i="11178"/>
        </ext>
      </extLst>
    </bk>
    <bk>
      <extLst>
        <ext uri="{3e2802c4-a4d2-4d8b-9148-e3be6c30e623}">
          <xlrd:rvb i="11179"/>
        </ext>
      </extLst>
    </bk>
    <bk>
      <extLst>
        <ext uri="{3e2802c4-a4d2-4d8b-9148-e3be6c30e623}">
          <xlrd:rvb i="11180"/>
        </ext>
      </extLst>
    </bk>
    <bk>
      <extLst>
        <ext uri="{3e2802c4-a4d2-4d8b-9148-e3be6c30e623}">
          <xlrd:rvb i="11181"/>
        </ext>
      </extLst>
    </bk>
    <bk>
      <extLst>
        <ext uri="{3e2802c4-a4d2-4d8b-9148-e3be6c30e623}">
          <xlrd:rvb i="11182"/>
        </ext>
      </extLst>
    </bk>
    <bk>
      <extLst>
        <ext uri="{3e2802c4-a4d2-4d8b-9148-e3be6c30e623}">
          <xlrd:rvb i="11183"/>
        </ext>
      </extLst>
    </bk>
    <bk>
      <extLst>
        <ext uri="{3e2802c4-a4d2-4d8b-9148-e3be6c30e623}">
          <xlrd:rvb i="11184"/>
        </ext>
      </extLst>
    </bk>
    <bk>
      <extLst>
        <ext uri="{3e2802c4-a4d2-4d8b-9148-e3be6c30e623}">
          <xlrd:rvb i="11185"/>
        </ext>
      </extLst>
    </bk>
    <bk>
      <extLst>
        <ext uri="{3e2802c4-a4d2-4d8b-9148-e3be6c30e623}">
          <xlrd:rvb i="11186"/>
        </ext>
      </extLst>
    </bk>
  </futureMetadata>
  <cellMetadata count="1">
    <bk>
      <rc t="1" v="0"/>
    </bk>
  </cellMetadata>
  <valueMetadata count="1107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bk>
      <rc t="2" v="7027"/>
    </bk>
    <bk>
      <rc t="2" v="7028"/>
    </bk>
    <bk>
      <rc t="2" v="7029"/>
    </bk>
    <bk>
      <rc t="2" v="7030"/>
    </bk>
    <bk>
      <rc t="2" v="7031"/>
    </bk>
    <bk>
      <rc t="2" v="7032"/>
    </bk>
    <bk>
      <rc t="2" v="7033"/>
    </bk>
    <bk>
      <rc t="2" v="7034"/>
    </bk>
    <bk>
      <rc t="2" v="7035"/>
    </bk>
    <bk>
      <rc t="2" v="7036"/>
    </bk>
    <bk>
      <rc t="2" v="7037"/>
    </bk>
    <bk>
      <rc t="2" v="7038"/>
    </bk>
    <bk>
      <rc t="2" v="7039"/>
    </bk>
    <bk>
      <rc t="2" v="7040"/>
    </bk>
    <bk>
      <rc t="2" v="7041"/>
    </bk>
    <bk>
      <rc t="2" v="7042"/>
    </bk>
    <bk>
      <rc t="2" v="7043"/>
    </bk>
    <bk>
      <rc t="2" v="7044"/>
    </bk>
    <bk>
      <rc t="2" v="7045"/>
    </bk>
    <bk>
      <rc t="2" v="7046"/>
    </bk>
    <bk>
      <rc t="2" v="7047"/>
    </bk>
    <bk>
      <rc t="2" v="7048"/>
    </bk>
    <bk>
      <rc t="2" v="7049"/>
    </bk>
    <bk>
      <rc t="2" v="7050"/>
    </bk>
    <bk>
      <rc t="2" v="7051"/>
    </bk>
    <bk>
      <rc t="2" v="7052"/>
    </bk>
    <bk>
      <rc t="2" v="7053"/>
    </bk>
    <bk>
      <rc t="2" v="7054"/>
    </bk>
    <bk>
      <rc t="2" v="7055"/>
    </bk>
    <bk>
      <rc t="2" v="7056"/>
    </bk>
    <bk>
      <rc t="2" v="7057"/>
    </bk>
    <bk>
      <rc t="2" v="7058"/>
    </bk>
    <bk>
      <rc t="2" v="7059"/>
    </bk>
    <bk>
      <rc t="2" v="7060"/>
    </bk>
    <bk>
      <rc t="2" v="7061"/>
    </bk>
    <bk>
      <rc t="2" v="7062"/>
    </bk>
    <bk>
      <rc t="2" v="7063"/>
    </bk>
    <bk>
      <rc t="2" v="7064"/>
    </bk>
    <bk>
      <rc t="2" v="7065"/>
    </bk>
    <bk>
      <rc t="2" v="7066"/>
    </bk>
    <bk>
      <rc t="2" v="7067"/>
    </bk>
    <bk>
      <rc t="2" v="7068"/>
    </bk>
    <bk>
      <rc t="2" v="7069"/>
    </bk>
    <bk>
      <rc t="2" v="7070"/>
    </bk>
    <bk>
      <rc t="2" v="7071"/>
    </bk>
    <bk>
      <rc t="2" v="7072"/>
    </bk>
    <bk>
      <rc t="2" v="7073"/>
    </bk>
    <bk>
      <rc t="2" v="7074"/>
    </bk>
    <bk>
      <rc t="2" v="7075"/>
    </bk>
    <bk>
      <rc t="2" v="7076"/>
    </bk>
    <bk>
      <rc t="2" v="7077"/>
    </bk>
    <bk>
      <rc t="2" v="7078"/>
    </bk>
    <bk>
      <rc t="2" v="7079"/>
    </bk>
    <bk>
      <rc t="2" v="7080"/>
    </bk>
    <bk>
      <rc t="2" v="7081"/>
    </bk>
    <bk>
      <rc t="2" v="7082"/>
    </bk>
    <bk>
      <rc t="2" v="7083"/>
    </bk>
    <bk>
      <rc t="2" v="7084"/>
    </bk>
    <bk>
      <rc t="2" v="7085"/>
    </bk>
    <bk>
      <rc t="2" v="7086"/>
    </bk>
    <bk>
      <rc t="2" v="7087"/>
    </bk>
    <bk>
      <rc t="2" v="7088"/>
    </bk>
    <bk>
      <rc t="2" v="7089"/>
    </bk>
    <bk>
      <rc t="2" v="7090"/>
    </bk>
    <bk>
      <rc t="2" v="7091"/>
    </bk>
    <bk>
      <rc t="2" v="7092"/>
    </bk>
    <bk>
      <rc t="2" v="7093"/>
    </bk>
    <bk>
      <rc t="2" v="7094"/>
    </bk>
    <bk>
      <rc t="2" v="7095"/>
    </bk>
    <bk>
      <rc t="2" v="7096"/>
    </bk>
    <bk>
      <rc t="2" v="7097"/>
    </bk>
    <bk>
      <rc t="2" v="7098"/>
    </bk>
    <bk>
      <rc t="2" v="7099"/>
    </bk>
    <bk>
      <rc t="2" v="7100"/>
    </bk>
    <bk>
      <rc t="2" v="7101"/>
    </bk>
    <bk>
      <rc t="2" v="7102"/>
    </bk>
    <bk>
      <rc t="2" v="7103"/>
    </bk>
    <bk>
      <rc t="2" v="7104"/>
    </bk>
    <bk>
      <rc t="2" v="7105"/>
    </bk>
    <bk>
      <rc t="2" v="7106"/>
    </bk>
    <bk>
      <rc t="2" v="7107"/>
    </bk>
    <bk>
      <rc t="2" v="7108"/>
    </bk>
    <bk>
      <rc t="2" v="7109"/>
    </bk>
    <bk>
      <rc t="2" v="7110"/>
    </bk>
    <bk>
      <rc t="2" v="7111"/>
    </bk>
    <bk>
      <rc t="2" v="7112"/>
    </bk>
    <bk>
      <rc t="2" v="7113"/>
    </bk>
    <bk>
      <rc t="2" v="7114"/>
    </bk>
    <bk>
      <rc t="2" v="7115"/>
    </bk>
    <bk>
      <rc t="2" v="7116"/>
    </bk>
    <bk>
      <rc t="2" v="7117"/>
    </bk>
    <bk>
      <rc t="2" v="7118"/>
    </bk>
    <bk>
      <rc t="2" v="7119"/>
    </bk>
    <bk>
      <rc t="2" v="7120"/>
    </bk>
    <bk>
      <rc t="2" v="7121"/>
    </bk>
    <bk>
      <rc t="2" v="7122"/>
    </bk>
    <bk>
      <rc t="2" v="7123"/>
    </bk>
    <bk>
      <rc t="2" v="7124"/>
    </bk>
    <bk>
      <rc t="2" v="7125"/>
    </bk>
    <bk>
      <rc t="2" v="7126"/>
    </bk>
    <bk>
      <rc t="2" v="7127"/>
    </bk>
    <bk>
      <rc t="2" v="7128"/>
    </bk>
    <bk>
      <rc t="2" v="7129"/>
    </bk>
    <bk>
      <rc t="2" v="7130"/>
    </bk>
    <bk>
      <rc t="2" v="7131"/>
    </bk>
    <bk>
      <rc t="2" v="7132"/>
    </bk>
    <bk>
      <rc t="2" v="7133"/>
    </bk>
    <bk>
      <rc t="2" v="7134"/>
    </bk>
    <bk>
      <rc t="2" v="7135"/>
    </bk>
    <bk>
      <rc t="2" v="7136"/>
    </bk>
    <bk>
      <rc t="2" v="7137"/>
    </bk>
    <bk>
      <rc t="2" v="7138"/>
    </bk>
    <bk>
      <rc t="2" v="7139"/>
    </bk>
    <bk>
      <rc t="2" v="7140"/>
    </bk>
    <bk>
      <rc t="2" v="7141"/>
    </bk>
    <bk>
      <rc t="2" v="7142"/>
    </bk>
    <bk>
      <rc t="2" v="7143"/>
    </bk>
    <bk>
      <rc t="2" v="7144"/>
    </bk>
    <bk>
      <rc t="2" v="7145"/>
    </bk>
    <bk>
      <rc t="2" v="7146"/>
    </bk>
    <bk>
      <rc t="2" v="7147"/>
    </bk>
    <bk>
      <rc t="2" v="7148"/>
    </bk>
    <bk>
      <rc t="2" v="7149"/>
    </bk>
    <bk>
      <rc t="2" v="7150"/>
    </bk>
    <bk>
      <rc t="2" v="7151"/>
    </bk>
    <bk>
      <rc t="2" v="7152"/>
    </bk>
    <bk>
      <rc t="2" v="7153"/>
    </bk>
    <bk>
      <rc t="2" v="7154"/>
    </bk>
    <bk>
      <rc t="2" v="7155"/>
    </bk>
    <bk>
      <rc t="2" v="7156"/>
    </bk>
    <bk>
      <rc t="2" v="7157"/>
    </bk>
    <bk>
      <rc t="2" v="7158"/>
    </bk>
    <bk>
      <rc t="2" v="7159"/>
    </bk>
    <bk>
      <rc t="2" v="7160"/>
    </bk>
    <bk>
      <rc t="2" v="7161"/>
    </bk>
    <bk>
      <rc t="2" v="7162"/>
    </bk>
    <bk>
      <rc t="2" v="7163"/>
    </bk>
    <bk>
      <rc t="2" v="7164"/>
    </bk>
    <bk>
      <rc t="2" v="7165"/>
    </bk>
    <bk>
      <rc t="2" v="7166"/>
    </bk>
    <bk>
      <rc t="2" v="7167"/>
    </bk>
    <bk>
      <rc t="2" v="7168"/>
    </bk>
    <bk>
      <rc t="2" v="7169"/>
    </bk>
    <bk>
      <rc t="2" v="7170"/>
    </bk>
    <bk>
      <rc t="2" v="7171"/>
    </bk>
    <bk>
      <rc t="2" v="7172"/>
    </bk>
    <bk>
      <rc t="2" v="7173"/>
    </bk>
    <bk>
      <rc t="2" v="7174"/>
    </bk>
    <bk>
      <rc t="2" v="7175"/>
    </bk>
    <bk>
      <rc t="2" v="7176"/>
    </bk>
    <bk>
      <rc t="2" v="7177"/>
    </bk>
    <bk>
      <rc t="2" v="7178"/>
    </bk>
    <bk>
      <rc t="2" v="7179"/>
    </bk>
    <bk>
      <rc t="2" v="7180"/>
    </bk>
    <bk>
      <rc t="2" v="7181"/>
    </bk>
    <bk>
      <rc t="2" v="7182"/>
    </bk>
    <bk>
      <rc t="2" v="7183"/>
    </bk>
    <bk>
      <rc t="2" v="7184"/>
    </bk>
    <bk>
      <rc t="2" v="7185"/>
    </bk>
    <bk>
      <rc t="2" v="7186"/>
    </bk>
    <bk>
      <rc t="2" v="7187"/>
    </bk>
    <bk>
      <rc t="2" v="7188"/>
    </bk>
    <bk>
      <rc t="2" v="7189"/>
    </bk>
    <bk>
      <rc t="2" v="7190"/>
    </bk>
    <bk>
      <rc t="2" v="7191"/>
    </bk>
    <bk>
      <rc t="2" v="7192"/>
    </bk>
    <bk>
      <rc t="2" v="7193"/>
    </bk>
    <bk>
      <rc t="2" v="7194"/>
    </bk>
    <bk>
      <rc t="2" v="7195"/>
    </bk>
    <bk>
      <rc t="2" v="7196"/>
    </bk>
    <bk>
      <rc t="2" v="7197"/>
    </bk>
    <bk>
      <rc t="2" v="7198"/>
    </bk>
    <bk>
      <rc t="2" v="7199"/>
    </bk>
    <bk>
      <rc t="2" v="7200"/>
    </bk>
    <bk>
      <rc t="2" v="7201"/>
    </bk>
    <bk>
      <rc t="2" v="7202"/>
    </bk>
    <bk>
      <rc t="2" v="7203"/>
    </bk>
    <bk>
      <rc t="2" v="7204"/>
    </bk>
    <bk>
      <rc t="2" v="7205"/>
    </bk>
    <bk>
      <rc t="2" v="7206"/>
    </bk>
    <bk>
      <rc t="2" v="7207"/>
    </bk>
    <bk>
      <rc t="2" v="7208"/>
    </bk>
    <bk>
      <rc t="2" v="7209"/>
    </bk>
    <bk>
      <rc t="2" v="7210"/>
    </bk>
    <bk>
      <rc t="2" v="7211"/>
    </bk>
    <bk>
      <rc t="2" v="7212"/>
    </bk>
    <bk>
      <rc t="2" v="7213"/>
    </bk>
    <bk>
      <rc t="2" v="7214"/>
    </bk>
    <bk>
      <rc t="2" v="7215"/>
    </bk>
    <bk>
      <rc t="2" v="7216"/>
    </bk>
    <bk>
      <rc t="2" v="7217"/>
    </bk>
    <bk>
      <rc t="2" v="7218"/>
    </bk>
    <bk>
      <rc t="2" v="7219"/>
    </bk>
    <bk>
      <rc t="2" v="7220"/>
    </bk>
    <bk>
      <rc t="2" v="7221"/>
    </bk>
    <bk>
      <rc t="2" v="7222"/>
    </bk>
    <bk>
      <rc t="2" v="7223"/>
    </bk>
    <bk>
      <rc t="2" v="7224"/>
    </bk>
    <bk>
      <rc t="2" v="7225"/>
    </bk>
    <bk>
      <rc t="2" v="7226"/>
    </bk>
    <bk>
      <rc t="2" v="7227"/>
    </bk>
    <bk>
      <rc t="2" v="7228"/>
    </bk>
    <bk>
      <rc t="2" v="7229"/>
    </bk>
    <bk>
      <rc t="2" v="7230"/>
    </bk>
    <bk>
      <rc t="2" v="7231"/>
    </bk>
    <bk>
      <rc t="2" v="7232"/>
    </bk>
    <bk>
      <rc t="2" v="7233"/>
    </bk>
    <bk>
      <rc t="2" v="7234"/>
    </bk>
    <bk>
      <rc t="2" v="7235"/>
    </bk>
    <bk>
      <rc t="2" v="7236"/>
    </bk>
    <bk>
      <rc t="2" v="7237"/>
    </bk>
    <bk>
      <rc t="2" v="7238"/>
    </bk>
    <bk>
      <rc t="2" v="7239"/>
    </bk>
    <bk>
      <rc t="2" v="7240"/>
    </bk>
    <bk>
      <rc t="2" v="7241"/>
    </bk>
    <bk>
      <rc t="2" v="7242"/>
    </bk>
    <bk>
      <rc t="2" v="7243"/>
    </bk>
    <bk>
      <rc t="2" v="7244"/>
    </bk>
    <bk>
      <rc t="2" v="7245"/>
    </bk>
    <bk>
      <rc t="2" v="7246"/>
    </bk>
    <bk>
      <rc t="2" v="7247"/>
    </bk>
    <bk>
      <rc t="2" v="7248"/>
    </bk>
    <bk>
      <rc t="2" v="7249"/>
    </bk>
    <bk>
      <rc t="2" v="7250"/>
    </bk>
    <bk>
      <rc t="2" v="7251"/>
    </bk>
    <bk>
      <rc t="2" v="7252"/>
    </bk>
    <bk>
      <rc t="2" v="7253"/>
    </bk>
    <bk>
      <rc t="2" v="7254"/>
    </bk>
    <bk>
      <rc t="2" v="7255"/>
    </bk>
    <bk>
      <rc t="2" v="7256"/>
    </bk>
    <bk>
      <rc t="2" v="7257"/>
    </bk>
    <bk>
      <rc t="2" v="7258"/>
    </bk>
    <bk>
      <rc t="2" v="7259"/>
    </bk>
    <bk>
      <rc t="2" v="7260"/>
    </bk>
    <bk>
      <rc t="2" v="7261"/>
    </bk>
    <bk>
      <rc t="2" v="7262"/>
    </bk>
    <bk>
      <rc t="2" v="7263"/>
    </bk>
    <bk>
      <rc t="2" v="7264"/>
    </bk>
    <bk>
      <rc t="2" v="7265"/>
    </bk>
    <bk>
      <rc t="2" v="7266"/>
    </bk>
    <bk>
      <rc t="2" v="7267"/>
    </bk>
    <bk>
      <rc t="2" v="7268"/>
    </bk>
    <bk>
      <rc t="2" v="7269"/>
    </bk>
    <bk>
      <rc t="2" v="7270"/>
    </bk>
    <bk>
      <rc t="2" v="7271"/>
    </bk>
    <bk>
      <rc t="2" v="7272"/>
    </bk>
    <bk>
      <rc t="2" v="7273"/>
    </bk>
    <bk>
      <rc t="2" v="7274"/>
    </bk>
    <bk>
      <rc t="2" v="7275"/>
    </bk>
    <bk>
      <rc t="2" v="7276"/>
    </bk>
    <bk>
      <rc t="2" v="7277"/>
    </bk>
    <bk>
      <rc t="2" v="7278"/>
    </bk>
    <bk>
      <rc t="2" v="7279"/>
    </bk>
    <bk>
      <rc t="2" v="7280"/>
    </bk>
    <bk>
      <rc t="2" v="7281"/>
    </bk>
    <bk>
      <rc t="2" v="7282"/>
    </bk>
    <bk>
      <rc t="2" v="7283"/>
    </bk>
    <bk>
      <rc t="2" v="7284"/>
    </bk>
    <bk>
      <rc t="2" v="7285"/>
    </bk>
    <bk>
      <rc t="2" v="7286"/>
    </bk>
    <bk>
      <rc t="2" v="7287"/>
    </bk>
    <bk>
      <rc t="2" v="7288"/>
    </bk>
    <bk>
      <rc t="2" v="7289"/>
    </bk>
    <bk>
      <rc t="2" v="7290"/>
    </bk>
    <bk>
      <rc t="2" v="7291"/>
    </bk>
    <bk>
      <rc t="2" v="7292"/>
    </bk>
    <bk>
      <rc t="2" v="7293"/>
    </bk>
    <bk>
      <rc t="2" v="7294"/>
    </bk>
    <bk>
      <rc t="2" v="7295"/>
    </bk>
    <bk>
      <rc t="2" v="7296"/>
    </bk>
    <bk>
      <rc t="2" v="7297"/>
    </bk>
    <bk>
      <rc t="2" v="7298"/>
    </bk>
    <bk>
      <rc t="2" v="7299"/>
    </bk>
    <bk>
      <rc t="2" v="7300"/>
    </bk>
    <bk>
      <rc t="2" v="7301"/>
    </bk>
    <bk>
      <rc t="2" v="7302"/>
    </bk>
    <bk>
      <rc t="2" v="7303"/>
    </bk>
    <bk>
      <rc t="2" v="7304"/>
    </bk>
    <bk>
      <rc t="2" v="7305"/>
    </bk>
    <bk>
      <rc t="2" v="7306"/>
    </bk>
    <bk>
      <rc t="2" v="7307"/>
    </bk>
    <bk>
      <rc t="2" v="7308"/>
    </bk>
    <bk>
      <rc t="2" v="7309"/>
    </bk>
    <bk>
      <rc t="2" v="7310"/>
    </bk>
    <bk>
      <rc t="2" v="7311"/>
    </bk>
    <bk>
      <rc t="2" v="7312"/>
    </bk>
    <bk>
      <rc t="2" v="7313"/>
    </bk>
    <bk>
      <rc t="2" v="7314"/>
    </bk>
    <bk>
      <rc t="2" v="7315"/>
    </bk>
    <bk>
      <rc t="2" v="7316"/>
    </bk>
    <bk>
      <rc t="2" v="7317"/>
    </bk>
    <bk>
      <rc t="2" v="7318"/>
    </bk>
    <bk>
      <rc t="2" v="7319"/>
    </bk>
    <bk>
      <rc t="2" v="7320"/>
    </bk>
    <bk>
      <rc t="2" v="7321"/>
    </bk>
    <bk>
      <rc t="2" v="7322"/>
    </bk>
    <bk>
      <rc t="2" v="7323"/>
    </bk>
    <bk>
      <rc t="2" v="7324"/>
    </bk>
    <bk>
      <rc t="2" v="7325"/>
    </bk>
    <bk>
      <rc t="2" v="7326"/>
    </bk>
    <bk>
      <rc t="2" v="7327"/>
    </bk>
    <bk>
      <rc t="2" v="7328"/>
    </bk>
    <bk>
      <rc t="2" v="7329"/>
    </bk>
    <bk>
      <rc t="2" v="7330"/>
    </bk>
    <bk>
      <rc t="2" v="7331"/>
    </bk>
    <bk>
      <rc t="2" v="7332"/>
    </bk>
    <bk>
      <rc t="2" v="7333"/>
    </bk>
    <bk>
      <rc t="2" v="7334"/>
    </bk>
    <bk>
      <rc t="2" v="7335"/>
    </bk>
    <bk>
      <rc t="2" v="7336"/>
    </bk>
    <bk>
      <rc t="2" v="7337"/>
    </bk>
    <bk>
      <rc t="2" v="7338"/>
    </bk>
    <bk>
      <rc t="2" v="7339"/>
    </bk>
    <bk>
      <rc t="2" v="7340"/>
    </bk>
    <bk>
      <rc t="2" v="7341"/>
    </bk>
    <bk>
      <rc t="2" v="7342"/>
    </bk>
    <bk>
      <rc t="2" v="7343"/>
    </bk>
    <bk>
      <rc t="2" v="7344"/>
    </bk>
    <bk>
      <rc t="2" v="7345"/>
    </bk>
    <bk>
      <rc t="2" v="7346"/>
    </bk>
    <bk>
      <rc t="2" v="7347"/>
    </bk>
    <bk>
      <rc t="2" v="7348"/>
    </bk>
    <bk>
      <rc t="2" v="7349"/>
    </bk>
    <bk>
      <rc t="2" v="7350"/>
    </bk>
    <bk>
      <rc t="2" v="7351"/>
    </bk>
    <bk>
      <rc t="2" v="7352"/>
    </bk>
    <bk>
      <rc t="2" v="7353"/>
    </bk>
    <bk>
      <rc t="2" v="7354"/>
    </bk>
    <bk>
      <rc t="2" v="7355"/>
    </bk>
    <bk>
      <rc t="2" v="7356"/>
    </bk>
    <bk>
      <rc t="2" v="7357"/>
    </bk>
    <bk>
      <rc t="2" v="7358"/>
    </bk>
    <bk>
      <rc t="2" v="7359"/>
    </bk>
    <bk>
      <rc t="2" v="7360"/>
    </bk>
    <bk>
      <rc t="2" v="7361"/>
    </bk>
    <bk>
      <rc t="2" v="7362"/>
    </bk>
    <bk>
      <rc t="2" v="7363"/>
    </bk>
    <bk>
      <rc t="2" v="7364"/>
    </bk>
    <bk>
      <rc t="2" v="7365"/>
    </bk>
    <bk>
      <rc t="2" v="7366"/>
    </bk>
    <bk>
      <rc t="2" v="7367"/>
    </bk>
    <bk>
      <rc t="2" v="7368"/>
    </bk>
    <bk>
      <rc t="2" v="7369"/>
    </bk>
    <bk>
      <rc t="2" v="7370"/>
    </bk>
    <bk>
      <rc t="2" v="7371"/>
    </bk>
    <bk>
      <rc t="2" v="7372"/>
    </bk>
    <bk>
      <rc t="2" v="7373"/>
    </bk>
    <bk>
      <rc t="2" v="7374"/>
    </bk>
    <bk>
      <rc t="2" v="7375"/>
    </bk>
    <bk>
      <rc t="2" v="7376"/>
    </bk>
    <bk>
      <rc t="2" v="7377"/>
    </bk>
    <bk>
      <rc t="2" v="7378"/>
    </bk>
    <bk>
      <rc t="2" v="7379"/>
    </bk>
    <bk>
      <rc t="2" v="7380"/>
    </bk>
    <bk>
      <rc t="2" v="7381"/>
    </bk>
    <bk>
      <rc t="2" v="7382"/>
    </bk>
    <bk>
      <rc t="2" v="7383"/>
    </bk>
    <bk>
      <rc t="2" v="7384"/>
    </bk>
    <bk>
      <rc t="2" v="7385"/>
    </bk>
    <bk>
      <rc t="2" v="7386"/>
    </bk>
    <bk>
      <rc t="2" v="7387"/>
    </bk>
    <bk>
      <rc t="2" v="7388"/>
    </bk>
    <bk>
      <rc t="2" v="7389"/>
    </bk>
    <bk>
      <rc t="2" v="7390"/>
    </bk>
    <bk>
      <rc t="2" v="7391"/>
    </bk>
    <bk>
      <rc t="2" v="7392"/>
    </bk>
    <bk>
      <rc t="2" v="7393"/>
    </bk>
    <bk>
      <rc t="2" v="7394"/>
    </bk>
    <bk>
      <rc t="2" v="7395"/>
    </bk>
    <bk>
      <rc t="2" v="7396"/>
    </bk>
    <bk>
      <rc t="2" v="7397"/>
    </bk>
    <bk>
      <rc t="2" v="7398"/>
    </bk>
    <bk>
      <rc t="2" v="7399"/>
    </bk>
    <bk>
      <rc t="2" v="7400"/>
    </bk>
    <bk>
      <rc t="2" v="7401"/>
    </bk>
    <bk>
      <rc t="2" v="7402"/>
    </bk>
    <bk>
      <rc t="2" v="7403"/>
    </bk>
    <bk>
      <rc t="2" v="7404"/>
    </bk>
    <bk>
      <rc t="2" v="7405"/>
    </bk>
    <bk>
      <rc t="2" v="7406"/>
    </bk>
    <bk>
      <rc t="2" v="7407"/>
    </bk>
    <bk>
      <rc t="2" v="7408"/>
    </bk>
    <bk>
      <rc t="2" v="7409"/>
    </bk>
    <bk>
      <rc t="2" v="7410"/>
    </bk>
    <bk>
      <rc t="2" v="7411"/>
    </bk>
    <bk>
      <rc t="2" v="7412"/>
    </bk>
    <bk>
      <rc t="2" v="7413"/>
    </bk>
    <bk>
      <rc t="2" v="7414"/>
    </bk>
    <bk>
      <rc t="2" v="7415"/>
    </bk>
    <bk>
      <rc t="2" v="7416"/>
    </bk>
    <bk>
      <rc t="2" v="7417"/>
    </bk>
    <bk>
      <rc t="2" v="7418"/>
    </bk>
    <bk>
      <rc t="2" v="7419"/>
    </bk>
    <bk>
      <rc t="2" v="7420"/>
    </bk>
    <bk>
      <rc t="2" v="7421"/>
    </bk>
    <bk>
      <rc t="2" v="7422"/>
    </bk>
    <bk>
      <rc t="2" v="7423"/>
    </bk>
    <bk>
      <rc t="2" v="7424"/>
    </bk>
    <bk>
      <rc t="2" v="7425"/>
    </bk>
    <bk>
      <rc t="2" v="7426"/>
    </bk>
    <bk>
      <rc t="2" v="7427"/>
    </bk>
    <bk>
      <rc t="2" v="7428"/>
    </bk>
    <bk>
      <rc t="2" v="7429"/>
    </bk>
    <bk>
      <rc t="2" v="7430"/>
    </bk>
    <bk>
      <rc t="2" v="7431"/>
    </bk>
    <bk>
      <rc t="2" v="7432"/>
    </bk>
    <bk>
      <rc t="2" v="7433"/>
    </bk>
    <bk>
      <rc t="2" v="7434"/>
    </bk>
    <bk>
      <rc t="2" v="7435"/>
    </bk>
    <bk>
      <rc t="2" v="7436"/>
    </bk>
    <bk>
      <rc t="2" v="7437"/>
    </bk>
    <bk>
      <rc t="2" v="7438"/>
    </bk>
    <bk>
      <rc t="2" v="7439"/>
    </bk>
    <bk>
      <rc t="2" v="7440"/>
    </bk>
    <bk>
      <rc t="2" v="7441"/>
    </bk>
    <bk>
      <rc t="2" v="7442"/>
    </bk>
    <bk>
      <rc t="2" v="7443"/>
    </bk>
    <bk>
      <rc t="2" v="7444"/>
    </bk>
    <bk>
      <rc t="2" v="7445"/>
    </bk>
    <bk>
      <rc t="2" v="7446"/>
    </bk>
    <bk>
      <rc t="2" v="7447"/>
    </bk>
    <bk>
      <rc t="2" v="7448"/>
    </bk>
    <bk>
      <rc t="2" v="7449"/>
    </bk>
    <bk>
      <rc t="2" v="7450"/>
    </bk>
    <bk>
      <rc t="2" v="7451"/>
    </bk>
    <bk>
      <rc t="2" v="7452"/>
    </bk>
    <bk>
      <rc t="2" v="7453"/>
    </bk>
    <bk>
      <rc t="2" v="7454"/>
    </bk>
    <bk>
      <rc t="2" v="7455"/>
    </bk>
    <bk>
      <rc t="2" v="7456"/>
    </bk>
    <bk>
      <rc t="2" v="7457"/>
    </bk>
    <bk>
      <rc t="2" v="7458"/>
    </bk>
    <bk>
      <rc t="2" v="7459"/>
    </bk>
    <bk>
      <rc t="2" v="7460"/>
    </bk>
    <bk>
      <rc t="2" v="7461"/>
    </bk>
    <bk>
      <rc t="2" v="7462"/>
    </bk>
    <bk>
      <rc t="2" v="7463"/>
    </bk>
    <bk>
      <rc t="2" v="7464"/>
    </bk>
    <bk>
      <rc t="2" v="7465"/>
    </bk>
    <bk>
      <rc t="2" v="7466"/>
    </bk>
    <bk>
      <rc t="2" v="7467"/>
    </bk>
    <bk>
      <rc t="2" v="7468"/>
    </bk>
    <bk>
      <rc t="2" v="7469"/>
    </bk>
    <bk>
      <rc t="2" v="7470"/>
    </bk>
    <bk>
      <rc t="2" v="7471"/>
    </bk>
    <bk>
      <rc t="2" v="7472"/>
    </bk>
    <bk>
      <rc t="2" v="7473"/>
    </bk>
    <bk>
      <rc t="2" v="7474"/>
    </bk>
    <bk>
      <rc t="2" v="7475"/>
    </bk>
    <bk>
      <rc t="2" v="7476"/>
    </bk>
    <bk>
      <rc t="2" v="7477"/>
    </bk>
    <bk>
      <rc t="2" v="7478"/>
    </bk>
    <bk>
      <rc t="2" v="7479"/>
    </bk>
    <bk>
      <rc t="2" v="7480"/>
    </bk>
    <bk>
      <rc t="2" v="7481"/>
    </bk>
    <bk>
      <rc t="2" v="7482"/>
    </bk>
    <bk>
      <rc t="2" v="7483"/>
    </bk>
    <bk>
      <rc t="2" v="7484"/>
    </bk>
    <bk>
      <rc t="2" v="7485"/>
    </bk>
    <bk>
      <rc t="2" v="7486"/>
    </bk>
    <bk>
      <rc t="2" v="7487"/>
    </bk>
    <bk>
      <rc t="2" v="7488"/>
    </bk>
    <bk>
      <rc t="2" v="7489"/>
    </bk>
    <bk>
      <rc t="2" v="7490"/>
    </bk>
    <bk>
      <rc t="2" v="7491"/>
    </bk>
    <bk>
      <rc t="2" v="7492"/>
    </bk>
    <bk>
      <rc t="2" v="7493"/>
    </bk>
    <bk>
      <rc t="2" v="7494"/>
    </bk>
    <bk>
      <rc t="2" v="7495"/>
    </bk>
    <bk>
      <rc t="2" v="7496"/>
    </bk>
    <bk>
      <rc t="2" v="7497"/>
    </bk>
    <bk>
      <rc t="2" v="7498"/>
    </bk>
    <bk>
      <rc t="2" v="7499"/>
    </bk>
    <bk>
      <rc t="2" v="7500"/>
    </bk>
    <bk>
      <rc t="2" v="7501"/>
    </bk>
    <bk>
      <rc t="2" v="7502"/>
    </bk>
    <bk>
      <rc t="2" v="7503"/>
    </bk>
    <bk>
      <rc t="2" v="7504"/>
    </bk>
    <bk>
      <rc t="2" v="7505"/>
    </bk>
    <bk>
      <rc t="2" v="7506"/>
    </bk>
    <bk>
      <rc t="2" v="7507"/>
    </bk>
    <bk>
      <rc t="2" v="7508"/>
    </bk>
    <bk>
      <rc t="2" v="7509"/>
    </bk>
    <bk>
      <rc t="2" v="7510"/>
    </bk>
    <bk>
      <rc t="2" v="7511"/>
    </bk>
    <bk>
      <rc t="2" v="7512"/>
    </bk>
    <bk>
      <rc t="2" v="7513"/>
    </bk>
    <bk>
      <rc t="2" v="7514"/>
    </bk>
    <bk>
      <rc t="2" v="7515"/>
    </bk>
    <bk>
      <rc t="2" v="7516"/>
    </bk>
    <bk>
      <rc t="2" v="7517"/>
    </bk>
    <bk>
      <rc t="2" v="7518"/>
    </bk>
    <bk>
      <rc t="2" v="7519"/>
    </bk>
    <bk>
      <rc t="2" v="7520"/>
    </bk>
    <bk>
      <rc t="2" v="7521"/>
    </bk>
    <bk>
      <rc t="2" v="7522"/>
    </bk>
    <bk>
      <rc t="2" v="7523"/>
    </bk>
    <bk>
      <rc t="2" v="7524"/>
    </bk>
    <bk>
      <rc t="2" v="7525"/>
    </bk>
    <bk>
      <rc t="2" v="7526"/>
    </bk>
    <bk>
      <rc t="2" v="7527"/>
    </bk>
    <bk>
      <rc t="2" v="7528"/>
    </bk>
    <bk>
      <rc t="2" v="7529"/>
    </bk>
    <bk>
      <rc t="2" v="7530"/>
    </bk>
    <bk>
      <rc t="2" v="7531"/>
    </bk>
    <bk>
      <rc t="2" v="7532"/>
    </bk>
    <bk>
      <rc t="2" v="7533"/>
    </bk>
    <bk>
      <rc t="2" v="7534"/>
    </bk>
    <bk>
      <rc t="2" v="7535"/>
    </bk>
    <bk>
      <rc t="2" v="7536"/>
    </bk>
    <bk>
      <rc t="2" v="7537"/>
    </bk>
    <bk>
      <rc t="2" v="7538"/>
    </bk>
    <bk>
      <rc t="2" v="7539"/>
    </bk>
    <bk>
      <rc t="2" v="7540"/>
    </bk>
    <bk>
      <rc t="2" v="7541"/>
    </bk>
    <bk>
      <rc t="2" v="7542"/>
    </bk>
    <bk>
      <rc t="2" v="7543"/>
    </bk>
    <bk>
      <rc t="2" v="7544"/>
    </bk>
    <bk>
      <rc t="2" v="7545"/>
    </bk>
    <bk>
      <rc t="2" v="7546"/>
    </bk>
    <bk>
      <rc t="2" v="7547"/>
    </bk>
    <bk>
      <rc t="2" v="7548"/>
    </bk>
    <bk>
      <rc t="2" v="7549"/>
    </bk>
    <bk>
      <rc t="2" v="7550"/>
    </bk>
    <bk>
      <rc t="2" v="7551"/>
    </bk>
    <bk>
      <rc t="2" v="7552"/>
    </bk>
    <bk>
      <rc t="2" v="7553"/>
    </bk>
    <bk>
      <rc t="2" v="7554"/>
    </bk>
    <bk>
      <rc t="2" v="7555"/>
    </bk>
    <bk>
      <rc t="2" v="7556"/>
    </bk>
    <bk>
      <rc t="2" v="7557"/>
    </bk>
    <bk>
      <rc t="2" v="7558"/>
    </bk>
    <bk>
      <rc t="2" v="7559"/>
    </bk>
    <bk>
      <rc t="2" v="7560"/>
    </bk>
    <bk>
      <rc t="2" v="7561"/>
    </bk>
    <bk>
      <rc t="2" v="7562"/>
    </bk>
    <bk>
      <rc t="2" v="7563"/>
    </bk>
    <bk>
      <rc t="2" v="7564"/>
    </bk>
    <bk>
      <rc t="2" v="7565"/>
    </bk>
    <bk>
      <rc t="2" v="7566"/>
    </bk>
    <bk>
      <rc t="2" v="7567"/>
    </bk>
    <bk>
      <rc t="2" v="7568"/>
    </bk>
    <bk>
      <rc t="2" v="7569"/>
    </bk>
    <bk>
      <rc t="2" v="7570"/>
    </bk>
    <bk>
      <rc t="2" v="7571"/>
    </bk>
    <bk>
      <rc t="2" v="7572"/>
    </bk>
    <bk>
      <rc t="2" v="7573"/>
    </bk>
    <bk>
      <rc t="2" v="7574"/>
    </bk>
    <bk>
      <rc t="2" v="7575"/>
    </bk>
    <bk>
      <rc t="2" v="7576"/>
    </bk>
    <bk>
      <rc t="2" v="7577"/>
    </bk>
    <bk>
      <rc t="2" v="7578"/>
    </bk>
    <bk>
      <rc t="2" v="7579"/>
    </bk>
    <bk>
      <rc t="2" v="7580"/>
    </bk>
    <bk>
      <rc t="2" v="7581"/>
    </bk>
    <bk>
      <rc t="2" v="7582"/>
    </bk>
    <bk>
      <rc t="2" v="7583"/>
    </bk>
    <bk>
      <rc t="2" v="7584"/>
    </bk>
    <bk>
      <rc t="2" v="7585"/>
    </bk>
    <bk>
      <rc t="2" v="7586"/>
    </bk>
    <bk>
      <rc t="2" v="7587"/>
    </bk>
    <bk>
      <rc t="2" v="7588"/>
    </bk>
    <bk>
      <rc t="2" v="7589"/>
    </bk>
    <bk>
      <rc t="2" v="7590"/>
    </bk>
    <bk>
      <rc t="2" v="7591"/>
    </bk>
    <bk>
      <rc t="2" v="7592"/>
    </bk>
    <bk>
      <rc t="2" v="7593"/>
    </bk>
    <bk>
      <rc t="2" v="7594"/>
    </bk>
    <bk>
      <rc t="2" v="7595"/>
    </bk>
    <bk>
      <rc t="2" v="7596"/>
    </bk>
    <bk>
      <rc t="2" v="7597"/>
    </bk>
    <bk>
      <rc t="2" v="7598"/>
    </bk>
    <bk>
      <rc t="2" v="7599"/>
    </bk>
    <bk>
      <rc t="2" v="7600"/>
    </bk>
    <bk>
      <rc t="2" v="7601"/>
    </bk>
    <bk>
      <rc t="2" v="7602"/>
    </bk>
    <bk>
      <rc t="2" v="7603"/>
    </bk>
    <bk>
      <rc t="2" v="7604"/>
    </bk>
    <bk>
      <rc t="2" v="7605"/>
    </bk>
    <bk>
      <rc t="2" v="7606"/>
    </bk>
    <bk>
      <rc t="2" v="7607"/>
    </bk>
    <bk>
      <rc t="2" v="7608"/>
    </bk>
    <bk>
      <rc t="2" v="7609"/>
    </bk>
    <bk>
      <rc t="2" v="7610"/>
    </bk>
    <bk>
      <rc t="2" v="7611"/>
    </bk>
    <bk>
      <rc t="2" v="7612"/>
    </bk>
    <bk>
      <rc t="2" v="7613"/>
    </bk>
    <bk>
      <rc t="2" v="7614"/>
    </bk>
    <bk>
      <rc t="2" v="7615"/>
    </bk>
    <bk>
      <rc t="2" v="7616"/>
    </bk>
    <bk>
      <rc t="2" v="7617"/>
    </bk>
    <bk>
      <rc t="2" v="7618"/>
    </bk>
    <bk>
      <rc t="2" v="7619"/>
    </bk>
    <bk>
      <rc t="2" v="7620"/>
    </bk>
    <bk>
      <rc t="2" v="7621"/>
    </bk>
    <bk>
      <rc t="2" v="7622"/>
    </bk>
    <bk>
      <rc t="2" v="7623"/>
    </bk>
    <bk>
      <rc t="2" v="7624"/>
    </bk>
    <bk>
      <rc t="2" v="7625"/>
    </bk>
    <bk>
      <rc t="2" v="7626"/>
    </bk>
    <bk>
      <rc t="2" v="7627"/>
    </bk>
    <bk>
      <rc t="2" v="7628"/>
    </bk>
    <bk>
      <rc t="2" v="7629"/>
    </bk>
    <bk>
      <rc t="2" v="7630"/>
    </bk>
    <bk>
      <rc t="2" v="7631"/>
    </bk>
    <bk>
      <rc t="2" v="7632"/>
    </bk>
    <bk>
      <rc t="2" v="7633"/>
    </bk>
    <bk>
      <rc t="2" v="7634"/>
    </bk>
    <bk>
      <rc t="2" v="7635"/>
    </bk>
    <bk>
      <rc t="2" v="7636"/>
    </bk>
    <bk>
      <rc t="2" v="7637"/>
    </bk>
    <bk>
      <rc t="2" v="7638"/>
    </bk>
    <bk>
      <rc t="2" v="7639"/>
    </bk>
    <bk>
      <rc t="2" v="7640"/>
    </bk>
    <bk>
      <rc t="2" v="7641"/>
    </bk>
    <bk>
      <rc t="2" v="7642"/>
    </bk>
    <bk>
      <rc t="2" v="7643"/>
    </bk>
    <bk>
      <rc t="2" v="7644"/>
    </bk>
    <bk>
      <rc t="2" v="7645"/>
    </bk>
    <bk>
      <rc t="2" v="7646"/>
    </bk>
    <bk>
      <rc t="2" v="7647"/>
    </bk>
    <bk>
      <rc t="2" v="7648"/>
    </bk>
    <bk>
      <rc t="2" v="7649"/>
    </bk>
    <bk>
      <rc t="2" v="7650"/>
    </bk>
    <bk>
      <rc t="2" v="7651"/>
    </bk>
    <bk>
      <rc t="2" v="7652"/>
    </bk>
    <bk>
      <rc t="2" v="7653"/>
    </bk>
    <bk>
      <rc t="2" v="7654"/>
    </bk>
    <bk>
      <rc t="2" v="7655"/>
    </bk>
    <bk>
      <rc t="2" v="7656"/>
    </bk>
    <bk>
      <rc t="2" v="7657"/>
    </bk>
    <bk>
      <rc t="2" v="7658"/>
    </bk>
    <bk>
      <rc t="2" v="7659"/>
    </bk>
    <bk>
      <rc t="2" v="7660"/>
    </bk>
    <bk>
      <rc t="2" v="7661"/>
    </bk>
    <bk>
      <rc t="2" v="7662"/>
    </bk>
    <bk>
      <rc t="2" v="7663"/>
    </bk>
    <bk>
      <rc t="2" v="7664"/>
    </bk>
    <bk>
      <rc t="2" v="7665"/>
    </bk>
    <bk>
      <rc t="2" v="7666"/>
    </bk>
    <bk>
      <rc t="2" v="7667"/>
    </bk>
    <bk>
      <rc t="2" v="7668"/>
    </bk>
    <bk>
      <rc t="2" v="7669"/>
    </bk>
    <bk>
      <rc t="2" v="7670"/>
    </bk>
    <bk>
      <rc t="2" v="7671"/>
    </bk>
    <bk>
      <rc t="2" v="7672"/>
    </bk>
    <bk>
      <rc t="2" v="7673"/>
    </bk>
    <bk>
      <rc t="2" v="7674"/>
    </bk>
    <bk>
      <rc t="2" v="7675"/>
    </bk>
    <bk>
      <rc t="2" v="7676"/>
    </bk>
    <bk>
      <rc t="2" v="7677"/>
    </bk>
    <bk>
      <rc t="2" v="7678"/>
    </bk>
    <bk>
      <rc t="2" v="7679"/>
    </bk>
    <bk>
      <rc t="2" v="7680"/>
    </bk>
    <bk>
      <rc t="2" v="7681"/>
    </bk>
    <bk>
      <rc t="2" v="7682"/>
    </bk>
    <bk>
      <rc t="2" v="7683"/>
    </bk>
    <bk>
      <rc t="2" v="7684"/>
    </bk>
    <bk>
      <rc t="2" v="7685"/>
    </bk>
    <bk>
      <rc t="2" v="7686"/>
    </bk>
    <bk>
      <rc t="2" v="7687"/>
    </bk>
    <bk>
      <rc t="2" v="7688"/>
    </bk>
    <bk>
      <rc t="2" v="7689"/>
    </bk>
    <bk>
      <rc t="2" v="7690"/>
    </bk>
    <bk>
      <rc t="2" v="7691"/>
    </bk>
    <bk>
      <rc t="2" v="7692"/>
    </bk>
    <bk>
      <rc t="2" v="7693"/>
    </bk>
    <bk>
      <rc t="2" v="7694"/>
    </bk>
    <bk>
      <rc t="2" v="7695"/>
    </bk>
    <bk>
      <rc t="2" v="7696"/>
    </bk>
    <bk>
      <rc t="2" v="7697"/>
    </bk>
    <bk>
      <rc t="2" v="7698"/>
    </bk>
    <bk>
      <rc t="2" v="7699"/>
    </bk>
    <bk>
      <rc t="2" v="7700"/>
    </bk>
    <bk>
      <rc t="2" v="7701"/>
    </bk>
    <bk>
      <rc t="2" v="7702"/>
    </bk>
    <bk>
      <rc t="2" v="7703"/>
    </bk>
    <bk>
      <rc t="2" v="7704"/>
    </bk>
    <bk>
      <rc t="2" v="7705"/>
    </bk>
    <bk>
      <rc t="2" v="7706"/>
    </bk>
    <bk>
      <rc t="2" v="7707"/>
    </bk>
    <bk>
      <rc t="2" v="7708"/>
    </bk>
    <bk>
      <rc t="2" v="7709"/>
    </bk>
    <bk>
      <rc t="2" v="7710"/>
    </bk>
    <bk>
      <rc t="2" v="7711"/>
    </bk>
    <bk>
      <rc t="2" v="7712"/>
    </bk>
    <bk>
      <rc t="2" v="7713"/>
    </bk>
    <bk>
      <rc t="2" v="7714"/>
    </bk>
    <bk>
      <rc t="2" v="7715"/>
    </bk>
    <bk>
      <rc t="2" v="7716"/>
    </bk>
    <bk>
      <rc t="2" v="7717"/>
    </bk>
    <bk>
      <rc t="2" v="7718"/>
    </bk>
    <bk>
      <rc t="2" v="7719"/>
    </bk>
    <bk>
      <rc t="2" v="7720"/>
    </bk>
    <bk>
      <rc t="2" v="7721"/>
    </bk>
    <bk>
      <rc t="2" v="7722"/>
    </bk>
    <bk>
      <rc t="2" v="7723"/>
    </bk>
    <bk>
      <rc t="2" v="7724"/>
    </bk>
    <bk>
      <rc t="2" v="7725"/>
    </bk>
    <bk>
      <rc t="2" v="7726"/>
    </bk>
    <bk>
      <rc t="2" v="7727"/>
    </bk>
    <bk>
      <rc t="2" v="7728"/>
    </bk>
    <bk>
      <rc t="2" v="7729"/>
    </bk>
    <bk>
      <rc t="2" v="7730"/>
    </bk>
    <bk>
      <rc t="2" v="7731"/>
    </bk>
    <bk>
      <rc t="2" v="7732"/>
    </bk>
    <bk>
      <rc t="2" v="7733"/>
    </bk>
    <bk>
      <rc t="2" v="7734"/>
    </bk>
    <bk>
      <rc t="2" v="7735"/>
    </bk>
    <bk>
      <rc t="2" v="7736"/>
    </bk>
    <bk>
      <rc t="2" v="7737"/>
    </bk>
    <bk>
      <rc t="2" v="7738"/>
    </bk>
    <bk>
      <rc t="2" v="7739"/>
    </bk>
    <bk>
      <rc t="2" v="7740"/>
    </bk>
    <bk>
      <rc t="2" v="7741"/>
    </bk>
    <bk>
      <rc t="2" v="7742"/>
    </bk>
    <bk>
      <rc t="2" v="7743"/>
    </bk>
    <bk>
      <rc t="2" v="7744"/>
    </bk>
    <bk>
      <rc t="2" v="7745"/>
    </bk>
    <bk>
      <rc t="2" v="7746"/>
    </bk>
    <bk>
      <rc t="2" v="7747"/>
    </bk>
    <bk>
      <rc t="2" v="7748"/>
    </bk>
    <bk>
      <rc t="2" v="7749"/>
    </bk>
    <bk>
      <rc t="2" v="7750"/>
    </bk>
    <bk>
      <rc t="2" v="7751"/>
    </bk>
    <bk>
      <rc t="2" v="7752"/>
    </bk>
    <bk>
      <rc t="2" v="7753"/>
    </bk>
    <bk>
      <rc t="2" v="7754"/>
    </bk>
    <bk>
      <rc t="2" v="7755"/>
    </bk>
    <bk>
      <rc t="2" v="7756"/>
    </bk>
    <bk>
      <rc t="2" v="7757"/>
    </bk>
    <bk>
      <rc t="2" v="7758"/>
    </bk>
    <bk>
      <rc t="2" v="7759"/>
    </bk>
    <bk>
      <rc t="2" v="7760"/>
    </bk>
    <bk>
      <rc t="2" v="7761"/>
    </bk>
    <bk>
      <rc t="2" v="7762"/>
    </bk>
    <bk>
      <rc t="2" v="7763"/>
    </bk>
    <bk>
      <rc t="2" v="7764"/>
    </bk>
    <bk>
      <rc t="2" v="7765"/>
    </bk>
    <bk>
      <rc t="2" v="7766"/>
    </bk>
    <bk>
      <rc t="2" v="7767"/>
    </bk>
    <bk>
      <rc t="2" v="7768"/>
    </bk>
    <bk>
      <rc t="2" v="7769"/>
    </bk>
    <bk>
      <rc t="2" v="7770"/>
    </bk>
    <bk>
      <rc t="2" v="7771"/>
    </bk>
    <bk>
      <rc t="2" v="7772"/>
    </bk>
    <bk>
      <rc t="2" v="7773"/>
    </bk>
    <bk>
      <rc t="2" v="7774"/>
    </bk>
    <bk>
      <rc t="2" v="7775"/>
    </bk>
    <bk>
      <rc t="2" v="7776"/>
    </bk>
    <bk>
      <rc t="2" v="7777"/>
    </bk>
    <bk>
      <rc t="2" v="7778"/>
    </bk>
    <bk>
      <rc t="2" v="7779"/>
    </bk>
    <bk>
      <rc t="2" v="7780"/>
    </bk>
    <bk>
      <rc t="2" v="7781"/>
    </bk>
    <bk>
      <rc t="2" v="7782"/>
    </bk>
    <bk>
      <rc t="2" v="7783"/>
    </bk>
    <bk>
      <rc t="2" v="7784"/>
    </bk>
    <bk>
      <rc t="2" v="7785"/>
    </bk>
    <bk>
      <rc t="2" v="7786"/>
    </bk>
    <bk>
      <rc t="2" v="7787"/>
    </bk>
    <bk>
      <rc t="2" v="7788"/>
    </bk>
    <bk>
      <rc t="2" v="7789"/>
    </bk>
    <bk>
      <rc t="2" v="7790"/>
    </bk>
    <bk>
      <rc t="2" v="7791"/>
    </bk>
    <bk>
      <rc t="2" v="7792"/>
    </bk>
    <bk>
      <rc t="2" v="7793"/>
    </bk>
    <bk>
      <rc t="2" v="7794"/>
    </bk>
    <bk>
      <rc t="2" v="7795"/>
    </bk>
    <bk>
      <rc t="2" v="7796"/>
    </bk>
    <bk>
      <rc t="2" v="7797"/>
    </bk>
    <bk>
      <rc t="2" v="7798"/>
    </bk>
    <bk>
      <rc t="2" v="7799"/>
    </bk>
    <bk>
      <rc t="2" v="7800"/>
    </bk>
    <bk>
      <rc t="2" v="7801"/>
    </bk>
    <bk>
      <rc t="2" v="7802"/>
    </bk>
    <bk>
      <rc t="2" v="7803"/>
    </bk>
    <bk>
      <rc t="2" v="7804"/>
    </bk>
    <bk>
      <rc t="2" v="7805"/>
    </bk>
    <bk>
      <rc t="2" v="7806"/>
    </bk>
    <bk>
      <rc t="2" v="7807"/>
    </bk>
    <bk>
      <rc t="2" v="7808"/>
    </bk>
    <bk>
      <rc t="2" v="7809"/>
    </bk>
    <bk>
      <rc t="2" v="7810"/>
    </bk>
    <bk>
      <rc t="2" v="7811"/>
    </bk>
    <bk>
      <rc t="2" v="7812"/>
    </bk>
    <bk>
      <rc t="2" v="7813"/>
    </bk>
    <bk>
      <rc t="2" v="7814"/>
    </bk>
    <bk>
      <rc t="2" v="7815"/>
    </bk>
    <bk>
      <rc t="2" v="7816"/>
    </bk>
    <bk>
      <rc t="2" v="7817"/>
    </bk>
    <bk>
      <rc t="2" v="7818"/>
    </bk>
    <bk>
      <rc t="2" v="7819"/>
    </bk>
    <bk>
      <rc t="2" v="7820"/>
    </bk>
    <bk>
      <rc t="2" v="7821"/>
    </bk>
    <bk>
      <rc t="2" v="7822"/>
    </bk>
    <bk>
      <rc t="2" v="7823"/>
    </bk>
    <bk>
      <rc t="2" v="7824"/>
    </bk>
    <bk>
      <rc t="2" v="7825"/>
    </bk>
    <bk>
      <rc t="2" v="7826"/>
    </bk>
    <bk>
      <rc t="2" v="7827"/>
    </bk>
    <bk>
      <rc t="2" v="7828"/>
    </bk>
    <bk>
      <rc t="2" v="7829"/>
    </bk>
    <bk>
      <rc t="2" v="7830"/>
    </bk>
    <bk>
      <rc t="2" v="7831"/>
    </bk>
    <bk>
      <rc t="2" v="7832"/>
    </bk>
    <bk>
      <rc t="2" v="7833"/>
    </bk>
    <bk>
      <rc t="2" v="7834"/>
    </bk>
    <bk>
      <rc t="2" v="7835"/>
    </bk>
    <bk>
      <rc t="2" v="7836"/>
    </bk>
    <bk>
      <rc t="2" v="7837"/>
    </bk>
    <bk>
      <rc t="2" v="7838"/>
    </bk>
    <bk>
      <rc t="2" v="7839"/>
    </bk>
    <bk>
      <rc t="2" v="7840"/>
    </bk>
    <bk>
      <rc t="2" v="7841"/>
    </bk>
    <bk>
      <rc t="2" v="7842"/>
    </bk>
    <bk>
      <rc t="2" v="7843"/>
    </bk>
    <bk>
      <rc t="2" v="7844"/>
    </bk>
    <bk>
      <rc t="2" v="7845"/>
    </bk>
    <bk>
      <rc t="2" v="7846"/>
    </bk>
    <bk>
      <rc t="2" v="7847"/>
    </bk>
    <bk>
      <rc t="2" v="7848"/>
    </bk>
    <bk>
      <rc t="2" v="7849"/>
    </bk>
    <bk>
      <rc t="2" v="7850"/>
    </bk>
    <bk>
      <rc t="2" v="7851"/>
    </bk>
    <bk>
      <rc t="2" v="7852"/>
    </bk>
    <bk>
      <rc t="2" v="7853"/>
    </bk>
    <bk>
      <rc t="2" v="7854"/>
    </bk>
    <bk>
      <rc t="2" v="7855"/>
    </bk>
    <bk>
      <rc t="2" v="7856"/>
    </bk>
    <bk>
      <rc t="2" v="7857"/>
    </bk>
    <bk>
      <rc t="2" v="7858"/>
    </bk>
    <bk>
      <rc t="2" v="7859"/>
    </bk>
    <bk>
      <rc t="2" v="7860"/>
    </bk>
    <bk>
      <rc t="2" v="7861"/>
    </bk>
    <bk>
      <rc t="2" v="7862"/>
    </bk>
    <bk>
      <rc t="2" v="7863"/>
    </bk>
    <bk>
      <rc t="2" v="7864"/>
    </bk>
    <bk>
      <rc t="2" v="7865"/>
    </bk>
    <bk>
      <rc t="2" v="7866"/>
    </bk>
    <bk>
      <rc t="2" v="7867"/>
    </bk>
    <bk>
      <rc t="2" v="7868"/>
    </bk>
    <bk>
      <rc t="2" v="7869"/>
    </bk>
    <bk>
      <rc t="2" v="7870"/>
    </bk>
    <bk>
      <rc t="2" v="7871"/>
    </bk>
    <bk>
      <rc t="2" v="7872"/>
    </bk>
    <bk>
      <rc t="2" v="7873"/>
    </bk>
    <bk>
      <rc t="2" v="7874"/>
    </bk>
    <bk>
      <rc t="2" v="7875"/>
    </bk>
    <bk>
      <rc t="2" v="7876"/>
    </bk>
    <bk>
      <rc t="2" v="7877"/>
    </bk>
    <bk>
      <rc t="2" v="7878"/>
    </bk>
    <bk>
      <rc t="2" v="7879"/>
    </bk>
    <bk>
      <rc t="2" v="7880"/>
    </bk>
    <bk>
      <rc t="2" v="7881"/>
    </bk>
    <bk>
      <rc t="2" v="7882"/>
    </bk>
    <bk>
      <rc t="2" v="7883"/>
    </bk>
    <bk>
      <rc t="2" v="7884"/>
    </bk>
    <bk>
      <rc t="2" v="7885"/>
    </bk>
    <bk>
      <rc t="2" v="7886"/>
    </bk>
    <bk>
      <rc t="2" v="7887"/>
    </bk>
    <bk>
      <rc t="2" v="7888"/>
    </bk>
    <bk>
      <rc t="2" v="7889"/>
    </bk>
    <bk>
      <rc t="2" v="7890"/>
    </bk>
    <bk>
      <rc t="2" v="7891"/>
    </bk>
    <bk>
      <rc t="2" v="7892"/>
    </bk>
    <bk>
      <rc t="2" v="7893"/>
    </bk>
    <bk>
      <rc t="2" v="7894"/>
    </bk>
    <bk>
      <rc t="2" v="7895"/>
    </bk>
    <bk>
      <rc t="2" v="7896"/>
    </bk>
    <bk>
      <rc t="2" v="7897"/>
    </bk>
    <bk>
      <rc t="2" v="7898"/>
    </bk>
    <bk>
      <rc t="2" v="7899"/>
    </bk>
    <bk>
      <rc t="2" v="7900"/>
    </bk>
    <bk>
      <rc t="2" v="7901"/>
    </bk>
    <bk>
      <rc t="2" v="7902"/>
    </bk>
    <bk>
      <rc t="2" v="7903"/>
    </bk>
    <bk>
      <rc t="2" v="7904"/>
    </bk>
    <bk>
      <rc t="2" v="7905"/>
    </bk>
    <bk>
      <rc t="2" v="7906"/>
    </bk>
    <bk>
      <rc t="2" v="7907"/>
    </bk>
    <bk>
      <rc t="2" v="7908"/>
    </bk>
    <bk>
      <rc t="2" v="7909"/>
    </bk>
    <bk>
      <rc t="2" v="7910"/>
    </bk>
    <bk>
      <rc t="2" v="7911"/>
    </bk>
    <bk>
      <rc t="2" v="7912"/>
    </bk>
    <bk>
      <rc t="2" v="7913"/>
    </bk>
    <bk>
      <rc t="2" v="7914"/>
    </bk>
    <bk>
      <rc t="2" v="7915"/>
    </bk>
    <bk>
      <rc t="2" v="7916"/>
    </bk>
    <bk>
      <rc t="2" v="7917"/>
    </bk>
    <bk>
      <rc t="2" v="7918"/>
    </bk>
    <bk>
      <rc t="2" v="7919"/>
    </bk>
    <bk>
      <rc t="2" v="7920"/>
    </bk>
    <bk>
      <rc t="2" v="7921"/>
    </bk>
    <bk>
      <rc t="2" v="7922"/>
    </bk>
    <bk>
      <rc t="2" v="7923"/>
    </bk>
    <bk>
      <rc t="2" v="7924"/>
    </bk>
    <bk>
      <rc t="2" v="7925"/>
    </bk>
    <bk>
      <rc t="2" v="7926"/>
    </bk>
    <bk>
      <rc t="2" v="7927"/>
    </bk>
    <bk>
      <rc t="2" v="7928"/>
    </bk>
    <bk>
      <rc t="2" v="7929"/>
    </bk>
    <bk>
      <rc t="2" v="7930"/>
    </bk>
    <bk>
      <rc t="2" v="7931"/>
    </bk>
    <bk>
      <rc t="2" v="7932"/>
    </bk>
    <bk>
      <rc t="2" v="7933"/>
    </bk>
    <bk>
      <rc t="2" v="7934"/>
    </bk>
    <bk>
      <rc t="2" v="7935"/>
    </bk>
    <bk>
      <rc t="2" v="7936"/>
    </bk>
    <bk>
      <rc t="2" v="7937"/>
    </bk>
    <bk>
      <rc t="2" v="7938"/>
    </bk>
    <bk>
      <rc t="2" v="7939"/>
    </bk>
    <bk>
      <rc t="2" v="7940"/>
    </bk>
    <bk>
      <rc t="2" v="7941"/>
    </bk>
    <bk>
      <rc t="2" v="7942"/>
    </bk>
    <bk>
      <rc t="2" v="7943"/>
    </bk>
    <bk>
      <rc t="2" v="7944"/>
    </bk>
    <bk>
      <rc t="2" v="7945"/>
    </bk>
    <bk>
      <rc t="2" v="7946"/>
    </bk>
    <bk>
      <rc t="2" v="7947"/>
    </bk>
    <bk>
      <rc t="2" v="7948"/>
    </bk>
    <bk>
      <rc t="2" v="7949"/>
    </bk>
    <bk>
      <rc t="2" v="7950"/>
    </bk>
    <bk>
      <rc t="2" v="7951"/>
    </bk>
    <bk>
      <rc t="2" v="7952"/>
    </bk>
    <bk>
      <rc t="2" v="7953"/>
    </bk>
    <bk>
      <rc t="2" v="7954"/>
    </bk>
    <bk>
      <rc t="2" v="7955"/>
    </bk>
    <bk>
      <rc t="2" v="7956"/>
    </bk>
    <bk>
      <rc t="2" v="7957"/>
    </bk>
    <bk>
      <rc t="2" v="7958"/>
    </bk>
    <bk>
      <rc t="2" v="7959"/>
    </bk>
    <bk>
      <rc t="2" v="7960"/>
    </bk>
    <bk>
      <rc t="2" v="7961"/>
    </bk>
    <bk>
      <rc t="2" v="7962"/>
    </bk>
    <bk>
      <rc t="2" v="7963"/>
    </bk>
    <bk>
      <rc t="2" v="7964"/>
    </bk>
    <bk>
      <rc t="2" v="7965"/>
    </bk>
    <bk>
      <rc t="2" v="7966"/>
    </bk>
    <bk>
      <rc t="2" v="7967"/>
    </bk>
    <bk>
      <rc t="2" v="7968"/>
    </bk>
    <bk>
      <rc t="2" v="7969"/>
    </bk>
    <bk>
      <rc t="2" v="7970"/>
    </bk>
    <bk>
      <rc t="2" v="7971"/>
    </bk>
    <bk>
      <rc t="2" v="7972"/>
    </bk>
    <bk>
      <rc t="2" v="7973"/>
    </bk>
    <bk>
      <rc t="2" v="7974"/>
    </bk>
    <bk>
      <rc t="2" v="7975"/>
    </bk>
    <bk>
      <rc t="2" v="7976"/>
    </bk>
    <bk>
      <rc t="2" v="7977"/>
    </bk>
    <bk>
      <rc t="2" v="7978"/>
    </bk>
    <bk>
      <rc t="2" v="7979"/>
    </bk>
    <bk>
      <rc t="2" v="7980"/>
    </bk>
    <bk>
      <rc t="2" v="7981"/>
    </bk>
    <bk>
      <rc t="2" v="7982"/>
    </bk>
    <bk>
      <rc t="2" v="7983"/>
    </bk>
    <bk>
      <rc t="2" v="7984"/>
    </bk>
    <bk>
      <rc t="2" v="7985"/>
    </bk>
    <bk>
      <rc t="2" v="7986"/>
    </bk>
    <bk>
      <rc t="2" v="7987"/>
    </bk>
    <bk>
      <rc t="2" v="7988"/>
    </bk>
    <bk>
      <rc t="2" v="7989"/>
    </bk>
    <bk>
      <rc t="2" v="7990"/>
    </bk>
    <bk>
      <rc t="2" v="7991"/>
    </bk>
    <bk>
      <rc t="2" v="7992"/>
    </bk>
    <bk>
      <rc t="2" v="7993"/>
    </bk>
    <bk>
      <rc t="2" v="7994"/>
    </bk>
    <bk>
      <rc t="2" v="7995"/>
    </bk>
    <bk>
      <rc t="2" v="7996"/>
    </bk>
    <bk>
      <rc t="2" v="7997"/>
    </bk>
    <bk>
      <rc t="2" v="7998"/>
    </bk>
    <bk>
      <rc t="2" v="7999"/>
    </bk>
    <bk>
      <rc t="2" v="8000"/>
    </bk>
    <bk>
      <rc t="2" v="8001"/>
    </bk>
    <bk>
      <rc t="2" v="8002"/>
    </bk>
    <bk>
      <rc t="2" v="8003"/>
    </bk>
    <bk>
      <rc t="2" v="8004"/>
    </bk>
    <bk>
      <rc t="2" v="8005"/>
    </bk>
    <bk>
      <rc t="2" v="8006"/>
    </bk>
    <bk>
      <rc t="2" v="8007"/>
    </bk>
    <bk>
      <rc t="2" v="8008"/>
    </bk>
    <bk>
      <rc t="2" v="8009"/>
    </bk>
    <bk>
      <rc t="2" v="8010"/>
    </bk>
    <bk>
      <rc t="2" v="8011"/>
    </bk>
    <bk>
      <rc t="2" v="8012"/>
    </bk>
    <bk>
      <rc t="2" v="8013"/>
    </bk>
    <bk>
      <rc t="2" v="8014"/>
    </bk>
    <bk>
      <rc t="2" v="8015"/>
    </bk>
    <bk>
      <rc t="2" v="8016"/>
    </bk>
    <bk>
      <rc t="2" v="8017"/>
    </bk>
    <bk>
      <rc t="2" v="8018"/>
    </bk>
    <bk>
      <rc t="2" v="8019"/>
    </bk>
    <bk>
      <rc t="2" v="8020"/>
    </bk>
    <bk>
      <rc t="2" v="8021"/>
    </bk>
    <bk>
      <rc t="2" v="8022"/>
    </bk>
    <bk>
      <rc t="2" v="8023"/>
    </bk>
    <bk>
      <rc t="2" v="8024"/>
    </bk>
    <bk>
      <rc t="2" v="8025"/>
    </bk>
    <bk>
      <rc t="2" v="8026"/>
    </bk>
    <bk>
      <rc t="2" v="8027"/>
    </bk>
    <bk>
      <rc t="2" v="8028"/>
    </bk>
    <bk>
      <rc t="2" v="8029"/>
    </bk>
    <bk>
      <rc t="2" v="8030"/>
    </bk>
    <bk>
      <rc t="2" v="8031"/>
    </bk>
    <bk>
      <rc t="2" v="8032"/>
    </bk>
    <bk>
      <rc t="2" v="8033"/>
    </bk>
    <bk>
      <rc t="2" v="8034"/>
    </bk>
    <bk>
      <rc t="2" v="8035"/>
    </bk>
    <bk>
      <rc t="2" v="8036"/>
    </bk>
    <bk>
      <rc t="2" v="8037"/>
    </bk>
    <bk>
      <rc t="2" v="8038"/>
    </bk>
    <bk>
      <rc t="2" v="8039"/>
    </bk>
    <bk>
      <rc t="2" v="8040"/>
    </bk>
    <bk>
      <rc t="2" v="8041"/>
    </bk>
    <bk>
      <rc t="2" v="8042"/>
    </bk>
    <bk>
      <rc t="2" v="8043"/>
    </bk>
    <bk>
      <rc t="2" v="8044"/>
    </bk>
    <bk>
      <rc t="2" v="8045"/>
    </bk>
    <bk>
      <rc t="2" v="8046"/>
    </bk>
    <bk>
      <rc t="2" v="8047"/>
    </bk>
    <bk>
      <rc t="2" v="8048"/>
    </bk>
    <bk>
      <rc t="2" v="8049"/>
    </bk>
    <bk>
      <rc t="2" v="8050"/>
    </bk>
    <bk>
      <rc t="2" v="8051"/>
    </bk>
    <bk>
      <rc t="2" v="8052"/>
    </bk>
    <bk>
      <rc t="2" v="8053"/>
    </bk>
    <bk>
      <rc t="2" v="8054"/>
    </bk>
    <bk>
      <rc t="2" v="8055"/>
    </bk>
    <bk>
      <rc t="2" v="8056"/>
    </bk>
    <bk>
      <rc t="2" v="8057"/>
    </bk>
    <bk>
      <rc t="2" v="8058"/>
    </bk>
    <bk>
      <rc t="2" v="8059"/>
    </bk>
    <bk>
      <rc t="2" v="8060"/>
    </bk>
    <bk>
      <rc t="2" v="8061"/>
    </bk>
    <bk>
      <rc t="2" v="8062"/>
    </bk>
    <bk>
      <rc t="2" v="8063"/>
    </bk>
    <bk>
      <rc t="2" v="8064"/>
    </bk>
    <bk>
      <rc t="2" v="8065"/>
    </bk>
    <bk>
      <rc t="2" v="8066"/>
    </bk>
    <bk>
      <rc t="2" v="8067"/>
    </bk>
    <bk>
      <rc t="2" v="8068"/>
    </bk>
    <bk>
      <rc t="2" v="8069"/>
    </bk>
    <bk>
      <rc t="2" v="8070"/>
    </bk>
    <bk>
      <rc t="2" v="8071"/>
    </bk>
    <bk>
      <rc t="2" v="8072"/>
    </bk>
    <bk>
      <rc t="2" v="8073"/>
    </bk>
    <bk>
      <rc t="2" v="8074"/>
    </bk>
    <bk>
      <rc t="2" v="8075"/>
    </bk>
    <bk>
      <rc t="2" v="8076"/>
    </bk>
    <bk>
      <rc t="2" v="8077"/>
    </bk>
    <bk>
      <rc t="2" v="8078"/>
    </bk>
    <bk>
      <rc t="2" v="8079"/>
    </bk>
    <bk>
      <rc t="2" v="8080"/>
    </bk>
    <bk>
      <rc t="2" v="8081"/>
    </bk>
    <bk>
      <rc t="2" v="8082"/>
    </bk>
    <bk>
      <rc t="2" v="8083"/>
    </bk>
    <bk>
      <rc t="2" v="8084"/>
    </bk>
    <bk>
      <rc t="2" v="8085"/>
    </bk>
    <bk>
      <rc t="2" v="8086"/>
    </bk>
    <bk>
      <rc t="2" v="8087"/>
    </bk>
    <bk>
      <rc t="2" v="8088"/>
    </bk>
    <bk>
      <rc t="2" v="8089"/>
    </bk>
    <bk>
      <rc t="2" v="8090"/>
    </bk>
    <bk>
      <rc t="2" v="8091"/>
    </bk>
    <bk>
      <rc t="2" v="8092"/>
    </bk>
    <bk>
      <rc t="2" v="8093"/>
    </bk>
    <bk>
      <rc t="2" v="8094"/>
    </bk>
    <bk>
      <rc t="2" v="8095"/>
    </bk>
    <bk>
      <rc t="2" v="8096"/>
    </bk>
    <bk>
      <rc t="2" v="8097"/>
    </bk>
    <bk>
      <rc t="2" v="8098"/>
    </bk>
    <bk>
      <rc t="2" v="8099"/>
    </bk>
    <bk>
      <rc t="2" v="8100"/>
    </bk>
    <bk>
      <rc t="2" v="8101"/>
    </bk>
    <bk>
      <rc t="2" v="8102"/>
    </bk>
    <bk>
      <rc t="2" v="8103"/>
    </bk>
    <bk>
      <rc t="2" v="8104"/>
    </bk>
    <bk>
      <rc t="2" v="8105"/>
    </bk>
    <bk>
      <rc t="2" v="8106"/>
    </bk>
    <bk>
      <rc t="2" v="8107"/>
    </bk>
    <bk>
      <rc t="2" v="8108"/>
    </bk>
    <bk>
      <rc t="2" v="8109"/>
    </bk>
    <bk>
      <rc t="2" v="8110"/>
    </bk>
    <bk>
      <rc t="2" v="8111"/>
    </bk>
    <bk>
      <rc t="2" v="8112"/>
    </bk>
    <bk>
      <rc t="2" v="8113"/>
    </bk>
    <bk>
      <rc t="2" v="8114"/>
    </bk>
    <bk>
      <rc t="2" v="8115"/>
    </bk>
    <bk>
      <rc t="2" v="8116"/>
    </bk>
    <bk>
      <rc t="2" v="8117"/>
    </bk>
    <bk>
      <rc t="2" v="8118"/>
    </bk>
    <bk>
      <rc t="2" v="8119"/>
    </bk>
    <bk>
      <rc t="2" v="8120"/>
    </bk>
    <bk>
      <rc t="2" v="8121"/>
    </bk>
    <bk>
      <rc t="2" v="8122"/>
    </bk>
    <bk>
      <rc t="2" v="8123"/>
    </bk>
    <bk>
      <rc t="2" v="8124"/>
    </bk>
    <bk>
      <rc t="2" v="8125"/>
    </bk>
    <bk>
      <rc t="2" v="8126"/>
    </bk>
    <bk>
      <rc t="2" v="8127"/>
    </bk>
    <bk>
      <rc t="2" v="8128"/>
    </bk>
    <bk>
      <rc t="2" v="8129"/>
    </bk>
    <bk>
      <rc t="2" v="8130"/>
    </bk>
    <bk>
      <rc t="2" v="8131"/>
    </bk>
    <bk>
      <rc t="2" v="8132"/>
    </bk>
    <bk>
      <rc t="2" v="8133"/>
    </bk>
    <bk>
      <rc t="2" v="8134"/>
    </bk>
    <bk>
      <rc t="2" v="8135"/>
    </bk>
    <bk>
      <rc t="2" v="8136"/>
    </bk>
    <bk>
      <rc t="2" v="8137"/>
    </bk>
    <bk>
      <rc t="2" v="8138"/>
    </bk>
    <bk>
      <rc t="2" v="8139"/>
    </bk>
    <bk>
      <rc t="2" v="8140"/>
    </bk>
    <bk>
      <rc t="2" v="8141"/>
    </bk>
    <bk>
      <rc t="2" v="8142"/>
    </bk>
    <bk>
      <rc t="2" v="8143"/>
    </bk>
    <bk>
      <rc t="2" v="8144"/>
    </bk>
    <bk>
      <rc t="2" v="8145"/>
    </bk>
    <bk>
      <rc t="2" v="8146"/>
    </bk>
    <bk>
      <rc t="2" v="8147"/>
    </bk>
    <bk>
      <rc t="2" v="8148"/>
    </bk>
    <bk>
      <rc t="2" v="8149"/>
    </bk>
    <bk>
      <rc t="2" v="8150"/>
    </bk>
    <bk>
      <rc t="2" v="8151"/>
    </bk>
    <bk>
      <rc t="2" v="8152"/>
    </bk>
    <bk>
      <rc t="2" v="8153"/>
    </bk>
    <bk>
      <rc t="2" v="8154"/>
    </bk>
    <bk>
      <rc t="2" v="8155"/>
    </bk>
    <bk>
      <rc t="2" v="8156"/>
    </bk>
    <bk>
      <rc t="2" v="8157"/>
    </bk>
    <bk>
      <rc t="2" v="8158"/>
    </bk>
    <bk>
      <rc t="2" v="8159"/>
    </bk>
    <bk>
      <rc t="2" v="8160"/>
    </bk>
    <bk>
      <rc t="2" v="8161"/>
    </bk>
    <bk>
      <rc t="2" v="8162"/>
    </bk>
    <bk>
      <rc t="2" v="8163"/>
    </bk>
    <bk>
      <rc t="2" v="8164"/>
    </bk>
    <bk>
      <rc t="2" v="8165"/>
    </bk>
    <bk>
      <rc t="2" v="8166"/>
    </bk>
    <bk>
      <rc t="2" v="8167"/>
    </bk>
    <bk>
      <rc t="2" v="8168"/>
    </bk>
    <bk>
      <rc t="2" v="8169"/>
    </bk>
    <bk>
      <rc t="2" v="8170"/>
    </bk>
    <bk>
      <rc t="2" v="8171"/>
    </bk>
    <bk>
      <rc t="2" v="8172"/>
    </bk>
    <bk>
      <rc t="2" v="8173"/>
    </bk>
    <bk>
      <rc t="2" v="8174"/>
    </bk>
    <bk>
      <rc t="2" v="8175"/>
    </bk>
    <bk>
      <rc t="2" v="8176"/>
    </bk>
    <bk>
      <rc t="2" v="8177"/>
    </bk>
    <bk>
      <rc t="2" v="8178"/>
    </bk>
    <bk>
      <rc t="2" v="8179"/>
    </bk>
    <bk>
      <rc t="2" v="8180"/>
    </bk>
    <bk>
      <rc t="2" v="8181"/>
    </bk>
    <bk>
      <rc t="2" v="8182"/>
    </bk>
    <bk>
      <rc t="2" v="8183"/>
    </bk>
    <bk>
      <rc t="2" v="8184"/>
    </bk>
    <bk>
      <rc t="2" v="8185"/>
    </bk>
    <bk>
      <rc t="2" v="8186"/>
    </bk>
    <bk>
      <rc t="2" v="8187"/>
    </bk>
    <bk>
      <rc t="2" v="8188"/>
    </bk>
    <bk>
      <rc t="2" v="8189"/>
    </bk>
    <bk>
      <rc t="2" v="8190"/>
    </bk>
    <bk>
      <rc t="2" v="8191"/>
    </bk>
    <bk>
      <rc t="2" v="8192"/>
    </bk>
    <bk>
      <rc t="2" v="8193"/>
    </bk>
    <bk>
      <rc t="2" v="8194"/>
    </bk>
    <bk>
      <rc t="2" v="8195"/>
    </bk>
    <bk>
      <rc t="2" v="8196"/>
    </bk>
    <bk>
      <rc t="2" v="8197"/>
    </bk>
    <bk>
      <rc t="2" v="8198"/>
    </bk>
    <bk>
      <rc t="2" v="8199"/>
    </bk>
    <bk>
      <rc t="2" v="8200"/>
    </bk>
    <bk>
      <rc t="2" v="8201"/>
    </bk>
    <bk>
      <rc t="2" v="8202"/>
    </bk>
    <bk>
      <rc t="2" v="8203"/>
    </bk>
    <bk>
      <rc t="2" v="8204"/>
    </bk>
    <bk>
      <rc t="2" v="8205"/>
    </bk>
    <bk>
      <rc t="2" v="8206"/>
    </bk>
    <bk>
      <rc t="2" v="8207"/>
    </bk>
    <bk>
      <rc t="2" v="8208"/>
    </bk>
    <bk>
      <rc t="2" v="8209"/>
    </bk>
    <bk>
      <rc t="2" v="8210"/>
    </bk>
    <bk>
      <rc t="2" v="8211"/>
    </bk>
    <bk>
      <rc t="2" v="8212"/>
    </bk>
    <bk>
      <rc t="2" v="8213"/>
    </bk>
    <bk>
      <rc t="2" v="8214"/>
    </bk>
    <bk>
      <rc t="2" v="8215"/>
    </bk>
    <bk>
      <rc t="2" v="8216"/>
    </bk>
    <bk>
      <rc t="2" v="8217"/>
    </bk>
    <bk>
      <rc t="2" v="8218"/>
    </bk>
    <bk>
      <rc t="2" v="8219"/>
    </bk>
    <bk>
      <rc t="2" v="8220"/>
    </bk>
    <bk>
      <rc t="2" v="8221"/>
    </bk>
    <bk>
      <rc t="2" v="8222"/>
    </bk>
    <bk>
      <rc t="2" v="8223"/>
    </bk>
    <bk>
      <rc t="2" v="8224"/>
    </bk>
    <bk>
      <rc t="2" v="8225"/>
    </bk>
    <bk>
      <rc t="2" v="8226"/>
    </bk>
    <bk>
      <rc t="2" v="8227"/>
    </bk>
    <bk>
      <rc t="2" v="8228"/>
    </bk>
    <bk>
      <rc t="2" v="8229"/>
    </bk>
    <bk>
      <rc t="2" v="8230"/>
    </bk>
    <bk>
      <rc t="2" v="8231"/>
    </bk>
    <bk>
      <rc t="2" v="8232"/>
    </bk>
    <bk>
      <rc t="2" v="8233"/>
    </bk>
    <bk>
      <rc t="2" v="8234"/>
    </bk>
    <bk>
      <rc t="2" v="8235"/>
    </bk>
    <bk>
      <rc t="2" v="8236"/>
    </bk>
    <bk>
      <rc t="2" v="8237"/>
    </bk>
    <bk>
      <rc t="2" v="8238"/>
    </bk>
    <bk>
      <rc t="2" v="8239"/>
    </bk>
    <bk>
      <rc t="2" v="8240"/>
    </bk>
    <bk>
      <rc t="2" v="8241"/>
    </bk>
    <bk>
      <rc t="2" v="8242"/>
    </bk>
    <bk>
      <rc t="2" v="8243"/>
    </bk>
    <bk>
      <rc t="2" v="8244"/>
    </bk>
    <bk>
      <rc t="2" v="8245"/>
    </bk>
    <bk>
      <rc t="2" v="8246"/>
    </bk>
    <bk>
      <rc t="2" v="8247"/>
    </bk>
    <bk>
      <rc t="2" v="8248"/>
    </bk>
    <bk>
      <rc t="2" v="8249"/>
    </bk>
    <bk>
      <rc t="2" v="8250"/>
    </bk>
    <bk>
      <rc t="2" v="8251"/>
    </bk>
    <bk>
      <rc t="2" v="8252"/>
    </bk>
    <bk>
      <rc t="2" v="8253"/>
    </bk>
    <bk>
      <rc t="2" v="8254"/>
    </bk>
    <bk>
      <rc t="2" v="8255"/>
    </bk>
    <bk>
      <rc t="2" v="8256"/>
    </bk>
    <bk>
      <rc t="2" v="8257"/>
    </bk>
    <bk>
      <rc t="2" v="8258"/>
    </bk>
    <bk>
      <rc t="2" v="8259"/>
    </bk>
    <bk>
      <rc t="2" v="8260"/>
    </bk>
    <bk>
      <rc t="2" v="8261"/>
    </bk>
    <bk>
      <rc t="2" v="8262"/>
    </bk>
    <bk>
      <rc t="2" v="8263"/>
    </bk>
    <bk>
      <rc t="2" v="8264"/>
    </bk>
    <bk>
      <rc t="2" v="8265"/>
    </bk>
    <bk>
      <rc t="2" v="8266"/>
    </bk>
    <bk>
      <rc t="2" v="8267"/>
    </bk>
    <bk>
      <rc t="2" v="8268"/>
    </bk>
    <bk>
      <rc t="2" v="8269"/>
    </bk>
    <bk>
      <rc t="2" v="8270"/>
    </bk>
    <bk>
      <rc t="2" v="8271"/>
    </bk>
    <bk>
      <rc t="2" v="8272"/>
    </bk>
    <bk>
      <rc t="2" v="8273"/>
    </bk>
    <bk>
      <rc t="2" v="8274"/>
    </bk>
    <bk>
      <rc t="2" v="8275"/>
    </bk>
    <bk>
      <rc t="2" v="8276"/>
    </bk>
    <bk>
      <rc t="2" v="8277"/>
    </bk>
    <bk>
      <rc t="2" v="8278"/>
    </bk>
    <bk>
      <rc t="2" v="8279"/>
    </bk>
    <bk>
      <rc t="2" v="8280"/>
    </bk>
    <bk>
      <rc t="2" v="8281"/>
    </bk>
    <bk>
      <rc t="2" v="8282"/>
    </bk>
    <bk>
      <rc t="2" v="8283"/>
    </bk>
    <bk>
      <rc t="2" v="8284"/>
    </bk>
    <bk>
      <rc t="2" v="8285"/>
    </bk>
    <bk>
      <rc t="2" v="8286"/>
    </bk>
    <bk>
      <rc t="2" v="8287"/>
    </bk>
    <bk>
      <rc t="2" v="8288"/>
    </bk>
    <bk>
      <rc t="2" v="8289"/>
    </bk>
    <bk>
      <rc t="2" v="8290"/>
    </bk>
    <bk>
      <rc t="2" v="8291"/>
    </bk>
    <bk>
      <rc t="2" v="8292"/>
    </bk>
    <bk>
      <rc t="2" v="8293"/>
    </bk>
    <bk>
      <rc t="2" v="8294"/>
    </bk>
    <bk>
      <rc t="2" v="8295"/>
    </bk>
    <bk>
      <rc t="2" v="8296"/>
    </bk>
    <bk>
      <rc t="2" v="8297"/>
    </bk>
    <bk>
      <rc t="2" v="8298"/>
    </bk>
    <bk>
      <rc t="2" v="8299"/>
    </bk>
    <bk>
      <rc t="2" v="8300"/>
    </bk>
    <bk>
      <rc t="2" v="8301"/>
    </bk>
    <bk>
      <rc t="2" v="8302"/>
    </bk>
    <bk>
      <rc t="2" v="8303"/>
    </bk>
    <bk>
      <rc t="2" v="8304"/>
    </bk>
    <bk>
      <rc t="2" v="8305"/>
    </bk>
    <bk>
      <rc t="2" v="8306"/>
    </bk>
    <bk>
      <rc t="2" v="8307"/>
    </bk>
    <bk>
      <rc t="2" v="8308"/>
    </bk>
    <bk>
      <rc t="2" v="8309"/>
    </bk>
    <bk>
      <rc t="2" v="8310"/>
    </bk>
    <bk>
      <rc t="2" v="8311"/>
    </bk>
    <bk>
      <rc t="2" v="8312"/>
    </bk>
    <bk>
      <rc t="2" v="8313"/>
    </bk>
    <bk>
      <rc t="2" v="8314"/>
    </bk>
    <bk>
      <rc t="2" v="8315"/>
    </bk>
    <bk>
      <rc t="2" v="8316"/>
    </bk>
    <bk>
      <rc t="2" v="8317"/>
    </bk>
    <bk>
      <rc t="2" v="8318"/>
    </bk>
    <bk>
      <rc t="2" v="8319"/>
    </bk>
    <bk>
      <rc t="2" v="8320"/>
    </bk>
    <bk>
      <rc t="2" v="8321"/>
    </bk>
    <bk>
      <rc t="2" v="8322"/>
    </bk>
    <bk>
      <rc t="2" v="8323"/>
    </bk>
    <bk>
      <rc t="2" v="8324"/>
    </bk>
    <bk>
      <rc t="2" v="8325"/>
    </bk>
    <bk>
      <rc t="2" v="8326"/>
    </bk>
    <bk>
      <rc t="2" v="8327"/>
    </bk>
    <bk>
      <rc t="2" v="8328"/>
    </bk>
    <bk>
      <rc t="2" v="8329"/>
    </bk>
    <bk>
      <rc t="2" v="8330"/>
    </bk>
    <bk>
      <rc t="2" v="8331"/>
    </bk>
    <bk>
      <rc t="2" v="8332"/>
    </bk>
    <bk>
      <rc t="2" v="8333"/>
    </bk>
    <bk>
      <rc t="2" v="8334"/>
    </bk>
    <bk>
      <rc t="2" v="8335"/>
    </bk>
    <bk>
      <rc t="2" v="8336"/>
    </bk>
    <bk>
      <rc t="2" v="8337"/>
    </bk>
    <bk>
      <rc t="2" v="8338"/>
    </bk>
    <bk>
      <rc t="2" v="8339"/>
    </bk>
    <bk>
      <rc t="2" v="8340"/>
    </bk>
    <bk>
      <rc t="2" v="8341"/>
    </bk>
    <bk>
      <rc t="2" v="8342"/>
    </bk>
    <bk>
      <rc t="2" v="8343"/>
    </bk>
    <bk>
      <rc t="2" v="8344"/>
    </bk>
    <bk>
      <rc t="2" v="8345"/>
    </bk>
    <bk>
      <rc t="2" v="8346"/>
    </bk>
    <bk>
      <rc t="2" v="8347"/>
    </bk>
    <bk>
      <rc t="2" v="8348"/>
    </bk>
    <bk>
      <rc t="2" v="8349"/>
    </bk>
    <bk>
      <rc t="2" v="8350"/>
    </bk>
    <bk>
      <rc t="2" v="8351"/>
    </bk>
    <bk>
      <rc t="2" v="8352"/>
    </bk>
    <bk>
      <rc t="2" v="8353"/>
    </bk>
    <bk>
      <rc t="2" v="8354"/>
    </bk>
    <bk>
      <rc t="2" v="8355"/>
    </bk>
    <bk>
      <rc t="2" v="8356"/>
    </bk>
    <bk>
      <rc t="2" v="8357"/>
    </bk>
    <bk>
      <rc t="2" v="8358"/>
    </bk>
    <bk>
      <rc t="2" v="8359"/>
    </bk>
    <bk>
      <rc t="2" v="8360"/>
    </bk>
    <bk>
      <rc t="2" v="8361"/>
    </bk>
    <bk>
      <rc t="2" v="8362"/>
    </bk>
    <bk>
      <rc t="2" v="8363"/>
    </bk>
    <bk>
      <rc t="2" v="8364"/>
    </bk>
    <bk>
      <rc t="2" v="8365"/>
    </bk>
    <bk>
      <rc t="2" v="8366"/>
    </bk>
    <bk>
      <rc t="2" v="8367"/>
    </bk>
    <bk>
      <rc t="2" v="8368"/>
    </bk>
    <bk>
      <rc t="2" v="8369"/>
    </bk>
    <bk>
      <rc t="2" v="8370"/>
    </bk>
    <bk>
      <rc t="2" v="8371"/>
    </bk>
    <bk>
      <rc t="2" v="8372"/>
    </bk>
    <bk>
      <rc t="2" v="8373"/>
    </bk>
    <bk>
      <rc t="2" v="8374"/>
    </bk>
    <bk>
      <rc t="2" v="8375"/>
    </bk>
    <bk>
      <rc t="2" v="8376"/>
    </bk>
    <bk>
      <rc t="2" v="8377"/>
    </bk>
    <bk>
      <rc t="2" v="8378"/>
    </bk>
    <bk>
      <rc t="2" v="8379"/>
    </bk>
    <bk>
      <rc t="2" v="8380"/>
    </bk>
    <bk>
      <rc t="2" v="8381"/>
    </bk>
    <bk>
      <rc t="2" v="8382"/>
    </bk>
    <bk>
      <rc t="2" v="8383"/>
    </bk>
    <bk>
      <rc t="2" v="8384"/>
    </bk>
    <bk>
      <rc t="2" v="8385"/>
    </bk>
    <bk>
      <rc t="2" v="8386"/>
    </bk>
    <bk>
      <rc t="2" v="8387"/>
    </bk>
    <bk>
      <rc t="2" v="8388"/>
    </bk>
    <bk>
      <rc t="2" v="8389"/>
    </bk>
    <bk>
      <rc t="2" v="8390"/>
    </bk>
    <bk>
      <rc t="2" v="8391"/>
    </bk>
    <bk>
      <rc t="2" v="8392"/>
    </bk>
    <bk>
      <rc t="2" v="8393"/>
    </bk>
    <bk>
      <rc t="2" v="8394"/>
    </bk>
    <bk>
      <rc t="2" v="8395"/>
    </bk>
    <bk>
      <rc t="2" v="8396"/>
    </bk>
    <bk>
      <rc t="2" v="8397"/>
    </bk>
    <bk>
      <rc t="2" v="8398"/>
    </bk>
    <bk>
      <rc t="2" v="8399"/>
    </bk>
    <bk>
      <rc t="2" v="8400"/>
    </bk>
    <bk>
      <rc t="2" v="8401"/>
    </bk>
    <bk>
      <rc t="2" v="8402"/>
    </bk>
    <bk>
      <rc t="2" v="8403"/>
    </bk>
    <bk>
      <rc t="2" v="8404"/>
    </bk>
    <bk>
      <rc t="2" v="8405"/>
    </bk>
    <bk>
      <rc t="2" v="8406"/>
    </bk>
    <bk>
      <rc t="2" v="8407"/>
    </bk>
    <bk>
      <rc t="2" v="8408"/>
    </bk>
    <bk>
      <rc t="2" v="8409"/>
    </bk>
    <bk>
      <rc t="2" v="8410"/>
    </bk>
    <bk>
      <rc t="2" v="8411"/>
    </bk>
    <bk>
      <rc t="2" v="8412"/>
    </bk>
    <bk>
      <rc t="2" v="8413"/>
    </bk>
    <bk>
      <rc t="2" v="8414"/>
    </bk>
    <bk>
      <rc t="2" v="8415"/>
    </bk>
    <bk>
      <rc t="2" v="8416"/>
    </bk>
    <bk>
      <rc t="2" v="8417"/>
    </bk>
    <bk>
      <rc t="2" v="8418"/>
    </bk>
    <bk>
      <rc t="2" v="8419"/>
    </bk>
    <bk>
      <rc t="2" v="8420"/>
    </bk>
    <bk>
      <rc t="2" v="8421"/>
    </bk>
    <bk>
      <rc t="2" v="8422"/>
    </bk>
    <bk>
      <rc t="2" v="8423"/>
    </bk>
    <bk>
      <rc t="2" v="8424"/>
    </bk>
    <bk>
      <rc t="2" v="8425"/>
    </bk>
    <bk>
      <rc t="2" v="8426"/>
    </bk>
    <bk>
      <rc t="2" v="8427"/>
    </bk>
    <bk>
      <rc t="2" v="8428"/>
    </bk>
    <bk>
      <rc t="2" v="8429"/>
    </bk>
    <bk>
      <rc t="2" v="8430"/>
    </bk>
    <bk>
      <rc t="2" v="8431"/>
    </bk>
    <bk>
      <rc t="2" v="8432"/>
    </bk>
    <bk>
      <rc t="2" v="8433"/>
    </bk>
    <bk>
      <rc t="2" v="8434"/>
    </bk>
    <bk>
      <rc t="2" v="8435"/>
    </bk>
    <bk>
      <rc t="2" v="8436"/>
    </bk>
    <bk>
      <rc t="2" v="8437"/>
    </bk>
    <bk>
      <rc t="2" v="8438"/>
    </bk>
    <bk>
      <rc t="2" v="8439"/>
    </bk>
    <bk>
      <rc t="2" v="8440"/>
    </bk>
    <bk>
      <rc t="2" v="8441"/>
    </bk>
    <bk>
      <rc t="2" v="8442"/>
    </bk>
    <bk>
      <rc t="2" v="8443"/>
    </bk>
    <bk>
      <rc t="2" v="8444"/>
    </bk>
    <bk>
      <rc t="2" v="8445"/>
    </bk>
    <bk>
      <rc t="2" v="8446"/>
    </bk>
    <bk>
      <rc t="2" v="8447"/>
    </bk>
    <bk>
      <rc t="2" v="8448"/>
    </bk>
    <bk>
      <rc t="2" v="8449"/>
    </bk>
    <bk>
      <rc t="2" v="8450"/>
    </bk>
    <bk>
      <rc t="2" v="8451"/>
    </bk>
    <bk>
      <rc t="2" v="8452"/>
    </bk>
    <bk>
      <rc t="2" v="8453"/>
    </bk>
    <bk>
      <rc t="2" v="8454"/>
    </bk>
    <bk>
      <rc t="2" v="8455"/>
    </bk>
    <bk>
      <rc t="2" v="8456"/>
    </bk>
    <bk>
      <rc t="2" v="8457"/>
    </bk>
    <bk>
      <rc t="2" v="8458"/>
    </bk>
    <bk>
      <rc t="2" v="8459"/>
    </bk>
    <bk>
      <rc t="2" v="8460"/>
    </bk>
    <bk>
      <rc t="2" v="8461"/>
    </bk>
    <bk>
      <rc t="2" v="8462"/>
    </bk>
    <bk>
      <rc t="2" v="8463"/>
    </bk>
    <bk>
      <rc t="2" v="8464"/>
    </bk>
    <bk>
      <rc t="2" v="8465"/>
    </bk>
    <bk>
      <rc t="2" v="8466"/>
    </bk>
    <bk>
      <rc t="2" v="8467"/>
    </bk>
    <bk>
      <rc t="2" v="8468"/>
    </bk>
    <bk>
      <rc t="2" v="8469"/>
    </bk>
    <bk>
      <rc t="2" v="8470"/>
    </bk>
    <bk>
      <rc t="2" v="8471"/>
    </bk>
    <bk>
      <rc t="2" v="8472"/>
    </bk>
    <bk>
      <rc t="2" v="8473"/>
    </bk>
    <bk>
      <rc t="2" v="8474"/>
    </bk>
    <bk>
      <rc t="2" v="8475"/>
    </bk>
    <bk>
      <rc t="2" v="8476"/>
    </bk>
    <bk>
      <rc t="2" v="8477"/>
    </bk>
    <bk>
      <rc t="2" v="8478"/>
    </bk>
    <bk>
      <rc t="2" v="8479"/>
    </bk>
    <bk>
      <rc t="2" v="8480"/>
    </bk>
    <bk>
      <rc t="2" v="8481"/>
    </bk>
    <bk>
      <rc t="2" v="8482"/>
    </bk>
    <bk>
      <rc t="2" v="8483"/>
    </bk>
    <bk>
      <rc t="2" v="8484"/>
    </bk>
    <bk>
      <rc t="2" v="8485"/>
    </bk>
    <bk>
      <rc t="2" v="8486"/>
    </bk>
    <bk>
      <rc t="2" v="8487"/>
    </bk>
    <bk>
      <rc t="2" v="8488"/>
    </bk>
    <bk>
      <rc t="2" v="8489"/>
    </bk>
    <bk>
      <rc t="2" v="8490"/>
    </bk>
    <bk>
      <rc t="2" v="8491"/>
    </bk>
    <bk>
      <rc t="2" v="8492"/>
    </bk>
    <bk>
      <rc t="2" v="8493"/>
    </bk>
    <bk>
      <rc t="2" v="8494"/>
    </bk>
    <bk>
      <rc t="2" v="8495"/>
    </bk>
    <bk>
      <rc t="2" v="8496"/>
    </bk>
    <bk>
      <rc t="2" v="8497"/>
    </bk>
    <bk>
      <rc t="2" v="8498"/>
    </bk>
    <bk>
      <rc t="2" v="8499"/>
    </bk>
    <bk>
      <rc t="2" v="8500"/>
    </bk>
    <bk>
      <rc t="2" v="8501"/>
    </bk>
    <bk>
      <rc t="2" v="8502"/>
    </bk>
    <bk>
      <rc t="2" v="8503"/>
    </bk>
    <bk>
      <rc t="2" v="8504"/>
    </bk>
    <bk>
      <rc t="2" v="8505"/>
    </bk>
    <bk>
      <rc t="2" v="8506"/>
    </bk>
    <bk>
      <rc t="2" v="8507"/>
    </bk>
    <bk>
      <rc t="2" v="8508"/>
    </bk>
    <bk>
      <rc t="2" v="8509"/>
    </bk>
    <bk>
      <rc t="2" v="8510"/>
    </bk>
    <bk>
      <rc t="2" v="8511"/>
    </bk>
    <bk>
      <rc t="2" v="8512"/>
    </bk>
    <bk>
      <rc t="2" v="8513"/>
    </bk>
    <bk>
      <rc t="2" v="8514"/>
    </bk>
    <bk>
      <rc t="2" v="8515"/>
    </bk>
    <bk>
      <rc t="2" v="8516"/>
    </bk>
    <bk>
      <rc t="2" v="8517"/>
    </bk>
    <bk>
      <rc t="2" v="8518"/>
    </bk>
    <bk>
      <rc t="2" v="8519"/>
    </bk>
    <bk>
      <rc t="2" v="8520"/>
    </bk>
    <bk>
      <rc t="2" v="8521"/>
    </bk>
    <bk>
      <rc t="2" v="8522"/>
    </bk>
    <bk>
      <rc t="2" v="8523"/>
    </bk>
    <bk>
      <rc t="2" v="8524"/>
    </bk>
    <bk>
      <rc t="2" v="8525"/>
    </bk>
    <bk>
      <rc t="2" v="8526"/>
    </bk>
    <bk>
      <rc t="2" v="8527"/>
    </bk>
    <bk>
      <rc t="2" v="8528"/>
    </bk>
    <bk>
      <rc t="2" v="8529"/>
    </bk>
    <bk>
      <rc t="2" v="8530"/>
    </bk>
    <bk>
      <rc t="2" v="8531"/>
    </bk>
    <bk>
      <rc t="2" v="8532"/>
    </bk>
    <bk>
      <rc t="2" v="8533"/>
    </bk>
    <bk>
      <rc t="2" v="8534"/>
    </bk>
    <bk>
      <rc t="2" v="8535"/>
    </bk>
    <bk>
      <rc t="2" v="8536"/>
    </bk>
    <bk>
      <rc t="2" v="8537"/>
    </bk>
    <bk>
      <rc t="2" v="8538"/>
    </bk>
    <bk>
      <rc t="2" v="8539"/>
    </bk>
    <bk>
      <rc t="2" v="8540"/>
    </bk>
    <bk>
      <rc t="2" v="8541"/>
    </bk>
    <bk>
      <rc t="2" v="8542"/>
    </bk>
    <bk>
      <rc t="2" v="8543"/>
    </bk>
    <bk>
      <rc t="2" v="8544"/>
    </bk>
    <bk>
      <rc t="2" v="8545"/>
    </bk>
    <bk>
      <rc t="2" v="8546"/>
    </bk>
    <bk>
      <rc t="2" v="8547"/>
    </bk>
    <bk>
      <rc t="2" v="8548"/>
    </bk>
    <bk>
      <rc t="2" v="8549"/>
    </bk>
    <bk>
      <rc t="2" v="8550"/>
    </bk>
    <bk>
      <rc t="2" v="8551"/>
    </bk>
    <bk>
      <rc t="2" v="8552"/>
    </bk>
    <bk>
      <rc t="2" v="8553"/>
    </bk>
    <bk>
      <rc t="2" v="8554"/>
    </bk>
    <bk>
      <rc t="2" v="8555"/>
    </bk>
    <bk>
      <rc t="2" v="8556"/>
    </bk>
    <bk>
      <rc t="2" v="8557"/>
    </bk>
    <bk>
      <rc t="2" v="8558"/>
    </bk>
    <bk>
      <rc t="2" v="8559"/>
    </bk>
    <bk>
      <rc t="2" v="8560"/>
    </bk>
    <bk>
      <rc t="2" v="8561"/>
    </bk>
    <bk>
      <rc t="2" v="8562"/>
    </bk>
    <bk>
      <rc t="2" v="8563"/>
    </bk>
    <bk>
      <rc t="2" v="8564"/>
    </bk>
    <bk>
      <rc t="2" v="8565"/>
    </bk>
    <bk>
      <rc t="2" v="8566"/>
    </bk>
    <bk>
      <rc t="2" v="8567"/>
    </bk>
    <bk>
      <rc t="2" v="8568"/>
    </bk>
    <bk>
      <rc t="2" v="8569"/>
    </bk>
    <bk>
      <rc t="2" v="8570"/>
    </bk>
    <bk>
      <rc t="2" v="8571"/>
    </bk>
    <bk>
      <rc t="2" v="8572"/>
    </bk>
    <bk>
      <rc t="2" v="8573"/>
    </bk>
    <bk>
      <rc t="2" v="8574"/>
    </bk>
    <bk>
      <rc t="2" v="8575"/>
    </bk>
    <bk>
      <rc t="2" v="8576"/>
    </bk>
    <bk>
      <rc t="2" v="8577"/>
    </bk>
    <bk>
      <rc t="2" v="8578"/>
    </bk>
    <bk>
      <rc t="2" v="8579"/>
    </bk>
    <bk>
      <rc t="2" v="8580"/>
    </bk>
    <bk>
      <rc t="2" v="8581"/>
    </bk>
    <bk>
      <rc t="2" v="8582"/>
    </bk>
    <bk>
      <rc t="2" v="8583"/>
    </bk>
    <bk>
      <rc t="2" v="8584"/>
    </bk>
    <bk>
      <rc t="2" v="8585"/>
    </bk>
    <bk>
      <rc t="2" v="8586"/>
    </bk>
    <bk>
      <rc t="2" v="8587"/>
    </bk>
    <bk>
      <rc t="2" v="8588"/>
    </bk>
    <bk>
      <rc t="2" v="8589"/>
    </bk>
    <bk>
      <rc t="2" v="8590"/>
    </bk>
    <bk>
      <rc t="2" v="8591"/>
    </bk>
    <bk>
      <rc t="2" v="8592"/>
    </bk>
    <bk>
      <rc t="2" v="8593"/>
    </bk>
    <bk>
      <rc t="2" v="8594"/>
    </bk>
    <bk>
      <rc t="2" v="8595"/>
    </bk>
    <bk>
      <rc t="2" v="8596"/>
    </bk>
    <bk>
      <rc t="2" v="8597"/>
    </bk>
    <bk>
      <rc t="2" v="8598"/>
    </bk>
    <bk>
      <rc t="2" v="8599"/>
    </bk>
    <bk>
      <rc t="2" v="8600"/>
    </bk>
    <bk>
      <rc t="2" v="8601"/>
    </bk>
    <bk>
      <rc t="2" v="8602"/>
    </bk>
    <bk>
      <rc t="2" v="8603"/>
    </bk>
    <bk>
      <rc t="2" v="8604"/>
    </bk>
    <bk>
      <rc t="2" v="8605"/>
    </bk>
    <bk>
      <rc t="2" v="8606"/>
    </bk>
    <bk>
      <rc t="2" v="8607"/>
    </bk>
    <bk>
      <rc t="2" v="8608"/>
    </bk>
    <bk>
      <rc t="2" v="8609"/>
    </bk>
    <bk>
      <rc t="2" v="8610"/>
    </bk>
    <bk>
      <rc t="2" v="8611"/>
    </bk>
    <bk>
      <rc t="2" v="8612"/>
    </bk>
    <bk>
      <rc t="2" v="8613"/>
    </bk>
    <bk>
      <rc t="2" v="8614"/>
    </bk>
    <bk>
      <rc t="2" v="8615"/>
    </bk>
    <bk>
      <rc t="2" v="8616"/>
    </bk>
    <bk>
      <rc t="2" v="8617"/>
    </bk>
    <bk>
      <rc t="2" v="8618"/>
    </bk>
    <bk>
      <rc t="2" v="8619"/>
    </bk>
    <bk>
      <rc t="2" v="8620"/>
    </bk>
    <bk>
      <rc t="2" v="8621"/>
    </bk>
    <bk>
      <rc t="2" v="8622"/>
    </bk>
    <bk>
      <rc t="2" v="8623"/>
    </bk>
    <bk>
      <rc t="2" v="8624"/>
    </bk>
    <bk>
      <rc t="2" v="8625"/>
    </bk>
    <bk>
      <rc t="2" v="8626"/>
    </bk>
    <bk>
      <rc t="2" v="8627"/>
    </bk>
    <bk>
      <rc t="2" v="8628"/>
    </bk>
    <bk>
      <rc t="2" v="8629"/>
    </bk>
    <bk>
      <rc t="2" v="8630"/>
    </bk>
    <bk>
      <rc t="2" v="8631"/>
    </bk>
    <bk>
      <rc t="2" v="8632"/>
    </bk>
    <bk>
      <rc t="2" v="8633"/>
    </bk>
    <bk>
      <rc t="2" v="8634"/>
    </bk>
    <bk>
      <rc t="2" v="8635"/>
    </bk>
    <bk>
      <rc t="2" v="8636"/>
    </bk>
    <bk>
      <rc t="2" v="8637"/>
    </bk>
    <bk>
      <rc t="2" v="8638"/>
    </bk>
    <bk>
      <rc t="2" v="8639"/>
    </bk>
    <bk>
      <rc t="2" v="8640"/>
    </bk>
    <bk>
      <rc t="2" v="8641"/>
    </bk>
    <bk>
      <rc t="2" v="8642"/>
    </bk>
    <bk>
      <rc t="2" v="8643"/>
    </bk>
    <bk>
      <rc t="2" v="8644"/>
    </bk>
    <bk>
      <rc t="2" v="8645"/>
    </bk>
    <bk>
      <rc t="2" v="8646"/>
    </bk>
    <bk>
      <rc t="2" v="8647"/>
    </bk>
    <bk>
      <rc t="2" v="8648"/>
    </bk>
    <bk>
      <rc t="2" v="8649"/>
    </bk>
    <bk>
      <rc t="2" v="8650"/>
    </bk>
    <bk>
      <rc t="2" v="8651"/>
    </bk>
    <bk>
      <rc t="2" v="8652"/>
    </bk>
    <bk>
      <rc t="2" v="8653"/>
    </bk>
    <bk>
      <rc t="2" v="8654"/>
    </bk>
    <bk>
      <rc t="2" v="8655"/>
    </bk>
    <bk>
      <rc t="2" v="8656"/>
    </bk>
    <bk>
      <rc t="2" v="8657"/>
    </bk>
    <bk>
      <rc t="2" v="8658"/>
    </bk>
    <bk>
      <rc t="2" v="8659"/>
    </bk>
    <bk>
      <rc t="2" v="8660"/>
    </bk>
    <bk>
      <rc t="2" v="8661"/>
    </bk>
    <bk>
      <rc t="2" v="8662"/>
    </bk>
    <bk>
      <rc t="2" v="8663"/>
    </bk>
    <bk>
      <rc t="2" v="8664"/>
    </bk>
    <bk>
      <rc t="2" v="8665"/>
    </bk>
    <bk>
      <rc t="2" v="8666"/>
    </bk>
    <bk>
      <rc t="2" v="8667"/>
    </bk>
    <bk>
      <rc t="2" v="8668"/>
    </bk>
    <bk>
      <rc t="2" v="8669"/>
    </bk>
    <bk>
      <rc t="2" v="8670"/>
    </bk>
    <bk>
      <rc t="2" v="8671"/>
    </bk>
    <bk>
      <rc t="2" v="8672"/>
    </bk>
    <bk>
      <rc t="2" v="8673"/>
    </bk>
    <bk>
      <rc t="2" v="8674"/>
    </bk>
    <bk>
      <rc t="2" v="8675"/>
    </bk>
    <bk>
      <rc t="2" v="8676"/>
    </bk>
    <bk>
      <rc t="2" v="8677"/>
    </bk>
    <bk>
      <rc t="2" v="8678"/>
    </bk>
    <bk>
      <rc t="2" v="8679"/>
    </bk>
    <bk>
      <rc t="2" v="8680"/>
    </bk>
    <bk>
      <rc t="2" v="8681"/>
    </bk>
    <bk>
      <rc t="2" v="8682"/>
    </bk>
    <bk>
      <rc t="2" v="8683"/>
    </bk>
    <bk>
      <rc t="2" v="8684"/>
    </bk>
    <bk>
      <rc t="2" v="8685"/>
    </bk>
    <bk>
      <rc t="2" v="8686"/>
    </bk>
    <bk>
      <rc t="2" v="8687"/>
    </bk>
    <bk>
      <rc t="2" v="8688"/>
    </bk>
    <bk>
      <rc t="2" v="8689"/>
    </bk>
    <bk>
      <rc t="2" v="8690"/>
    </bk>
    <bk>
      <rc t="2" v="8691"/>
    </bk>
    <bk>
      <rc t="2" v="8692"/>
    </bk>
    <bk>
      <rc t="2" v="8693"/>
    </bk>
    <bk>
      <rc t="2" v="8694"/>
    </bk>
    <bk>
      <rc t="2" v="8695"/>
    </bk>
    <bk>
      <rc t="2" v="8696"/>
    </bk>
    <bk>
      <rc t="2" v="8697"/>
    </bk>
    <bk>
      <rc t="2" v="8698"/>
    </bk>
    <bk>
      <rc t="2" v="8699"/>
    </bk>
    <bk>
      <rc t="2" v="8700"/>
    </bk>
    <bk>
      <rc t="2" v="8701"/>
    </bk>
    <bk>
      <rc t="2" v="8702"/>
    </bk>
    <bk>
      <rc t="2" v="8703"/>
    </bk>
    <bk>
      <rc t="2" v="8704"/>
    </bk>
    <bk>
      <rc t="2" v="8705"/>
    </bk>
    <bk>
      <rc t="2" v="8706"/>
    </bk>
    <bk>
      <rc t="2" v="8707"/>
    </bk>
    <bk>
      <rc t="2" v="8708"/>
    </bk>
    <bk>
      <rc t="2" v="8709"/>
    </bk>
    <bk>
      <rc t="2" v="8710"/>
    </bk>
    <bk>
      <rc t="2" v="8711"/>
    </bk>
    <bk>
      <rc t="2" v="8712"/>
    </bk>
    <bk>
      <rc t="2" v="8713"/>
    </bk>
    <bk>
      <rc t="2" v="8714"/>
    </bk>
    <bk>
      <rc t="2" v="8715"/>
    </bk>
    <bk>
      <rc t="2" v="8716"/>
    </bk>
    <bk>
      <rc t="2" v="8717"/>
    </bk>
    <bk>
      <rc t="2" v="8718"/>
    </bk>
    <bk>
      <rc t="2" v="8719"/>
    </bk>
    <bk>
      <rc t="2" v="8720"/>
    </bk>
    <bk>
      <rc t="2" v="8721"/>
    </bk>
    <bk>
      <rc t="2" v="8722"/>
    </bk>
    <bk>
      <rc t="2" v="8723"/>
    </bk>
    <bk>
      <rc t="2" v="8724"/>
    </bk>
    <bk>
      <rc t="2" v="8725"/>
    </bk>
    <bk>
      <rc t="2" v="8726"/>
    </bk>
    <bk>
      <rc t="2" v="8727"/>
    </bk>
    <bk>
      <rc t="2" v="8728"/>
    </bk>
    <bk>
      <rc t="2" v="8729"/>
    </bk>
    <bk>
      <rc t="2" v="8730"/>
    </bk>
    <bk>
      <rc t="2" v="8731"/>
    </bk>
    <bk>
      <rc t="2" v="8732"/>
    </bk>
    <bk>
      <rc t="2" v="8733"/>
    </bk>
    <bk>
      <rc t="2" v="8734"/>
    </bk>
    <bk>
      <rc t="2" v="8735"/>
    </bk>
    <bk>
      <rc t="2" v="8736"/>
    </bk>
    <bk>
      <rc t="2" v="8737"/>
    </bk>
    <bk>
      <rc t="2" v="8738"/>
    </bk>
    <bk>
      <rc t="2" v="8739"/>
    </bk>
    <bk>
      <rc t="2" v="8740"/>
    </bk>
    <bk>
      <rc t="2" v="8741"/>
    </bk>
    <bk>
      <rc t="2" v="8742"/>
    </bk>
    <bk>
      <rc t="2" v="8743"/>
    </bk>
    <bk>
      <rc t="2" v="8744"/>
    </bk>
    <bk>
      <rc t="2" v="8745"/>
    </bk>
    <bk>
      <rc t="2" v="8746"/>
    </bk>
    <bk>
      <rc t="2" v="8747"/>
    </bk>
    <bk>
      <rc t="2" v="8748"/>
    </bk>
    <bk>
      <rc t="2" v="8749"/>
    </bk>
    <bk>
      <rc t="2" v="8750"/>
    </bk>
    <bk>
      <rc t="2" v="8751"/>
    </bk>
    <bk>
      <rc t="2" v="8752"/>
    </bk>
    <bk>
      <rc t="2" v="8753"/>
    </bk>
    <bk>
      <rc t="2" v="8754"/>
    </bk>
    <bk>
      <rc t="2" v="8755"/>
    </bk>
    <bk>
      <rc t="2" v="8756"/>
    </bk>
    <bk>
      <rc t="2" v="8757"/>
    </bk>
    <bk>
      <rc t="2" v="8758"/>
    </bk>
    <bk>
      <rc t="2" v="8759"/>
    </bk>
    <bk>
      <rc t="2" v="8760"/>
    </bk>
    <bk>
      <rc t="2" v="8761"/>
    </bk>
    <bk>
      <rc t="2" v="8762"/>
    </bk>
    <bk>
      <rc t="2" v="8763"/>
    </bk>
    <bk>
      <rc t="2" v="8764"/>
    </bk>
    <bk>
      <rc t="2" v="8765"/>
    </bk>
    <bk>
      <rc t="2" v="8766"/>
    </bk>
    <bk>
      <rc t="2" v="8767"/>
    </bk>
    <bk>
      <rc t="2" v="8768"/>
    </bk>
    <bk>
      <rc t="2" v="8769"/>
    </bk>
    <bk>
      <rc t="2" v="8770"/>
    </bk>
    <bk>
      <rc t="2" v="8771"/>
    </bk>
    <bk>
      <rc t="2" v="8772"/>
    </bk>
    <bk>
      <rc t="2" v="8773"/>
    </bk>
    <bk>
      <rc t="2" v="8774"/>
    </bk>
    <bk>
      <rc t="2" v="8775"/>
    </bk>
    <bk>
      <rc t="2" v="8776"/>
    </bk>
    <bk>
      <rc t="2" v="8777"/>
    </bk>
    <bk>
      <rc t="2" v="8778"/>
    </bk>
    <bk>
      <rc t="2" v="8779"/>
    </bk>
    <bk>
      <rc t="2" v="8780"/>
    </bk>
    <bk>
      <rc t="2" v="8781"/>
    </bk>
    <bk>
      <rc t="2" v="8782"/>
    </bk>
    <bk>
      <rc t="2" v="8783"/>
    </bk>
    <bk>
      <rc t="2" v="8784"/>
    </bk>
    <bk>
      <rc t="2" v="8785"/>
    </bk>
    <bk>
      <rc t="2" v="8786"/>
    </bk>
    <bk>
      <rc t="2" v="8787"/>
    </bk>
    <bk>
      <rc t="2" v="8788"/>
    </bk>
    <bk>
      <rc t="2" v="8789"/>
    </bk>
    <bk>
      <rc t="2" v="8790"/>
    </bk>
    <bk>
      <rc t="2" v="8791"/>
    </bk>
    <bk>
      <rc t="2" v="8792"/>
    </bk>
    <bk>
      <rc t="2" v="8793"/>
    </bk>
    <bk>
      <rc t="2" v="8794"/>
    </bk>
    <bk>
      <rc t="2" v="8795"/>
    </bk>
    <bk>
      <rc t="2" v="8796"/>
    </bk>
    <bk>
      <rc t="2" v="8797"/>
    </bk>
    <bk>
      <rc t="2" v="8798"/>
    </bk>
    <bk>
      <rc t="2" v="8799"/>
    </bk>
    <bk>
      <rc t="2" v="8800"/>
    </bk>
    <bk>
      <rc t="2" v="8801"/>
    </bk>
    <bk>
      <rc t="2" v="8802"/>
    </bk>
    <bk>
      <rc t="2" v="8803"/>
    </bk>
    <bk>
      <rc t="2" v="8804"/>
    </bk>
    <bk>
      <rc t="2" v="8805"/>
    </bk>
    <bk>
      <rc t="2" v="8806"/>
    </bk>
    <bk>
      <rc t="2" v="8807"/>
    </bk>
    <bk>
      <rc t="2" v="8808"/>
    </bk>
    <bk>
      <rc t="2" v="8809"/>
    </bk>
    <bk>
      <rc t="2" v="8810"/>
    </bk>
    <bk>
      <rc t="2" v="8811"/>
    </bk>
    <bk>
      <rc t="2" v="8812"/>
    </bk>
    <bk>
      <rc t="2" v="8813"/>
    </bk>
    <bk>
      <rc t="2" v="8814"/>
    </bk>
    <bk>
      <rc t="2" v="8815"/>
    </bk>
    <bk>
      <rc t="2" v="8816"/>
    </bk>
    <bk>
      <rc t="2" v="8817"/>
    </bk>
    <bk>
      <rc t="2" v="8818"/>
    </bk>
    <bk>
      <rc t="2" v="8819"/>
    </bk>
    <bk>
      <rc t="2" v="8820"/>
    </bk>
    <bk>
      <rc t="2" v="8821"/>
    </bk>
    <bk>
      <rc t="2" v="8822"/>
    </bk>
    <bk>
      <rc t="2" v="8823"/>
    </bk>
    <bk>
      <rc t="2" v="8824"/>
    </bk>
    <bk>
      <rc t="2" v="8825"/>
    </bk>
    <bk>
      <rc t="2" v="8826"/>
    </bk>
    <bk>
      <rc t="2" v="8827"/>
    </bk>
    <bk>
      <rc t="2" v="8828"/>
    </bk>
    <bk>
      <rc t="2" v="8829"/>
    </bk>
    <bk>
      <rc t="2" v="8830"/>
    </bk>
    <bk>
      <rc t="2" v="8831"/>
    </bk>
    <bk>
      <rc t="2" v="8832"/>
    </bk>
    <bk>
      <rc t="2" v="8833"/>
    </bk>
    <bk>
      <rc t="2" v="8834"/>
    </bk>
    <bk>
      <rc t="2" v="8835"/>
    </bk>
    <bk>
      <rc t="2" v="8836"/>
    </bk>
    <bk>
      <rc t="2" v="8837"/>
    </bk>
    <bk>
      <rc t="2" v="8838"/>
    </bk>
    <bk>
      <rc t="2" v="8839"/>
    </bk>
    <bk>
      <rc t="2" v="8840"/>
    </bk>
    <bk>
      <rc t="2" v="8841"/>
    </bk>
    <bk>
      <rc t="2" v="8842"/>
    </bk>
    <bk>
      <rc t="2" v="8843"/>
    </bk>
    <bk>
      <rc t="2" v="8844"/>
    </bk>
    <bk>
      <rc t="2" v="8845"/>
    </bk>
    <bk>
      <rc t="2" v="8846"/>
    </bk>
    <bk>
      <rc t="2" v="8847"/>
    </bk>
    <bk>
      <rc t="2" v="8848"/>
    </bk>
    <bk>
      <rc t="2" v="8849"/>
    </bk>
    <bk>
      <rc t="2" v="8850"/>
    </bk>
    <bk>
      <rc t="2" v="8851"/>
    </bk>
    <bk>
      <rc t="2" v="8852"/>
    </bk>
    <bk>
      <rc t="2" v="8853"/>
    </bk>
    <bk>
      <rc t="2" v="8854"/>
    </bk>
    <bk>
      <rc t="2" v="8855"/>
    </bk>
    <bk>
      <rc t="2" v="8856"/>
    </bk>
    <bk>
      <rc t="2" v="8857"/>
    </bk>
    <bk>
      <rc t="2" v="8858"/>
    </bk>
    <bk>
      <rc t="2" v="8859"/>
    </bk>
    <bk>
      <rc t="2" v="8860"/>
    </bk>
    <bk>
      <rc t="2" v="8861"/>
    </bk>
    <bk>
      <rc t="2" v="8862"/>
    </bk>
    <bk>
      <rc t="2" v="8863"/>
    </bk>
    <bk>
      <rc t="2" v="8864"/>
    </bk>
    <bk>
      <rc t="2" v="8865"/>
    </bk>
    <bk>
      <rc t="2" v="8866"/>
    </bk>
    <bk>
      <rc t="2" v="8867"/>
    </bk>
    <bk>
      <rc t="2" v="8868"/>
    </bk>
    <bk>
      <rc t="2" v="8869"/>
    </bk>
    <bk>
      <rc t="2" v="8870"/>
    </bk>
    <bk>
      <rc t="2" v="8871"/>
    </bk>
    <bk>
      <rc t="2" v="8872"/>
    </bk>
    <bk>
      <rc t="2" v="8873"/>
    </bk>
    <bk>
      <rc t="2" v="8874"/>
    </bk>
    <bk>
      <rc t="2" v="8875"/>
    </bk>
    <bk>
      <rc t="2" v="8876"/>
    </bk>
    <bk>
      <rc t="2" v="8877"/>
    </bk>
    <bk>
      <rc t="2" v="8878"/>
    </bk>
    <bk>
      <rc t="2" v="8879"/>
    </bk>
    <bk>
      <rc t="2" v="8880"/>
    </bk>
    <bk>
      <rc t="2" v="8881"/>
    </bk>
    <bk>
      <rc t="2" v="8882"/>
    </bk>
    <bk>
      <rc t="2" v="8883"/>
    </bk>
    <bk>
      <rc t="2" v="8884"/>
    </bk>
    <bk>
      <rc t="2" v="8885"/>
    </bk>
    <bk>
      <rc t="2" v="8886"/>
    </bk>
    <bk>
      <rc t="2" v="8887"/>
    </bk>
    <bk>
      <rc t="2" v="8888"/>
    </bk>
    <bk>
      <rc t="2" v="8889"/>
    </bk>
    <bk>
      <rc t="2" v="8890"/>
    </bk>
    <bk>
      <rc t="2" v="8891"/>
    </bk>
    <bk>
      <rc t="2" v="8892"/>
    </bk>
    <bk>
      <rc t="2" v="8893"/>
    </bk>
    <bk>
      <rc t="2" v="8894"/>
    </bk>
    <bk>
      <rc t="2" v="8895"/>
    </bk>
    <bk>
      <rc t="2" v="8896"/>
    </bk>
    <bk>
      <rc t="2" v="8897"/>
    </bk>
    <bk>
      <rc t="2" v="8898"/>
    </bk>
    <bk>
      <rc t="2" v="8899"/>
    </bk>
    <bk>
      <rc t="2" v="8900"/>
    </bk>
    <bk>
      <rc t="2" v="8901"/>
    </bk>
    <bk>
      <rc t="2" v="8902"/>
    </bk>
    <bk>
      <rc t="2" v="8903"/>
    </bk>
    <bk>
      <rc t="2" v="8904"/>
    </bk>
    <bk>
      <rc t="2" v="8905"/>
    </bk>
    <bk>
      <rc t="2" v="8906"/>
    </bk>
    <bk>
      <rc t="2" v="8907"/>
    </bk>
    <bk>
      <rc t="2" v="8908"/>
    </bk>
    <bk>
      <rc t="2" v="8909"/>
    </bk>
    <bk>
      <rc t="2" v="8910"/>
    </bk>
    <bk>
      <rc t="2" v="8911"/>
    </bk>
    <bk>
      <rc t="2" v="8912"/>
    </bk>
    <bk>
      <rc t="2" v="8913"/>
    </bk>
    <bk>
      <rc t="2" v="8914"/>
    </bk>
    <bk>
      <rc t="2" v="8915"/>
    </bk>
    <bk>
      <rc t="2" v="8916"/>
    </bk>
    <bk>
      <rc t="2" v="8917"/>
    </bk>
    <bk>
      <rc t="2" v="8918"/>
    </bk>
    <bk>
      <rc t="2" v="8919"/>
    </bk>
    <bk>
      <rc t="2" v="8920"/>
    </bk>
    <bk>
      <rc t="2" v="8921"/>
    </bk>
    <bk>
      <rc t="2" v="8922"/>
    </bk>
    <bk>
      <rc t="2" v="8923"/>
    </bk>
    <bk>
      <rc t="2" v="8924"/>
    </bk>
    <bk>
      <rc t="2" v="8925"/>
    </bk>
    <bk>
      <rc t="2" v="8926"/>
    </bk>
    <bk>
      <rc t="2" v="8927"/>
    </bk>
    <bk>
      <rc t="2" v="8928"/>
    </bk>
    <bk>
      <rc t="2" v="8929"/>
    </bk>
    <bk>
      <rc t="2" v="8930"/>
    </bk>
    <bk>
      <rc t="2" v="8931"/>
    </bk>
    <bk>
      <rc t="2" v="8932"/>
    </bk>
    <bk>
      <rc t="2" v="8933"/>
    </bk>
    <bk>
      <rc t="2" v="8934"/>
    </bk>
    <bk>
      <rc t="2" v="8935"/>
    </bk>
    <bk>
      <rc t="2" v="8936"/>
    </bk>
    <bk>
      <rc t="2" v="8937"/>
    </bk>
    <bk>
      <rc t="2" v="8938"/>
    </bk>
    <bk>
      <rc t="2" v="8939"/>
    </bk>
    <bk>
      <rc t="2" v="8940"/>
    </bk>
    <bk>
      <rc t="2" v="8941"/>
    </bk>
    <bk>
      <rc t="2" v="8942"/>
    </bk>
    <bk>
      <rc t="2" v="8943"/>
    </bk>
    <bk>
      <rc t="2" v="8944"/>
    </bk>
    <bk>
      <rc t="2" v="8945"/>
    </bk>
    <bk>
      <rc t="2" v="8946"/>
    </bk>
    <bk>
      <rc t="2" v="8947"/>
    </bk>
    <bk>
      <rc t="2" v="8948"/>
    </bk>
    <bk>
      <rc t="2" v="8949"/>
    </bk>
    <bk>
      <rc t="2" v="8950"/>
    </bk>
    <bk>
      <rc t="2" v="8951"/>
    </bk>
    <bk>
      <rc t="2" v="8952"/>
    </bk>
    <bk>
      <rc t="2" v="8953"/>
    </bk>
    <bk>
      <rc t="2" v="8954"/>
    </bk>
    <bk>
      <rc t="2" v="8955"/>
    </bk>
    <bk>
      <rc t="2" v="8956"/>
    </bk>
    <bk>
      <rc t="2" v="8957"/>
    </bk>
    <bk>
      <rc t="2" v="8958"/>
    </bk>
    <bk>
      <rc t="2" v="8959"/>
    </bk>
    <bk>
      <rc t="2" v="8960"/>
    </bk>
    <bk>
      <rc t="2" v="8961"/>
    </bk>
    <bk>
      <rc t="2" v="8962"/>
    </bk>
    <bk>
      <rc t="2" v="8963"/>
    </bk>
    <bk>
      <rc t="2" v="8964"/>
    </bk>
    <bk>
      <rc t="2" v="8965"/>
    </bk>
    <bk>
      <rc t="2" v="8966"/>
    </bk>
    <bk>
      <rc t="2" v="8967"/>
    </bk>
    <bk>
      <rc t="2" v="8968"/>
    </bk>
    <bk>
      <rc t="2" v="8969"/>
    </bk>
    <bk>
      <rc t="2" v="8970"/>
    </bk>
    <bk>
      <rc t="2" v="8971"/>
    </bk>
    <bk>
      <rc t="2" v="8972"/>
    </bk>
    <bk>
      <rc t="2" v="8973"/>
    </bk>
    <bk>
      <rc t="2" v="8974"/>
    </bk>
    <bk>
      <rc t="2" v="8975"/>
    </bk>
    <bk>
      <rc t="2" v="8976"/>
    </bk>
    <bk>
      <rc t="2" v="8977"/>
    </bk>
    <bk>
      <rc t="2" v="8978"/>
    </bk>
    <bk>
      <rc t="2" v="8979"/>
    </bk>
    <bk>
      <rc t="2" v="8980"/>
    </bk>
    <bk>
      <rc t="2" v="8981"/>
    </bk>
    <bk>
      <rc t="2" v="8982"/>
    </bk>
    <bk>
      <rc t="2" v="8983"/>
    </bk>
    <bk>
      <rc t="2" v="8984"/>
    </bk>
    <bk>
      <rc t="2" v="8985"/>
    </bk>
    <bk>
      <rc t="2" v="8986"/>
    </bk>
    <bk>
      <rc t="2" v="8987"/>
    </bk>
    <bk>
      <rc t="2" v="8988"/>
    </bk>
    <bk>
      <rc t="2" v="8989"/>
    </bk>
    <bk>
      <rc t="2" v="8990"/>
    </bk>
    <bk>
      <rc t="2" v="8991"/>
    </bk>
    <bk>
      <rc t="2" v="8992"/>
    </bk>
    <bk>
      <rc t="2" v="8993"/>
    </bk>
    <bk>
      <rc t="2" v="8994"/>
    </bk>
    <bk>
      <rc t="2" v="8995"/>
    </bk>
    <bk>
      <rc t="2" v="8996"/>
    </bk>
    <bk>
      <rc t="2" v="8997"/>
    </bk>
    <bk>
      <rc t="2" v="8998"/>
    </bk>
    <bk>
      <rc t="2" v="8999"/>
    </bk>
    <bk>
      <rc t="2" v="9000"/>
    </bk>
    <bk>
      <rc t="2" v="9001"/>
    </bk>
    <bk>
      <rc t="2" v="9002"/>
    </bk>
    <bk>
      <rc t="2" v="9003"/>
    </bk>
    <bk>
      <rc t="2" v="9004"/>
    </bk>
    <bk>
      <rc t="2" v="9005"/>
    </bk>
    <bk>
      <rc t="2" v="9006"/>
    </bk>
    <bk>
      <rc t="2" v="9007"/>
    </bk>
    <bk>
      <rc t="2" v="9008"/>
    </bk>
    <bk>
      <rc t="2" v="9009"/>
    </bk>
    <bk>
      <rc t="2" v="9010"/>
    </bk>
    <bk>
      <rc t="2" v="9011"/>
    </bk>
    <bk>
      <rc t="2" v="9012"/>
    </bk>
    <bk>
      <rc t="2" v="9013"/>
    </bk>
    <bk>
      <rc t="2" v="9014"/>
    </bk>
    <bk>
      <rc t="2" v="9015"/>
    </bk>
    <bk>
      <rc t="2" v="9016"/>
    </bk>
    <bk>
      <rc t="2" v="9017"/>
    </bk>
    <bk>
      <rc t="2" v="9018"/>
    </bk>
    <bk>
      <rc t="2" v="9019"/>
    </bk>
    <bk>
      <rc t="2" v="9020"/>
    </bk>
    <bk>
      <rc t="2" v="9021"/>
    </bk>
    <bk>
      <rc t="2" v="9022"/>
    </bk>
    <bk>
      <rc t="2" v="9023"/>
    </bk>
    <bk>
      <rc t="2" v="9024"/>
    </bk>
    <bk>
      <rc t="2" v="9025"/>
    </bk>
    <bk>
      <rc t="2" v="9026"/>
    </bk>
    <bk>
      <rc t="2" v="9027"/>
    </bk>
    <bk>
      <rc t="2" v="9028"/>
    </bk>
    <bk>
      <rc t="2" v="9029"/>
    </bk>
    <bk>
      <rc t="2" v="9030"/>
    </bk>
    <bk>
      <rc t="2" v="9031"/>
    </bk>
    <bk>
      <rc t="2" v="9032"/>
    </bk>
    <bk>
      <rc t="2" v="9033"/>
    </bk>
    <bk>
      <rc t="2" v="9034"/>
    </bk>
    <bk>
      <rc t="2" v="9035"/>
    </bk>
    <bk>
      <rc t="2" v="9036"/>
    </bk>
    <bk>
      <rc t="2" v="9037"/>
    </bk>
    <bk>
      <rc t="2" v="9038"/>
    </bk>
    <bk>
      <rc t="2" v="9039"/>
    </bk>
    <bk>
      <rc t="2" v="9040"/>
    </bk>
    <bk>
      <rc t="2" v="9041"/>
    </bk>
    <bk>
      <rc t="2" v="9042"/>
    </bk>
    <bk>
      <rc t="2" v="9043"/>
    </bk>
    <bk>
      <rc t="2" v="9044"/>
    </bk>
    <bk>
      <rc t="2" v="9045"/>
    </bk>
    <bk>
      <rc t="2" v="9046"/>
    </bk>
    <bk>
      <rc t="2" v="9047"/>
    </bk>
    <bk>
      <rc t="2" v="9048"/>
    </bk>
    <bk>
      <rc t="2" v="9049"/>
    </bk>
    <bk>
      <rc t="2" v="9050"/>
    </bk>
    <bk>
      <rc t="2" v="9051"/>
    </bk>
    <bk>
      <rc t="2" v="9052"/>
    </bk>
    <bk>
      <rc t="2" v="9053"/>
    </bk>
    <bk>
      <rc t="2" v="9054"/>
    </bk>
    <bk>
      <rc t="2" v="9055"/>
    </bk>
    <bk>
      <rc t="2" v="9056"/>
    </bk>
    <bk>
      <rc t="2" v="9057"/>
    </bk>
    <bk>
      <rc t="2" v="9058"/>
    </bk>
    <bk>
      <rc t="2" v="9059"/>
    </bk>
    <bk>
      <rc t="2" v="9060"/>
    </bk>
    <bk>
      <rc t="2" v="9061"/>
    </bk>
    <bk>
      <rc t="2" v="9062"/>
    </bk>
    <bk>
      <rc t="2" v="9063"/>
    </bk>
    <bk>
      <rc t="2" v="9064"/>
    </bk>
    <bk>
      <rc t="2" v="9065"/>
    </bk>
    <bk>
      <rc t="2" v="9066"/>
    </bk>
    <bk>
      <rc t="2" v="9067"/>
    </bk>
    <bk>
      <rc t="2" v="9068"/>
    </bk>
    <bk>
      <rc t="2" v="9069"/>
    </bk>
    <bk>
      <rc t="2" v="9070"/>
    </bk>
    <bk>
      <rc t="2" v="9071"/>
    </bk>
    <bk>
      <rc t="2" v="9072"/>
    </bk>
    <bk>
      <rc t="2" v="9073"/>
    </bk>
    <bk>
      <rc t="2" v="9074"/>
    </bk>
    <bk>
      <rc t="2" v="9075"/>
    </bk>
    <bk>
      <rc t="2" v="9076"/>
    </bk>
    <bk>
      <rc t="2" v="9077"/>
    </bk>
    <bk>
      <rc t="2" v="9078"/>
    </bk>
    <bk>
      <rc t="2" v="9079"/>
    </bk>
    <bk>
      <rc t="2" v="9080"/>
    </bk>
    <bk>
      <rc t="2" v="9081"/>
    </bk>
    <bk>
      <rc t="2" v="9082"/>
    </bk>
    <bk>
      <rc t="2" v="9083"/>
    </bk>
    <bk>
      <rc t="2" v="9084"/>
    </bk>
    <bk>
      <rc t="2" v="9085"/>
    </bk>
    <bk>
      <rc t="2" v="9086"/>
    </bk>
    <bk>
      <rc t="2" v="9087"/>
    </bk>
    <bk>
      <rc t="2" v="9088"/>
    </bk>
    <bk>
      <rc t="2" v="9089"/>
    </bk>
    <bk>
      <rc t="2" v="9090"/>
    </bk>
    <bk>
      <rc t="2" v="9091"/>
    </bk>
    <bk>
      <rc t="2" v="9092"/>
    </bk>
    <bk>
      <rc t="2" v="9093"/>
    </bk>
    <bk>
      <rc t="2" v="9094"/>
    </bk>
    <bk>
      <rc t="2" v="9095"/>
    </bk>
    <bk>
      <rc t="2" v="9096"/>
    </bk>
    <bk>
      <rc t="2" v="9097"/>
    </bk>
    <bk>
      <rc t="2" v="9098"/>
    </bk>
    <bk>
      <rc t="2" v="9099"/>
    </bk>
    <bk>
      <rc t="2" v="9100"/>
    </bk>
    <bk>
      <rc t="2" v="9101"/>
    </bk>
    <bk>
      <rc t="2" v="9102"/>
    </bk>
    <bk>
      <rc t="2" v="9103"/>
    </bk>
    <bk>
      <rc t="2" v="9104"/>
    </bk>
    <bk>
      <rc t="2" v="9105"/>
    </bk>
    <bk>
      <rc t="2" v="9106"/>
    </bk>
    <bk>
      <rc t="2" v="9107"/>
    </bk>
    <bk>
      <rc t="2" v="9108"/>
    </bk>
    <bk>
      <rc t="2" v="9109"/>
    </bk>
    <bk>
      <rc t="2" v="9110"/>
    </bk>
    <bk>
      <rc t="2" v="9111"/>
    </bk>
    <bk>
      <rc t="2" v="9112"/>
    </bk>
    <bk>
      <rc t="2" v="9113"/>
    </bk>
    <bk>
      <rc t="2" v="9114"/>
    </bk>
    <bk>
      <rc t="2" v="9115"/>
    </bk>
    <bk>
      <rc t="2" v="9116"/>
    </bk>
    <bk>
      <rc t="2" v="9117"/>
    </bk>
    <bk>
      <rc t="2" v="9118"/>
    </bk>
    <bk>
      <rc t="2" v="9119"/>
    </bk>
    <bk>
      <rc t="2" v="9120"/>
    </bk>
    <bk>
      <rc t="2" v="9121"/>
    </bk>
    <bk>
      <rc t="2" v="9122"/>
    </bk>
    <bk>
      <rc t="2" v="9123"/>
    </bk>
    <bk>
      <rc t="2" v="9124"/>
    </bk>
    <bk>
      <rc t="2" v="9125"/>
    </bk>
    <bk>
      <rc t="2" v="9126"/>
    </bk>
    <bk>
      <rc t="2" v="9127"/>
    </bk>
    <bk>
      <rc t="2" v="9128"/>
    </bk>
    <bk>
      <rc t="2" v="9129"/>
    </bk>
    <bk>
      <rc t="2" v="9130"/>
    </bk>
    <bk>
      <rc t="2" v="9131"/>
    </bk>
    <bk>
      <rc t="2" v="9132"/>
    </bk>
    <bk>
      <rc t="2" v="9133"/>
    </bk>
    <bk>
      <rc t="2" v="9134"/>
    </bk>
    <bk>
      <rc t="2" v="9135"/>
    </bk>
    <bk>
      <rc t="2" v="9136"/>
    </bk>
    <bk>
      <rc t="2" v="9137"/>
    </bk>
    <bk>
      <rc t="2" v="9138"/>
    </bk>
    <bk>
      <rc t="2" v="9139"/>
    </bk>
    <bk>
      <rc t="2" v="9140"/>
    </bk>
    <bk>
      <rc t="2" v="9141"/>
    </bk>
    <bk>
      <rc t="2" v="9142"/>
    </bk>
    <bk>
      <rc t="2" v="9143"/>
    </bk>
    <bk>
      <rc t="2" v="9144"/>
    </bk>
    <bk>
      <rc t="2" v="9145"/>
    </bk>
    <bk>
      <rc t="2" v="9146"/>
    </bk>
    <bk>
      <rc t="2" v="9147"/>
    </bk>
    <bk>
      <rc t="2" v="9148"/>
    </bk>
    <bk>
      <rc t="2" v="9149"/>
    </bk>
    <bk>
      <rc t="2" v="9150"/>
    </bk>
    <bk>
      <rc t="2" v="9151"/>
    </bk>
    <bk>
      <rc t="2" v="9152"/>
    </bk>
    <bk>
      <rc t="2" v="9153"/>
    </bk>
    <bk>
      <rc t="2" v="9154"/>
    </bk>
    <bk>
      <rc t="2" v="9155"/>
    </bk>
    <bk>
      <rc t="2" v="9156"/>
    </bk>
    <bk>
      <rc t="2" v="9157"/>
    </bk>
    <bk>
      <rc t="2" v="9158"/>
    </bk>
    <bk>
      <rc t="2" v="9159"/>
    </bk>
    <bk>
      <rc t="2" v="9160"/>
    </bk>
    <bk>
      <rc t="2" v="9161"/>
    </bk>
    <bk>
      <rc t="2" v="9162"/>
    </bk>
    <bk>
      <rc t="2" v="9163"/>
    </bk>
    <bk>
      <rc t="2" v="9164"/>
    </bk>
    <bk>
      <rc t="2" v="9165"/>
    </bk>
    <bk>
      <rc t="2" v="9166"/>
    </bk>
    <bk>
      <rc t="2" v="9167"/>
    </bk>
    <bk>
      <rc t="2" v="9168"/>
    </bk>
    <bk>
      <rc t="2" v="9169"/>
    </bk>
    <bk>
      <rc t="2" v="9170"/>
    </bk>
    <bk>
      <rc t="2" v="9171"/>
    </bk>
    <bk>
      <rc t="2" v="9172"/>
    </bk>
    <bk>
      <rc t="2" v="9173"/>
    </bk>
    <bk>
      <rc t="2" v="9174"/>
    </bk>
    <bk>
      <rc t="2" v="9175"/>
    </bk>
    <bk>
      <rc t="2" v="9176"/>
    </bk>
    <bk>
      <rc t="2" v="9177"/>
    </bk>
    <bk>
      <rc t="2" v="9178"/>
    </bk>
    <bk>
      <rc t="2" v="9179"/>
    </bk>
    <bk>
      <rc t="2" v="9180"/>
    </bk>
    <bk>
      <rc t="2" v="9181"/>
    </bk>
    <bk>
      <rc t="2" v="9182"/>
    </bk>
    <bk>
      <rc t="2" v="9183"/>
    </bk>
    <bk>
      <rc t="2" v="9184"/>
    </bk>
    <bk>
      <rc t="2" v="9185"/>
    </bk>
    <bk>
      <rc t="2" v="9186"/>
    </bk>
    <bk>
      <rc t="2" v="9187"/>
    </bk>
    <bk>
      <rc t="2" v="9188"/>
    </bk>
    <bk>
      <rc t="2" v="9189"/>
    </bk>
    <bk>
      <rc t="2" v="9190"/>
    </bk>
    <bk>
      <rc t="2" v="9191"/>
    </bk>
    <bk>
      <rc t="2" v="9192"/>
    </bk>
    <bk>
      <rc t="2" v="9193"/>
    </bk>
    <bk>
      <rc t="2" v="9194"/>
    </bk>
    <bk>
      <rc t="2" v="9195"/>
    </bk>
    <bk>
      <rc t="2" v="9196"/>
    </bk>
    <bk>
      <rc t="2" v="9197"/>
    </bk>
    <bk>
      <rc t="2" v="9198"/>
    </bk>
    <bk>
      <rc t="2" v="9199"/>
    </bk>
    <bk>
      <rc t="2" v="9200"/>
    </bk>
    <bk>
      <rc t="2" v="9201"/>
    </bk>
    <bk>
      <rc t="2" v="9202"/>
    </bk>
    <bk>
      <rc t="2" v="9203"/>
    </bk>
    <bk>
      <rc t="2" v="9204"/>
    </bk>
    <bk>
      <rc t="2" v="9205"/>
    </bk>
    <bk>
      <rc t="2" v="9206"/>
    </bk>
    <bk>
      <rc t="2" v="9207"/>
    </bk>
    <bk>
      <rc t="2" v="9208"/>
    </bk>
    <bk>
      <rc t="2" v="9209"/>
    </bk>
    <bk>
      <rc t="2" v="9210"/>
    </bk>
    <bk>
      <rc t="2" v="9211"/>
    </bk>
    <bk>
      <rc t="2" v="9212"/>
    </bk>
    <bk>
      <rc t="2" v="9213"/>
    </bk>
    <bk>
      <rc t="2" v="9214"/>
    </bk>
    <bk>
      <rc t="2" v="9215"/>
    </bk>
    <bk>
      <rc t="2" v="9216"/>
    </bk>
    <bk>
      <rc t="2" v="9217"/>
    </bk>
    <bk>
      <rc t="2" v="9218"/>
    </bk>
    <bk>
      <rc t="2" v="9219"/>
    </bk>
    <bk>
      <rc t="2" v="9220"/>
    </bk>
    <bk>
      <rc t="2" v="9221"/>
    </bk>
    <bk>
      <rc t="2" v="9222"/>
    </bk>
    <bk>
      <rc t="2" v="9223"/>
    </bk>
    <bk>
      <rc t="2" v="9224"/>
    </bk>
    <bk>
      <rc t="2" v="9225"/>
    </bk>
    <bk>
      <rc t="2" v="9226"/>
    </bk>
    <bk>
      <rc t="2" v="9227"/>
    </bk>
    <bk>
      <rc t="2" v="9228"/>
    </bk>
    <bk>
      <rc t="2" v="9229"/>
    </bk>
    <bk>
      <rc t="2" v="9230"/>
    </bk>
    <bk>
      <rc t="2" v="9231"/>
    </bk>
    <bk>
      <rc t="2" v="9232"/>
    </bk>
    <bk>
      <rc t="2" v="9233"/>
    </bk>
    <bk>
      <rc t="2" v="9234"/>
    </bk>
    <bk>
      <rc t="2" v="9235"/>
    </bk>
    <bk>
      <rc t="2" v="9236"/>
    </bk>
    <bk>
      <rc t="2" v="9237"/>
    </bk>
    <bk>
      <rc t="2" v="9238"/>
    </bk>
    <bk>
      <rc t="2" v="9239"/>
    </bk>
    <bk>
      <rc t="2" v="9240"/>
    </bk>
    <bk>
      <rc t="2" v="9241"/>
    </bk>
    <bk>
      <rc t="2" v="9242"/>
    </bk>
    <bk>
      <rc t="2" v="9243"/>
    </bk>
    <bk>
      <rc t="2" v="9244"/>
    </bk>
    <bk>
      <rc t="2" v="9245"/>
    </bk>
    <bk>
      <rc t="2" v="9246"/>
    </bk>
    <bk>
      <rc t="2" v="9247"/>
    </bk>
    <bk>
      <rc t="2" v="9248"/>
    </bk>
    <bk>
      <rc t="2" v="9249"/>
    </bk>
    <bk>
      <rc t="2" v="9250"/>
    </bk>
    <bk>
      <rc t="2" v="9251"/>
    </bk>
    <bk>
      <rc t="2" v="9252"/>
    </bk>
    <bk>
      <rc t="2" v="9253"/>
    </bk>
    <bk>
      <rc t="2" v="9254"/>
    </bk>
    <bk>
      <rc t="2" v="9255"/>
    </bk>
    <bk>
      <rc t="2" v="9256"/>
    </bk>
    <bk>
      <rc t="2" v="9257"/>
    </bk>
    <bk>
      <rc t="2" v="9258"/>
    </bk>
    <bk>
      <rc t="2" v="9259"/>
    </bk>
    <bk>
      <rc t="2" v="9260"/>
    </bk>
    <bk>
      <rc t="2" v="9261"/>
    </bk>
    <bk>
      <rc t="2" v="9262"/>
    </bk>
    <bk>
      <rc t="2" v="9263"/>
    </bk>
    <bk>
      <rc t="2" v="9264"/>
    </bk>
    <bk>
      <rc t="2" v="9265"/>
    </bk>
    <bk>
      <rc t="2" v="9266"/>
    </bk>
    <bk>
      <rc t="2" v="9267"/>
    </bk>
    <bk>
      <rc t="2" v="9268"/>
    </bk>
    <bk>
      <rc t="2" v="9269"/>
    </bk>
    <bk>
      <rc t="2" v="9270"/>
    </bk>
    <bk>
      <rc t="2" v="9271"/>
    </bk>
    <bk>
      <rc t="2" v="9272"/>
    </bk>
    <bk>
      <rc t="2" v="9273"/>
    </bk>
    <bk>
      <rc t="2" v="9274"/>
    </bk>
    <bk>
      <rc t="2" v="9275"/>
    </bk>
    <bk>
      <rc t="2" v="9276"/>
    </bk>
    <bk>
      <rc t="2" v="9277"/>
    </bk>
    <bk>
      <rc t="2" v="9278"/>
    </bk>
    <bk>
      <rc t="2" v="9279"/>
    </bk>
    <bk>
      <rc t="2" v="9280"/>
    </bk>
    <bk>
      <rc t="2" v="9281"/>
    </bk>
    <bk>
      <rc t="2" v="9282"/>
    </bk>
    <bk>
      <rc t="2" v="9283"/>
    </bk>
    <bk>
      <rc t="2" v="9284"/>
    </bk>
    <bk>
      <rc t="2" v="9285"/>
    </bk>
    <bk>
      <rc t="2" v="9286"/>
    </bk>
    <bk>
      <rc t="2" v="9287"/>
    </bk>
    <bk>
      <rc t="2" v="9288"/>
    </bk>
    <bk>
      <rc t="2" v="9289"/>
    </bk>
    <bk>
      <rc t="2" v="9290"/>
    </bk>
    <bk>
      <rc t="2" v="9291"/>
    </bk>
    <bk>
      <rc t="2" v="9292"/>
    </bk>
    <bk>
      <rc t="2" v="9293"/>
    </bk>
    <bk>
      <rc t="2" v="9294"/>
    </bk>
    <bk>
      <rc t="2" v="9295"/>
    </bk>
    <bk>
      <rc t="2" v="9296"/>
    </bk>
    <bk>
      <rc t="2" v="9297"/>
    </bk>
    <bk>
      <rc t="2" v="9298"/>
    </bk>
    <bk>
      <rc t="2" v="9299"/>
    </bk>
    <bk>
      <rc t="2" v="9300"/>
    </bk>
    <bk>
      <rc t="2" v="9301"/>
    </bk>
    <bk>
      <rc t="2" v="9302"/>
    </bk>
    <bk>
      <rc t="2" v="9303"/>
    </bk>
    <bk>
      <rc t="2" v="9304"/>
    </bk>
    <bk>
      <rc t="2" v="9305"/>
    </bk>
    <bk>
      <rc t="2" v="9306"/>
    </bk>
    <bk>
      <rc t="2" v="9307"/>
    </bk>
    <bk>
      <rc t="2" v="9308"/>
    </bk>
    <bk>
      <rc t="2" v="9309"/>
    </bk>
    <bk>
      <rc t="2" v="9310"/>
    </bk>
    <bk>
      <rc t="2" v="9311"/>
    </bk>
    <bk>
      <rc t="2" v="9312"/>
    </bk>
    <bk>
      <rc t="2" v="9313"/>
    </bk>
    <bk>
      <rc t="2" v="9314"/>
    </bk>
    <bk>
      <rc t="2" v="9315"/>
    </bk>
    <bk>
      <rc t="2" v="9316"/>
    </bk>
    <bk>
      <rc t="2" v="9317"/>
    </bk>
    <bk>
      <rc t="2" v="9318"/>
    </bk>
    <bk>
      <rc t="2" v="9319"/>
    </bk>
    <bk>
      <rc t="2" v="9320"/>
    </bk>
    <bk>
      <rc t="2" v="9321"/>
    </bk>
    <bk>
      <rc t="2" v="9322"/>
    </bk>
    <bk>
      <rc t="2" v="9323"/>
    </bk>
    <bk>
      <rc t="2" v="9324"/>
    </bk>
    <bk>
      <rc t="2" v="9325"/>
    </bk>
    <bk>
      <rc t="2" v="9326"/>
    </bk>
    <bk>
      <rc t="2" v="9327"/>
    </bk>
    <bk>
      <rc t="2" v="9328"/>
    </bk>
    <bk>
      <rc t="2" v="9329"/>
    </bk>
    <bk>
      <rc t="2" v="9330"/>
    </bk>
    <bk>
      <rc t="2" v="9331"/>
    </bk>
    <bk>
      <rc t="2" v="9332"/>
    </bk>
    <bk>
      <rc t="2" v="9333"/>
    </bk>
    <bk>
      <rc t="2" v="9334"/>
    </bk>
    <bk>
      <rc t="2" v="9335"/>
    </bk>
    <bk>
      <rc t="2" v="9336"/>
    </bk>
    <bk>
      <rc t="2" v="9337"/>
    </bk>
    <bk>
      <rc t="2" v="9338"/>
    </bk>
    <bk>
      <rc t="2" v="9339"/>
    </bk>
    <bk>
      <rc t="2" v="9340"/>
    </bk>
    <bk>
      <rc t="2" v="9341"/>
    </bk>
    <bk>
      <rc t="2" v="9342"/>
    </bk>
    <bk>
      <rc t="2" v="9343"/>
    </bk>
    <bk>
      <rc t="2" v="9344"/>
    </bk>
    <bk>
      <rc t="2" v="9345"/>
    </bk>
    <bk>
      <rc t="2" v="9346"/>
    </bk>
    <bk>
      <rc t="2" v="9347"/>
    </bk>
    <bk>
      <rc t="2" v="9348"/>
    </bk>
    <bk>
      <rc t="2" v="9349"/>
    </bk>
    <bk>
      <rc t="2" v="9350"/>
    </bk>
    <bk>
      <rc t="2" v="9351"/>
    </bk>
    <bk>
      <rc t="2" v="9352"/>
    </bk>
    <bk>
      <rc t="2" v="9353"/>
    </bk>
    <bk>
      <rc t="2" v="9354"/>
    </bk>
    <bk>
      <rc t="2" v="9355"/>
    </bk>
    <bk>
      <rc t="2" v="9356"/>
    </bk>
    <bk>
      <rc t="2" v="9357"/>
    </bk>
    <bk>
      <rc t="2" v="9358"/>
    </bk>
    <bk>
      <rc t="2" v="9359"/>
    </bk>
    <bk>
      <rc t="2" v="9360"/>
    </bk>
    <bk>
      <rc t="2" v="9361"/>
    </bk>
    <bk>
      <rc t="2" v="9362"/>
    </bk>
    <bk>
      <rc t="2" v="9363"/>
    </bk>
    <bk>
      <rc t="2" v="9364"/>
    </bk>
    <bk>
      <rc t="2" v="9365"/>
    </bk>
    <bk>
      <rc t="2" v="9366"/>
    </bk>
    <bk>
      <rc t="2" v="9367"/>
    </bk>
    <bk>
      <rc t="2" v="9368"/>
    </bk>
    <bk>
      <rc t="2" v="9369"/>
    </bk>
    <bk>
      <rc t="2" v="9370"/>
    </bk>
    <bk>
      <rc t="2" v="9371"/>
    </bk>
    <bk>
      <rc t="2" v="9372"/>
    </bk>
    <bk>
      <rc t="2" v="9373"/>
    </bk>
    <bk>
      <rc t="2" v="9374"/>
    </bk>
    <bk>
      <rc t="2" v="9375"/>
    </bk>
    <bk>
      <rc t="2" v="9376"/>
    </bk>
    <bk>
      <rc t="2" v="9377"/>
    </bk>
    <bk>
      <rc t="2" v="9378"/>
    </bk>
    <bk>
      <rc t="2" v="9379"/>
    </bk>
    <bk>
      <rc t="2" v="9380"/>
    </bk>
    <bk>
      <rc t="2" v="9381"/>
    </bk>
    <bk>
      <rc t="2" v="9382"/>
    </bk>
    <bk>
      <rc t="2" v="9383"/>
    </bk>
    <bk>
      <rc t="2" v="9384"/>
    </bk>
    <bk>
      <rc t="2" v="9385"/>
    </bk>
    <bk>
      <rc t="2" v="9386"/>
    </bk>
    <bk>
      <rc t="2" v="9387"/>
    </bk>
    <bk>
      <rc t="2" v="9388"/>
    </bk>
    <bk>
      <rc t="2" v="9389"/>
    </bk>
    <bk>
      <rc t="2" v="9390"/>
    </bk>
    <bk>
      <rc t="2" v="9391"/>
    </bk>
    <bk>
      <rc t="2" v="9392"/>
    </bk>
    <bk>
      <rc t="2" v="9393"/>
    </bk>
    <bk>
      <rc t="2" v="9394"/>
    </bk>
    <bk>
      <rc t="2" v="9395"/>
    </bk>
    <bk>
      <rc t="2" v="9396"/>
    </bk>
    <bk>
      <rc t="2" v="9397"/>
    </bk>
    <bk>
      <rc t="2" v="9398"/>
    </bk>
    <bk>
      <rc t="2" v="9399"/>
    </bk>
    <bk>
      <rc t="2" v="9400"/>
    </bk>
    <bk>
      <rc t="2" v="9401"/>
    </bk>
    <bk>
      <rc t="2" v="9402"/>
    </bk>
    <bk>
      <rc t="2" v="9403"/>
    </bk>
    <bk>
      <rc t="2" v="9404"/>
    </bk>
    <bk>
      <rc t="2" v="9405"/>
    </bk>
    <bk>
      <rc t="2" v="9406"/>
    </bk>
    <bk>
      <rc t="2" v="9407"/>
    </bk>
    <bk>
      <rc t="2" v="9408"/>
    </bk>
    <bk>
      <rc t="2" v="9409"/>
    </bk>
    <bk>
      <rc t="2" v="9410"/>
    </bk>
    <bk>
      <rc t="2" v="9411"/>
    </bk>
    <bk>
      <rc t="2" v="9412"/>
    </bk>
    <bk>
      <rc t="2" v="9413"/>
    </bk>
    <bk>
      <rc t="2" v="9414"/>
    </bk>
    <bk>
      <rc t="2" v="9415"/>
    </bk>
    <bk>
      <rc t="2" v="9416"/>
    </bk>
    <bk>
      <rc t="2" v="9417"/>
    </bk>
    <bk>
      <rc t="2" v="9418"/>
    </bk>
    <bk>
      <rc t="2" v="9419"/>
    </bk>
    <bk>
      <rc t="2" v="9420"/>
    </bk>
    <bk>
      <rc t="2" v="9421"/>
    </bk>
    <bk>
      <rc t="2" v="9422"/>
    </bk>
    <bk>
      <rc t="2" v="9423"/>
    </bk>
    <bk>
      <rc t="2" v="9424"/>
    </bk>
    <bk>
      <rc t="2" v="9425"/>
    </bk>
    <bk>
      <rc t="2" v="9426"/>
    </bk>
    <bk>
      <rc t="2" v="9427"/>
    </bk>
    <bk>
      <rc t="2" v="9428"/>
    </bk>
    <bk>
      <rc t="2" v="9429"/>
    </bk>
    <bk>
      <rc t="2" v="9430"/>
    </bk>
    <bk>
      <rc t="2" v="9431"/>
    </bk>
    <bk>
      <rc t="2" v="9432"/>
    </bk>
    <bk>
      <rc t="2" v="9433"/>
    </bk>
    <bk>
      <rc t="2" v="9434"/>
    </bk>
    <bk>
      <rc t="2" v="9435"/>
    </bk>
    <bk>
      <rc t="2" v="9436"/>
    </bk>
    <bk>
      <rc t="2" v="9437"/>
    </bk>
    <bk>
      <rc t="2" v="9438"/>
    </bk>
    <bk>
      <rc t="2" v="9439"/>
    </bk>
    <bk>
      <rc t="2" v="9440"/>
    </bk>
    <bk>
      <rc t="2" v="9441"/>
    </bk>
    <bk>
      <rc t="2" v="9442"/>
    </bk>
    <bk>
      <rc t="2" v="9443"/>
    </bk>
    <bk>
      <rc t="2" v="9444"/>
    </bk>
    <bk>
      <rc t="2" v="9445"/>
    </bk>
    <bk>
      <rc t="2" v="9446"/>
    </bk>
    <bk>
      <rc t="2" v="9447"/>
    </bk>
    <bk>
      <rc t="2" v="9448"/>
    </bk>
    <bk>
      <rc t="2" v="9449"/>
    </bk>
    <bk>
      <rc t="2" v="9450"/>
    </bk>
    <bk>
      <rc t="2" v="9451"/>
    </bk>
    <bk>
      <rc t="2" v="9452"/>
    </bk>
    <bk>
      <rc t="2" v="9453"/>
    </bk>
    <bk>
      <rc t="2" v="9454"/>
    </bk>
    <bk>
      <rc t="2" v="9455"/>
    </bk>
    <bk>
      <rc t="2" v="9456"/>
    </bk>
    <bk>
      <rc t="2" v="9457"/>
    </bk>
    <bk>
      <rc t="2" v="9458"/>
    </bk>
    <bk>
      <rc t="2" v="9459"/>
    </bk>
    <bk>
      <rc t="2" v="9460"/>
    </bk>
    <bk>
      <rc t="2" v="9461"/>
    </bk>
    <bk>
      <rc t="2" v="9462"/>
    </bk>
    <bk>
      <rc t="2" v="9463"/>
    </bk>
    <bk>
      <rc t="2" v="9464"/>
    </bk>
    <bk>
      <rc t="2" v="9465"/>
    </bk>
    <bk>
      <rc t="2" v="9466"/>
    </bk>
    <bk>
      <rc t="2" v="9467"/>
    </bk>
    <bk>
      <rc t="2" v="9468"/>
    </bk>
    <bk>
      <rc t="2" v="9469"/>
    </bk>
    <bk>
      <rc t="2" v="9470"/>
    </bk>
    <bk>
      <rc t="2" v="9471"/>
    </bk>
    <bk>
      <rc t="2" v="9472"/>
    </bk>
    <bk>
      <rc t="2" v="9473"/>
    </bk>
    <bk>
      <rc t="2" v="9474"/>
    </bk>
    <bk>
      <rc t="2" v="9475"/>
    </bk>
    <bk>
      <rc t="2" v="9476"/>
    </bk>
    <bk>
      <rc t="2" v="9477"/>
    </bk>
    <bk>
      <rc t="2" v="9478"/>
    </bk>
    <bk>
      <rc t="2" v="9479"/>
    </bk>
    <bk>
      <rc t="2" v="9480"/>
    </bk>
    <bk>
      <rc t="2" v="9481"/>
    </bk>
    <bk>
      <rc t="2" v="9482"/>
    </bk>
    <bk>
      <rc t="2" v="9483"/>
    </bk>
    <bk>
      <rc t="2" v="9484"/>
    </bk>
    <bk>
      <rc t="2" v="9485"/>
    </bk>
    <bk>
      <rc t="2" v="9486"/>
    </bk>
    <bk>
      <rc t="2" v="9487"/>
    </bk>
    <bk>
      <rc t="2" v="9488"/>
    </bk>
    <bk>
      <rc t="2" v="9489"/>
    </bk>
    <bk>
      <rc t="2" v="9490"/>
    </bk>
    <bk>
      <rc t="2" v="9491"/>
    </bk>
    <bk>
      <rc t="2" v="9492"/>
    </bk>
    <bk>
      <rc t="2" v="9493"/>
    </bk>
    <bk>
      <rc t="2" v="9494"/>
    </bk>
    <bk>
      <rc t="2" v="9495"/>
    </bk>
    <bk>
      <rc t="2" v="9496"/>
    </bk>
    <bk>
      <rc t="2" v="9497"/>
    </bk>
    <bk>
      <rc t="2" v="9498"/>
    </bk>
    <bk>
      <rc t="2" v="9499"/>
    </bk>
    <bk>
      <rc t="2" v="9500"/>
    </bk>
    <bk>
      <rc t="2" v="9501"/>
    </bk>
    <bk>
      <rc t="2" v="9502"/>
    </bk>
    <bk>
      <rc t="2" v="9503"/>
    </bk>
    <bk>
      <rc t="2" v="9504"/>
    </bk>
    <bk>
      <rc t="2" v="9505"/>
    </bk>
    <bk>
      <rc t="2" v="9506"/>
    </bk>
    <bk>
      <rc t="2" v="9507"/>
    </bk>
    <bk>
      <rc t="2" v="9508"/>
    </bk>
    <bk>
      <rc t="2" v="9509"/>
    </bk>
    <bk>
      <rc t="2" v="9510"/>
    </bk>
    <bk>
      <rc t="2" v="9511"/>
    </bk>
    <bk>
      <rc t="2" v="9512"/>
    </bk>
    <bk>
      <rc t="2" v="9513"/>
    </bk>
    <bk>
      <rc t="2" v="9514"/>
    </bk>
    <bk>
      <rc t="2" v="9515"/>
    </bk>
    <bk>
      <rc t="2" v="9516"/>
    </bk>
    <bk>
      <rc t="2" v="9517"/>
    </bk>
    <bk>
      <rc t="2" v="9518"/>
    </bk>
    <bk>
      <rc t="2" v="9519"/>
    </bk>
    <bk>
      <rc t="2" v="9520"/>
    </bk>
    <bk>
      <rc t="2" v="9521"/>
    </bk>
    <bk>
      <rc t="2" v="9522"/>
    </bk>
    <bk>
      <rc t="2" v="9523"/>
    </bk>
    <bk>
      <rc t="2" v="9524"/>
    </bk>
    <bk>
      <rc t="2" v="9525"/>
    </bk>
    <bk>
      <rc t="2" v="9526"/>
    </bk>
    <bk>
      <rc t="2" v="9527"/>
    </bk>
    <bk>
      <rc t="2" v="9528"/>
    </bk>
    <bk>
      <rc t="2" v="9529"/>
    </bk>
    <bk>
      <rc t="2" v="9530"/>
    </bk>
    <bk>
      <rc t="2" v="9531"/>
    </bk>
    <bk>
      <rc t="2" v="9532"/>
    </bk>
    <bk>
      <rc t="2" v="9533"/>
    </bk>
    <bk>
      <rc t="2" v="9534"/>
    </bk>
    <bk>
      <rc t="2" v="9535"/>
    </bk>
    <bk>
      <rc t="2" v="9536"/>
    </bk>
    <bk>
      <rc t="2" v="9537"/>
    </bk>
    <bk>
      <rc t="2" v="9538"/>
    </bk>
    <bk>
      <rc t="2" v="9539"/>
    </bk>
    <bk>
      <rc t="2" v="9540"/>
    </bk>
    <bk>
      <rc t="2" v="9541"/>
    </bk>
    <bk>
      <rc t="2" v="9542"/>
    </bk>
    <bk>
      <rc t="2" v="9543"/>
    </bk>
    <bk>
      <rc t="2" v="9544"/>
    </bk>
    <bk>
      <rc t="2" v="9545"/>
    </bk>
    <bk>
      <rc t="2" v="9546"/>
    </bk>
    <bk>
      <rc t="2" v="9547"/>
    </bk>
    <bk>
      <rc t="2" v="9548"/>
    </bk>
    <bk>
      <rc t="2" v="9549"/>
    </bk>
    <bk>
      <rc t="2" v="9550"/>
    </bk>
    <bk>
      <rc t="2" v="9551"/>
    </bk>
    <bk>
      <rc t="2" v="9552"/>
    </bk>
    <bk>
      <rc t="2" v="9553"/>
    </bk>
    <bk>
      <rc t="2" v="9554"/>
    </bk>
    <bk>
      <rc t="2" v="9555"/>
    </bk>
    <bk>
      <rc t="2" v="9556"/>
    </bk>
    <bk>
      <rc t="2" v="9557"/>
    </bk>
    <bk>
      <rc t="2" v="9558"/>
    </bk>
    <bk>
      <rc t="2" v="9559"/>
    </bk>
    <bk>
      <rc t="2" v="9560"/>
    </bk>
    <bk>
      <rc t="2" v="9561"/>
    </bk>
    <bk>
      <rc t="2" v="9562"/>
    </bk>
    <bk>
      <rc t="2" v="9563"/>
    </bk>
    <bk>
      <rc t="2" v="9564"/>
    </bk>
    <bk>
      <rc t="2" v="9565"/>
    </bk>
    <bk>
      <rc t="2" v="9566"/>
    </bk>
    <bk>
      <rc t="2" v="9567"/>
    </bk>
    <bk>
      <rc t="2" v="9568"/>
    </bk>
    <bk>
      <rc t="2" v="9569"/>
    </bk>
    <bk>
      <rc t="2" v="9570"/>
    </bk>
    <bk>
      <rc t="2" v="9571"/>
    </bk>
    <bk>
      <rc t="2" v="9572"/>
    </bk>
    <bk>
      <rc t="2" v="9573"/>
    </bk>
    <bk>
      <rc t="2" v="9574"/>
    </bk>
    <bk>
      <rc t="2" v="9575"/>
    </bk>
    <bk>
      <rc t="2" v="9576"/>
    </bk>
    <bk>
      <rc t="2" v="9577"/>
    </bk>
    <bk>
      <rc t="2" v="9578"/>
    </bk>
    <bk>
      <rc t="2" v="9579"/>
    </bk>
    <bk>
      <rc t="2" v="9580"/>
    </bk>
    <bk>
      <rc t="2" v="9581"/>
    </bk>
    <bk>
      <rc t="2" v="9582"/>
    </bk>
    <bk>
      <rc t="2" v="9583"/>
    </bk>
    <bk>
      <rc t="2" v="9584"/>
    </bk>
    <bk>
      <rc t="2" v="9585"/>
    </bk>
    <bk>
      <rc t="2" v="9586"/>
    </bk>
    <bk>
      <rc t="2" v="9587"/>
    </bk>
    <bk>
      <rc t="2" v="9588"/>
    </bk>
    <bk>
      <rc t="2" v="9589"/>
    </bk>
    <bk>
      <rc t="2" v="9590"/>
    </bk>
    <bk>
      <rc t="2" v="9591"/>
    </bk>
    <bk>
      <rc t="2" v="9592"/>
    </bk>
    <bk>
      <rc t="2" v="9593"/>
    </bk>
    <bk>
      <rc t="2" v="9594"/>
    </bk>
    <bk>
      <rc t="2" v="9595"/>
    </bk>
    <bk>
      <rc t="2" v="9596"/>
    </bk>
    <bk>
      <rc t="2" v="9597"/>
    </bk>
    <bk>
      <rc t="2" v="9598"/>
    </bk>
    <bk>
      <rc t="2" v="9599"/>
    </bk>
    <bk>
      <rc t="2" v="9600"/>
    </bk>
    <bk>
      <rc t="2" v="9601"/>
    </bk>
    <bk>
      <rc t="2" v="9602"/>
    </bk>
    <bk>
      <rc t="2" v="9603"/>
    </bk>
    <bk>
      <rc t="2" v="9604"/>
    </bk>
    <bk>
      <rc t="2" v="9605"/>
    </bk>
    <bk>
      <rc t="2" v="9606"/>
    </bk>
    <bk>
      <rc t="2" v="9607"/>
    </bk>
    <bk>
      <rc t="2" v="9608"/>
    </bk>
    <bk>
      <rc t="2" v="9609"/>
    </bk>
    <bk>
      <rc t="2" v="9610"/>
    </bk>
    <bk>
      <rc t="2" v="9611"/>
    </bk>
    <bk>
      <rc t="2" v="9612"/>
    </bk>
    <bk>
      <rc t="2" v="9613"/>
    </bk>
    <bk>
      <rc t="2" v="9614"/>
    </bk>
    <bk>
      <rc t="2" v="9615"/>
    </bk>
    <bk>
      <rc t="2" v="9616"/>
    </bk>
    <bk>
      <rc t="2" v="9617"/>
    </bk>
    <bk>
      <rc t="2" v="9618"/>
    </bk>
    <bk>
      <rc t="2" v="9619"/>
    </bk>
    <bk>
      <rc t="2" v="9620"/>
    </bk>
    <bk>
      <rc t="2" v="9621"/>
    </bk>
    <bk>
      <rc t="2" v="9622"/>
    </bk>
    <bk>
      <rc t="2" v="9623"/>
    </bk>
    <bk>
      <rc t="2" v="9624"/>
    </bk>
    <bk>
      <rc t="2" v="9625"/>
    </bk>
    <bk>
      <rc t="2" v="9626"/>
    </bk>
    <bk>
      <rc t="2" v="9627"/>
    </bk>
    <bk>
      <rc t="2" v="9628"/>
    </bk>
    <bk>
      <rc t="2" v="9629"/>
    </bk>
    <bk>
      <rc t="2" v="9630"/>
    </bk>
    <bk>
      <rc t="2" v="9631"/>
    </bk>
    <bk>
      <rc t="2" v="9632"/>
    </bk>
    <bk>
      <rc t="2" v="9633"/>
    </bk>
    <bk>
      <rc t="2" v="9634"/>
    </bk>
    <bk>
      <rc t="2" v="9635"/>
    </bk>
    <bk>
      <rc t="2" v="9636"/>
    </bk>
    <bk>
      <rc t="2" v="9637"/>
    </bk>
    <bk>
      <rc t="2" v="9638"/>
    </bk>
    <bk>
      <rc t="2" v="9639"/>
    </bk>
    <bk>
      <rc t="2" v="9640"/>
    </bk>
    <bk>
      <rc t="2" v="9641"/>
    </bk>
    <bk>
      <rc t="2" v="9642"/>
    </bk>
    <bk>
      <rc t="2" v="9643"/>
    </bk>
    <bk>
      <rc t="2" v="9644"/>
    </bk>
    <bk>
      <rc t="2" v="9645"/>
    </bk>
    <bk>
      <rc t="2" v="9646"/>
    </bk>
    <bk>
      <rc t="2" v="9647"/>
    </bk>
    <bk>
      <rc t="2" v="9648"/>
    </bk>
    <bk>
      <rc t="2" v="9649"/>
    </bk>
    <bk>
      <rc t="2" v="9650"/>
    </bk>
    <bk>
      <rc t="2" v="9651"/>
    </bk>
    <bk>
      <rc t="2" v="9652"/>
    </bk>
    <bk>
      <rc t="2" v="9653"/>
    </bk>
    <bk>
      <rc t="2" v="9654"/>
    </bk>
    <bk>
      <rc t="2" v="9655"/>
    </bk>
    <bk>
      <rc t="2" v="9656"/>
    </bk>
    <bk>
      <rc t="2" v="9657"/>
    </bk>
    <bk>
      <rc t="2" v="9658"/>
    </bk>
    <bk>
      <rc t="2" v="9659"/>
    </bk>
    <bk>
      <rc t="2" v="9660"/>
    </bk>
    <bk>
      <rc t="2" v="9661"/>
    </bk>
    <bk>
      <rc t="2" v="9662"/>
    </bk>
    <bk>
      <rc t="2" v="9663"/>
    </bk>
    <bk>
      <rc t="2" v="9664"/>
    </bk>
    <bk>
      <rc t="2" v="9665"/>
    </bk>
    <bk>
      <rc t="2" v="9666"/>
    </bk>
    <bk>
      <rc t="2" v="9667"/>
    </bk>
    <bk>
      <rc t="2" v="9668"/>
    </bk>
    <bk>
      <rc t="2" v="9669"/>
    </bk>
    <bk>
      <rc t="2" v="9670"/>
    </bk>
    <bk>
      <rc t="2" v="9671"/>
    </bk>
    <bk>
      <rc t="2" v="9672"/>
    </bk>
    <bk>
      <rc t="2" v="9673"/>
    </bk>
    <bk>
      <rc t="2" v="9674"/>
    </bk>
    <bk>
      <rc t="2" v="9675"/>
    </bk>
    <bk>
      <rc t="2" v="9676"/>
    </bk>
    <bk>
      <rc t="2" v="9677"/>
    </bk>
    <bk>
      <rc t="2" v="9678"/>
    </bk>
    <bk>
      <rc t="2" v="9679"/>
    </bk>
    <bk>
      <rc t="2" v="9680"/>
    </bk>
    <bk>
      <rc t="2" v="9681"/>
    </bk>
    <bk>
      <rc t="2" v="9682"/>
    </bk>
    <bk>
      <rc t="2" v="9683"/>
    </bk>
    <bk>
      <rc t="2" v="9684"/>
    </bk>
    <bk>
      <rc t="2" v="9685"/>
    </bk>
    <bk>
      <rc t="2" v="9686"/>
    </bk>
    <bk>
      <rc t="2" v="9687"/>
    </bk>
    <bk>
      <rc t="2" v="9688"/>
    </bk>
    <bk>
      <rc t="2" v="9689"/>
    </bk>
    <bk>
      <rc t="2" v="9690"/>
    </bk>
    <bk>
      <rc t="2" v="9691"/>
    </bk>
    <bk>
      <rc t="2" v="9692"/>
    </bk>
    <bk>
      <rc t="2" v="9693"/>
    </bk>
    <bk>
      <rc t="2" v="9694"/>
    </bk>
    <bk>
      <rc t="2" v="9695"/>
    </bk>
    <bk>
      <rc t="2" v="9696"/>
    </bk>
    <bk>
      <rc t="2" v="9697"/>
    </bk>
    <bk>
      <rc t="2" v="9698"/>
    </bk>
    <bk>
      <rc t="2" v="9699"/>
    </bk>
    <bk>
      <rc t="2" v="9700"/>
    </bk>
    <bk>
      <rc t="2" v="9701"/>
    </bk>
    <bk>
      <rc t="2" v="9702"/>
    </bk>
    <bk>
      <rc t="2" v="9703"/>
    </bk>
    <bk>
      <rc t="2" v="9704"/>
    </bk>
    <bk>
      <rc t="2" v="9705"/>
    </bk>
    <bk>
      <rc t="2" v="9706"/>
    </bk>
    <bk>
      <rc t="2" v="9707"/>
    </bk>
    <bk>
      <rc t="2" v="9708"/>
    </bk>
    <bk>
      <rc t="2" v="9709"/>
    </bk>
    <bk>
      <rc t="2" v="9710"/>
    </bk>
    <bk>
      <rc t="2" v="9711"/>
    </bk>
    <bk>
      <rc t="2" v="9712"/>
    </bk>
    <bk>
      <rc t="2" v="9713"/>
    </bk>
    <bk>
      <rc t="2" v="9714"/>
    </bk>
    <bk>
      <rc t="2" v="9715"/>
    </bk>
    <bk>
      <rc t="2" v="9716"/>
    </bk>
    <bk>
      <rc t="2" v="9717"/>
    </bk>
    <bk>
      <rc t="2" v="9718"/>
    </bk>
    <bk>
      <rc t="2" v="9719"/>
    </bk>
    <bk>
      <rc t="2" v="9720"/>
    </bk>
    <bk>
      <rc t="2" v="9721"/>
    </bk>
    <bk>
      <rc t="2" v="9722"/>
    </bk>
    <bk>
      <rc t="2" v="9723"/>
    </bk>
    <bk>
      <rc t="2" v="9724"/>
    </bk>
    <bk>
      <rc t="2" v="9725"/>
    </bk>
    <bk>
      <rc t="2" v="9726"/>
    </bk>
    <bk>
      <rc t="2" v="9727"/>
    </bk>
    <bk>
      <rc t="2" v="9728"/>
    </bk>
    <bk>
      <rc t="2" v="9729"/>
    </bk>
    <bk>
      <rc t="2" v="9730"/>
    </bk>
    <bk>
      <rc t="2" v="9731"/>
    </bk>
    <bk>
      <rc t="2" v="9732"/>
    </bk>
    <bk>
      <rc t="2" v="9733"/>
    </bk>
    <bk>
      <rc t="2" v="9734"/>
    </bk>
    <bk>
      <rc t="2" v="9735"/>
    </bk>
    <bk>
      <rc t="2" v="9736"/>
    </bk>
    <bk>
      <rc t="2" v="9737"/>
    </bk>
    <bk>
      <rc t="2" v="9738"/>
    </bk>
    <bk>
      <rc t="2" v="9739"/>
    </bk>
    <bk>
      <rc t="2" v="9740"/>
    </bk>
    <bk>
      <rc t="2" v="9741"/>
    </bk>
    <bk>
      <rc t="2" v="9742"/>
    </bk>
    <bk>
      <rc t="2" v="9743"/>
    </bk>
    <bk>
      <rc t="2" v="9744"/>
    </bk>
    <bk>
      <rc t="2" v="9745"/>
    </bk>
    <bk>
      <rc t="2" v="9746"/>
    </bk>
    <bk>
      <rc t="2" v="9747"/>
    </bk>
    <bk>
      <rc t="2" v="9748"/>
    </bk>
    <bk>
      <rc t="2" v="9749"/>
    </bk>
    <bk>
      <rc t="2" v="9750"/>
    </bk>
    <bk>
      <rc t="2" v="9751"/>
    </bk>
    <bk>
      <rc t="2" v="9752"/>
    </bk>
    <bk>
      <rc t="2" v="9753"/>
    </bk>
    <bk>
      <rc t="2" v="9754"/>
    </bk>
    <bk>
      <rc t="2" v="9755"/>
    </bk>
    <bk>
      <rc t="2" v="9756"/>
    </bk>
    <bk>
      <rc t="2" v="9757"/>
    </bk>
    <bk>
      <rc t="2" v="9758"/>
    </bk>
    <bk>
      <rc t="2" v="9759"/>
    </bk>
    <bk>
      <rc t="2" v="9760"/>
    </bk>
    <bk>
      <rc t="2" v="9761"/>
    </bk>
    <bk>
      <rc t="2" v="9762"/>
    </bk>
    <bk>
      <rc t="2" v="9763"/>
    </bk>
    <bk>
      <rc t="2" v="9764"/>
    </bk>
    <bk>
      <rc t="2" v="9765"/>
    </bk>
    <bk>
      <rc t="2" v="9766"/>
    </bk>
    <bk>
      <rc t="2" v="9767"/>
    </bk>
    <bk>
      <rc t="2" v="9768"/>
    </bk>
    <bk>
      <rc t="2" v="9769"/>
    </bk>
    <bk>
      <rc t="2" v="9770"/>
    </bk>
    <bk>
      <rc t="2" v="9771"/>
    </bk>
    <bk>
      <rc t="2" v="9772"/>
    </bk>
    <bk>
      <rc t="2" v="9773"/>
    </bk>
    <bk>
      <rc t="2" v="9774"/>
    </bk>
    <bk>
      <rc t="2" v="9775"/>
    </bk>
    <bk>
      <rc t="2" v="9776"/>
    </bk>
    <bk>
      <rc t="2" v="9777"/>
    </bk>
    <bk>
      <rc t="2" v="9778"/>
    </bk>
    <bk>
      <rc t="2" v="9779"/>
    </bk>
    <bk>
      <rc t="2" v="9780"/>
    </bk>
    <bk>
      <rc t="2" v="9781"/>
    </bk>
    <bk>
      <rc t="2" v="9782"/>
    </bk>
    <bk>
      <rc t="2" v="9783"/>
    </bk>
    <bk>
      <rc t="2" v="9784"/>
    </bk>
    <bk>
      <rc t="2" v="9785"/>
    </bk>
    <bk>
      <rc t="2" v="9786"/>
    </bk>
    <bk>
      <rc t="2" v="9787"/>
    </bk>
    <bk>
      <rc t="2" v="9788"/>
    </bk>
    <bk>
      <rc t="2" v="9789"/>
    </bk>
    <bk>
      <rc t="2" v="9790"/>
    </bk>
    <bk>
      <rc t="2" v="9791"/>
    </bk>
    <bk>
      <rc t="2" v="9792"/>
    </bk>
    <bk>
      <rc t="2" v="9793"/>
    </bk>
    <bk>
      <rc t="2" v="9794"/>
    </bk>
    <bk>
      <rc t="2" v="9795"/>
    </bk>
    <bk>
      <rc t="2" v="9796"/>
    </bk>
    <bk>
      <rc t="2" v="9797"/>
    </bk>
    <bk>
      <rc t="2" v="9798"/>
    </bk>
    <bk>
      <rc t="2" v="9799"/>
    </bk>
    <bk>
      <rc t="2" v="9800"/>
    </bk>
    <bk>
      <rc t="2" v="9801"/>
    </bk>
    <bk>
      <rc t="2" v="9802"/>
    </bk>
    <bk>
      <rc t="2" v="9803"/>
    </bk>
    <bk>
      <rc t="2" v="9804"/>
    </bk>
    <bk>
      <rc t="2" v="9805"/>
    </bk>
    <bk>
      <rc t="2" v="9806"/>
    </bk>
    <bk>
      <rc t="2" v="9807"/>
    </bk>
    <bk>
      <rc t="2" v="9808"/>
    </bk>
    <bk>
      <rc t="2" v="9809"/>
    </bk>
    <bk>
      <rc t="2" v="9810"/>
    </bk>
    <bk>
      <rc t="2" v="9811"/>
    </bk>
    <bk>
      <rc t="2" v="9812"/>
    </bk>
    <bk>
      <rc t="2" v="9813"/>
    </bk>
    <bk>
      <rc t="2" v="9814"/>
    </bk>
    <bk>
      <rc t="2" v="9815"/>
    </bk>
    <bk>
      <rc t="2" v="9816"/>
    </bk>
    <bk>
      <rc t="2" v="9817"/>
    </bk>
    <bk>
      <rc t="2" v="9818"/>
    </bk>
    <bk>
      <rc t="2" v="9819"/>
    </bk>
    <bk>
      <rc t="2" v="9820"/>
    </bk>
    <bk>
      <rc t="2" v="9821"/>
    </bk>
    <bk>
      <rc t="2" v="9822"/>
    </bk>
    <bk>
      <rc t="2" v="9823"/>
    </bk>
    <bk>
      <rc t="2" v="9824"/>
    </bk>
    <bk>
      <rc t="2" v="9825"/>
    </bk>
    <bk>
      <rc t="2" v="9826"/>
    </bk>
    <bk>
      <rc t="2" v="9827"/>
    </bk>
    <bk>
      <rc t="2" v="9828"/>
    </bk>
    <bk>
      <rc t="2" v="9829"/>
    </bk>
    <bk>
      <rc t="2" v="9830"/>
    </bk>
    <bk>
      <rc t="2" v="9831"/>
    </bk>
    <bk>
      <rc t="2" v="9832"/>
    </bk>
    <bk>
      <rc t="2" v="9833"/>
    </bk>
    <bk>
      <rc t="2" v="9834"/>
    </bk>
    <bk>
      <rc t="2" v="9835"/>
    </bk>
    <bk>
      <rc t="2" v="9836"/>
    </bk>
    <bk>
      <rc t="2" v="9837"/>
    </bk>
    <bk>
      <rc t="2" v="9838"/>
    </bk>
    <bk>
      <rc t="2" v="9839"/>
    </bk>
    <bk>
      <rc t="2" v="9840"/>
    </bk>
    <bk>
      <rc t="2" v="9841"/>
    </bk>
    <bk>
      <rc t="2" v="9842"/>
    </bk>
    <bk>
      <rc t="2" v="9843"/>
    </bk>
    <bk>
      <rc t="2" v="9844"/>
    </bk>
    <bk>
      <rc t="2" v="9845"/>
    </bk>
    <bk>
      <rc t="2" v="9846"/>
    </bk>
    <bk>
      <rc t="2" v="9847"/>
    </bk>
    <bk>
      <rc t="2" v="9848"/>
    </bk>
    <bk>
      <rc t="2" v="9849"/>
    </bk>
    <bk>
      <rc t="2" v="9850"/>
    </bk>
    <bk>
      <rc t="2" v="9851"/>
    </bk>
    <bk>
      <rc t="2" v="9852"/>
    </bk>
    <bk>
      <rc t="2" v="9853"/>
    </bk>
    <bk>
      <rc t="2" v="9854"/>
    </bk>
    <bk>
      <rc t="2" v="9855"/>
    </bk>
    <bk>
      <rc t="2" v="9856"/>
    </bk>
    <bk>
      <rc t="2" v="9857"/>
    </bk>
    <bk>
      <rc t="2" v="9858"/>
    </bk>
    <bk>
      <rc t="2" v="9859"/>
    </bk>
    <bk>
      <rc t="2" v="9860"/>
    </bk>
    <bk>
      <rc t="2" v="9861"/>
    </bk>
    <bk>
      <rc t="2" v="9862"/>
    </bk>
    <bk>
      <rc t="2" v="9863"/>
    </bk>
    <bk>
      <rc t="2" v="9864"/>
    </bk>
    <bk>
      <rc t="2" v="9865"/>
    </bk>
    <bk>
      <rc t="2" v="9866"/>
    </bk>
    <bk>
      <rc t="2" v="9867"/>
    </bk>
    <bk>
      <rc t="2" v="9868"/>
    </bk>
    <bk>
      <rc t="2" v="9869"/>
    </bk>
    <bk>
      <rc t="2" v="9870"/>
    </bk>
    <bk>
      <rc t="2" v="9871"/>
    </bk>
    <bk>
      <rc t="2" v="9872"/>
    </bk>
    <bk>
      <rc t="2" v="9873"/>
    </bk>
    <bk>
      <rc t="2" v="9874"/>
    </bk>
    <bk>
      <rc t="2" v="9875"/>
    </bk>
    <bk>
      <rc t="2" v="9876"/>
    </bk>
    <bk>
      <rc t="2" v="9877"/>
    </bk>
    <bk>
      <rc t="2" v="9878"/>
    </bk>
    <bk>
      <rc t="2" v="9879"/>
    </bk>
    <bk>
      <rc t="2" v="9880"/>
    </bk>
    <bk>
      <rc t="2" v="9881"/>
    </bk>
    <bk>
      <rc t="2" v="9882"/>
    </bk>
    <bk>
      <rc t="2" v="9883"/>
    </bk>
    <bk>
      <rc t="2" v="9884"/>
    </bk>
    <bk>
      <rc t="2" v="9885"/>
    </bk>
    <bk>
      <rc t="2" v="9886"/>
    </bk>
    <bk>
      <rc t="2" v="9887"/>
    </bk>
    <bk>
      <rc t="2" v="9888"/>
    </bk>
    <bk>
      <rc t="2" v="9889"/>
    </bk>
    <bk>
      <rc t="2" v="9890"/>
    </bk>
    <bk>
      <rc t="2" v="9891"/>
    </bk>
    <bk>
      <rc t="2" v="9892"/>
    </bk>
    <bk>
      <rc t="2" v="9893"/>
    </bk>
    <bk>
      <rc t="2" v="9894"/>
    </bk>
    <bk>
      <rc t="2" v="9895"/>
    </bk>
    <bk>
      <rc t="2" v="9896"/>
    </bk>
    <bk>
      <rc t="2" v="9897"/>
    </bk>
    <bk>
      <rc t="2" v="9898"/>
    </bk>
    <bk>
      <rc t="2" v="9899"/>
    </bk>
    <bk>
      <rc t="2" v="9900"/>
    </bk>
    <bk>
      <rc t="2" v="9901"/>
    </bk>
    <bk>
      <rc t="2" v="9902"/>
    </bk>
    <bk>
      <rc t="2" v="9903"/>
    </bk>
    <bk>
      <rc t="2" v="9904"/>
    </bk>
    <bk>
      <rc t="2" v="9905"/>
    </bk>
    <bk>
      <rc t="2" v="9906"/>
    </bk>
    <bk>
      <rc t="2" v="9907"/>
    </bk>
    <bk>
      <rc t="2" v="9908"/>
    </bk>
    <bk>
      <rc t="2" v="9909"/>
    </bk>
    <bk>
      <rc t="2" v="9910"/>
    </bk>
    <bk>
      <rc t="2" v="9911"/>
    </bk>
    <bk>
      <rc t="2" v="9912"/>
    </bk>
    <bk>
      <rc t="2" v="9913"/>
    </bk>
    <bk>
      <rc t="2" v="9914"/>
    </bk>
    <bk>
      <rc t="2" v="9915"/>
    </bk>
    <bk>
      <rc t="2" v="9916"/>
    </bk>
    <bk>
      <rc t="2" v="9917"/>
    </bk>
    <bk>
      <rc t="2" v="9918"/>
    </bk>
    <bk>
      <rc t="2" v="9919"/>
    </bk>
    <bk>
      <rc t="2" v="9920"/>
    </bk>
    <bk>
      <rc t="2" v="9921"/>
    </bk>
    <bk>
      <rc t="2" v="9922"/>
    </bk>
    <bk>
      <rc t="2" v="9923"/>
    </bk>
    <bk>
      <rc t="2" v="9924"/>
    </bk>
    <bk>
      <rc t="2" v="9925"/>
    </bk>
    <bk>
      <rc t="2" v="9926"/>
    </bk>
    <bk>
      <rc t="2" v="9927"/>
    </bk>
    <bk>
      <rc t="2" v="9928"/>
    </bk>
    <bk>
      <rc t="2" v="9929"/>
    </bk>
    <bk>
      <rc t="2" v="9930"/>
    </bk>
    <bk>
      <rc t="2" v="9931"/>
    </bk>
    <bk>
      <rc t="2" v="9932"/>
    </bk>
    <bk>
      <rc t="2" v="9933"/>
    </bk>
    <bk>
      <rc t="2" v="9934"/>
    </bk>
    <bk>
      <rc t="2" v="9935"/>
    </bk>
    <bk>
      <rc t="2" v="9936"/>
    </bk>
    <bk>
      <rc t="2" v="9937"/>
    </bk>
    <bk>
      <rc t="2" v="9938"/>
    </bk>
    <bk>
      <rc t="2" v="9939"/>
    </bk>
    <bk>
      <rc t="2" v="9940"/>
    </bk>
    <bk>
      <rc t="2" v="9941"/>
    </bk>
    <bk>
      <rc t="2" v="9942"/>
    </bk>
    <bk>
      <rc t="2" v="9943"/>
    </bk>
    <bk>
      <rc t="2" v="9944"/>
    </bk>
    <bk>
      <rc t="2" v="9945"/>
    </bk>
    <bk>
      <rc t="2" v="9946"/>
    </bk>
    <bk>
      <rc t="2" v="9947"/>
    </bk>
    <bk>
      <rc t="2" v="9948"/>
    </bk>
    <bk>
      <rc t="2" v="9949"/>
    </bk>
    <bk>
      <rc t="2" v="9950"/>
    </bk>
    <bk>
      <rc t="2" v="9951"/>
    </bk>
    <bk>
      <rc t="2" v="9952"/>
    </bk>
    <bk>
      <rc t="2" v="9953"/>
    </bk>
    <bk>
      <rc t="2" v="9954"/>
    </bk>
    <bk>
      <rc t="2" v="9955"/>
    </bk>
    <bk>
      <rc t="2" v="9956"/>
    </bk>
    <bk>
      <rc t="2" v="9957"/>
    </bk>
    <bk>
      <rc t="2" v="9958"/>
    </bk>
    <bk>
      <rc t="2" v="9959"/>
    </bk>
    <bk>
      <rc t="2" v="9960"/>
    </bk>
    <bk>
      <rc t="2" v="9961"/>
    </bk>
    <bk>
      <rc t="2" v="9962"/>
    </bk>
    <bk>
      <rc t="2" v="9963"/>
    </bk>
    <bk>
      <rc t="2" v="9964"/>
    </bk>
    <bk>
      <rc t="2" v="9965"/>
    </bk>
    <bk>
      <rc t="2" v="9966"/>
    </bk>
    <bk>
      <rc t="2" v="9967"/>
    </bk>
    <bk>
      <rc t="2" v="9968"/>
    </bk>
    <bk>
      <rc t="2" v="9969"/>
    </bk>
    <bk>
      <rc t="2" v="9970"/>
    </bk>
    <bk>
      <rc t="2" v="9971"/>
    </bk>
    <bk>
      <rc t="2" v="9972"/>
    </bk>
    <bk>
      <rc t="2" v="9973"/>
    </bk>
    <bk>
      <rc t="2" v="9974"/>
    </bk>
    <bk>
      <rc t="2" v="9975"/>
    </bk>
    <bk>
      <rc t="2" v="9976"/>
    </bk>
    <bk>
      <rc t="2" v="9977"/>
    </bk>
    <bk>
      <rc t="2" v="9978"/>
    </bk>
    <bk>
      <rc t="2" v="9979"/>
    </bk>
    <bk>
      <rc t="2" v="9980"/>
    </bk>
    <bk>
      <rc t="2" v="9981"/>
    </bk>
    <bk>
      <rc t="2" v="9982"/>
    </bk>
    <bk>
      <rc t="2" v="9983"/>
    </bk>
    <bk>
      <rc t="2" v="9984"/>
    </bk>
    <bk>
      <rc t="2" v="9985"/>
    </bk>
    <bk>
      <rc t="2" v="9986"/>
    </bk>
    <bk>
      <rc t="2" v="9987"/>
    </bk>
    <bk>
      <rc t="2" v="9988"/>
    </bk>
    <bk>
      <rc t="2" v="9989"/>
    </bk>
    <bk>
      <rc t="2" v="9990"/>
    </bk>
    <bk>
      <rc t="2" v="9991"/>
    </bk>
    <bk>
      <rc t="2" v="9992"/>
    </bk>
    <bk>
      <rc t="2" v="9993"/>
    </bk>
    <bk>
      <rc t="2" v="9994"/>
    </bk>
    <bk>
      <rc t="2" v="9995"/>
    </bk>
    <bk>
      <rc t="2" v="9996"/>
    </bk>
    <bk>
      <rc t="2" v="9997"/>
    </bk>
    <bk>
      <rc t="2" v="9998"/>
    </bk>
    <bk>
      <rc t="2" v="9999"/>
    </bk>
    <bk>
      <rc t="2" v="10000"/>
    </bk>
    <bk>
      <rc t="2" v="10001"/>
    </bk>
    <bk>
      <rc t="2" v="10002"/>
    </bk>
    <bk>
      <rc t="2" v="10003"/>
    </bk>
    <bk>
      <rc t="2" v="10004"/>
    </bk>
    <bk>
      <rc t="2" v="10005"/>
    </bk>
    <bk>
      <rc t="2" v="10006"/>
    </bk>
    <bk>
      <rc t="2" v="10007"/>
    </bk>
    <bk>
      <rc t="2" v="10008"/>
    </bk>
    <bk>
      <rc t="2" v="10009"/>
    </bk>
    <bk>
      <rc t="2" v="10010"/>
    </bk>
    <bk>
      <rc t="2" v="10011"/>
    </bk>
    <bk>
      <rc t="2" v="10012"/>
    </bk>
    <bk>
      <rc t="2" v="10013"/>
    </bk>
    <bk>
      <rc t="2" v="10014"/>
    </bk>
    <bk>
      <rc t="2" v="10015"/>
    </bk>
    <bk>
      <rc t="2" v="10016"/>
    </bk>
    <bk>
      <rc t="2" v="10017"/>
    </bk>
    <bk>
      <rc t="2" v="10018"/>
    </bk>
    <bk>
      <rc t="2" v="10019"/>
    </bk>
    <bk>
      <rc t="2" v="10020"/>
    </bk>
    <bk>
      <rc t="2" v="10021"/>
    </bk>
    <bk>
      <rc t="2" v="10022"/>
    </bk>
    <bk>
      <rc t="2" v="10023"/>
    </bk>
    <bk>
      <rc t="2" v="10024"/>
    </bk>
    <bk>
      <rc t="2" v="10025"/>
    </bk>
    <bk>
      <rc t="2" v="10026"/>
    </bk>
    <bk>
      <rc t="2" v="10027"/>
    </bk>
    <bk>
      <rc t="2" v="10028"/>
    </bk>
    <bk>
      <rc t="2" v="10029"/>
    </bk>
    <bk>
      <rc t="2" v="10030"/>
    </bk>
    <bk>
      <rc t="2" v="10031"/>
    </bk>
    <bk>
      <rc t="2" v="10032"/>
    </bk>
    <bk>
      <rc t="2" v="10033"/>
    </bk>
    <bk>
      <rc t="2" v="10034"/>
    </bk>
    <bk>
      <rc t="2" v="10035"/>
    </bk>
    <bk>
      <rc t="2" v="10036"/>
    </bk>
    <bk>
      <rc t="2" v="10037"/>
    </bk>
    <bk>
      <rc t="2" v="10038"/>
    </bk>
    <bk>
      <rc t="2" v="10039"/>
    </bk>
    <bk>
      <rc t="2" v="10040"/>
    </bk>
    <bk>
      <rc t="2" v="10041"/>
    </bk>
    <bk>
      <rc t="2" v="10042"/>
    </bk>
    <bk>
      <rc t="2" v="10043"/>
    </bk>
    <bk>
      <rc t="2" v="10044"/>
    </bk>
    <bk>
      <rc t="2" v="10045"/>
    </bk>
    <bk>
      <rc t="2" v="10046"/>
    </bk>
    <bk>
      <rc t="2" v="10047"/>
    </bk>
    <bk>
      <rc t="2" v="10048"/>
    </bk>
    <bk>
      <rc t="2" v="10049"/>
    </bk>
    <bk>
      <rc t="2" v="10050"/>
    </bk>
    <bk>
      <rc t="2" v="10051"/>
    </bk>
    <bk>
      <rc t="2" v="10052"/>
    </bk>
    <bk>
      <rc t="2" v="10053"/>
    </bk>
    <bk>
      <rc t="2" v="10054"/>
    </bk>
    <bk>
      <rc t="2" v="10055"/>
    </bk>
    <bk>
      <rc t="2" v="10056"/>
    </bk>
    <bk>
      <rc t="2" v="10057"/>
    </bk>
    <bk>
      <rc t="2" v="10058"/>
    </bk>
    <bk>
      <rc t="2" v="10059"/>
    </bk>
    <bk>
      <rc t="2" v="10060"/>
    </bk>
    <bk>
      <rc t="2" v="10061"/>
    </bk>
    <bk>
      <rc t="2" v="10062"/>
    </bk>
    <bk>
      <rc t="2" v="10063"/>
    </bk>
    <bk>
      <rc t="2" v="10064"/>
    </bk>
    <bk>
      <rc t="2" v="10065"/>
    </bk>
    <bk>
      <rc t="2" v="10066"/>
    </bk>
    <bk>
      <rc t="2" v="10067"/>
    </bk>
    <bk>
      <rc t="2" v="10068"/>
    </bk>
    <bk>
      <rc t="2" v="10069"/>
    </bk>
    <bk>
      <rc t="2" v="10070"/>
    </bk>
    <bk>
      <rc t="2" v="10071"/>
    </bk>
    <bk>
      <rc t="2" v="10072"/>
    </bk>
    <bk>
      <rc t="2" v="10073"/>
    </bk>
    <bk>
      <rc t="2" v="10074"/>
    </bk>
    <bk>
      <rc t="2" v="10075"/>
    </bk>
    <bk>
      <rc t="2" v="10076"/>
    </bk>
    <bk>
      <rc t="2" v="10077"/>
    </bk>
    <bk>
      <rc t="2" v="10078"/>
    </bk>
    <bk>
      <rc t="2" v="10079"/>
    </bk>
    <bk>
      <rc t="2" v="10080"/>
    </bk>
    <bk>
      <rc t="2" v="10081"/>
    </bk>
    <bk>
      <rc t="2" v="10082"/>
    </bk>
    <bk>
      <rc t="2" v="10083"/>
    </bk>
    <bk>
      <rc t="2" v="10084"/>
    </bk>
    <bk>
      <rc t="2" v="10085"/>
    </bk>
    <bk>
      <rc t="2" v="10086"/>
    </bk>
    <bk>
      <rc t="2" v="10087"/>
    </bk>
    <bk>
      <rc t="2" v="10088"/>
    </bk>
    <bk>
      <rc t="2" v="10089"/>
    </bk>
    <bk>
      <rc t="2" v="10090"/>
    </bk>
    <bk>
      <rc t="2" v="10091"/>
    </bk>
    <bk>
      <rc t="2" v="10092"/>
    </bk>
    <bk>
      <rc t="2" v="10093"/>
    </bk>
    <bk>
      <rc t="2" v="10094"/>
    </bk>
    <bk>
      <rc t="2" v="10095"/>
    </bk>
    <bk>
      <rc t="2" v="10096"/>
    </bk>
    <bk>
      <rc t="2" v="10097"/>
    </bk>
    <bk>
      <rc t="2" v="10098"/>
    </bk>
    <bk>
      <rc t="2" v="10099"/>
    </bk>
    <bk>
      <rc t="2" v="10100"/>
    </bk>
    <bk>
      <rc t="2" v="10101"/>
    </bk>
    <bk>
      <rc t="2" v="10102"/>
    </bk>
    <bk>
      <rc t="2" v="10103"/>
    </bk>
    <bk>
      <rc t="2" v="10104"/>
    </bk>
    <bk>
      <rc t="2" v="10105"/>
    </bk>
    <bk>
      <rc t="2" v="10106"/>
    </bk>
    <bk>
      <rc t="2" v="10107"/>
    </bk>
    <bk>
      <rc t="2" v="10108"/>
    </bk>
    <bk>
      <rc t="2" v="10109"/>
    </bk>
    <bk>
      <rc t="2" v="10110"/>
    </bk>
    <bk>
      <rc t="2" v="10111"/>
    </bk>
    <bk>
      <rc t="2" v="10112"/>
    </bk>
    <bk>
      <rc t="2" v="10113"/>
    </bk>
    <bk>
      <rc t="2" v="10114"/>
    </bk>
    <bk>
      <rc t="2" v="10115"/>
    </bk>
    <bk>
      <rc t="2" v="10116"/>
    </bk>
    <bk>
      <rc t="2" v="10117"/>
    </bk>
    <bk>
      <rc t="2" v="10118"/>
    </bk>
    <bk>
      <rc t="2" v="10119"/>
    </bk>
    <bk>
      <rc t="2" v="10120"/>
    </bk>
    <bk>
      <rc t="2" v="10121"/>
    </bk>
    <bk>
      <rc t="2" v="10122"/>
    </bk>
    <bk>
      <rc t="2" v="10123"/>
    </bk>
    <bk>
      <rc t="2" v="10124"/>
    </bk>
    <bk>
      <rc t="2" v="10125"/>
    </bk>
    <bk>
      <rc t="2" v="10126"/>
    </bk>
    <bk>
      <rc t="2" v="10127"/>
    </bk>
    <bk>
      <rc t="2" v="10128"/>
    </bk>
    <bk>
      <rc t="2" v="10129"/>
    </bk>
    <bk>
      <rc t="2" v="10130"/>
    </bk>
    <bk>
      <rc t="2" v="10131"/>
    </bk>
    <bk>
      <rc t="2" v="10132"/>
    </bk>
    <bk>
      <rc t="2" v="10133"/>
    </bk>
    <bk>
      <rc t="2" v="10134"/>
    </bk>
    <bk>
      <rc t="2" v="10135"/>
    </bk>
    <bk>
      <rc t="2" v="10136"/>
    </bk>
    <bk>
      <rc t="2" v="10137"/>
    </bk>
    <bk>
      <rc t="2" v="10138"/>
    </bk>
    <bk>
      <rc t="2" v="10139"/>
    </bk>
    <bk>
      <rc t="2" v="10140"/>
    </bk>
    <bk>
      <rc t="2" v="10141"/>
    </bk>
    <bk>
      <rc t="2" v="10142"/>
    </bk>
    <bk>
      <rc t="2" v="10143"/>
    </bk>
    <bk>
      <rc t="2" v="10144"/>
    </bk>
    <bk>
      <rc t="2" v="10145"/>
    </bk>
    <bk>
      <rc t="2" v="10146"/>
    </bk>
    <bk>
      <rc t="2" v="10147"/>
    </bk>
    <bk>
      <rc t="2" v="10148"/>
    </bk>
    <bk>
      <rc t="2" v="10149"/>
    </bk>
    <bk>
      <rc t="2" v="10150"/>
    </bk>
    <bk>
      <rc t="2" v="10151"/>
    </bk>
    <bk>
      <rc t="2" v="10152"/>
    </bk>
    <bk>
      <rc t="2" v="10153"/>
    </bk>
    <bk>
      <rc t="2" v="10154"/>
    </bk>
    <bk>
      <rc t="2" v="10155"/>
    </bk>
    <bk>
      <rc t="2" v="10156"/>
    </bk>
    <bk>
      <rc t="2" v="10157"/>
    </bk>
    <bk>
      <rc t="2" v="10158"/>
    </bk>
    <bk>
      <rc t="2" v="10159"/>
    </bk>
    <bk>
      <rc t="2" v="10160"/>
    </bk>
    <bk>
      <rc t="2" v="10161"/>
    </bk>
    <bk>
      <rc t="2" v="10162"/>
    </bk>
    <bk>
      <rc t="2" v="10163"/>
    </bk>
    <bk>
      <rc t="2" v="10164"/>
    </bk>
    <bk>
      <rc t="2" v="10165"/>
    </bk>
    <bk>
      <rc t="2" v="10166"/>
    </bk>
    <bk>
      <rc t="2" v="10167"/>
    </bk>
    <bk>
      <rc t="2" v="10168"/>
    </bk>
    <bk>
      <rc t="2" v="10169"/>
    </bk>
    <bk>
      <rc t="2" v="10170"/>
    </bk>
    <bk>
      <rc t="2" v="10171"/>
    </bk>
    <bk>
      <rc t="2" v="10172"/>
    </bk>
    <bk>
      <rc t="2" v="10173"/>
    </bk>
    <bk>
      <rc t="2" v="10174"/>
    </bk>
    <bk>
      <rc t="2" v="10175"/>
    </bk>
    <bk>
      <rc t="2" v="10176"/>
    </bk>
    <bk>
      <rc t="2" v="10177"/>
    </bk>
    <bk>
      <rc t="2" v="10178"/>
    </bk>
    <bk>
      <rc t="2" v="10179"/>
    </bk>
    <bk>
      <rc t="2" v="10180"/>
    </bk>
    <bk>
      <rc t="2" v="10181"/>
    </bk>
    <bk>
      <rc t="2" v="10182"/>
    </bk>
    <bk>
      <rc t="2" v="10183"/>
    </bk>
    <bk>
      <rc t="2" v="10184"/>
    </bk>
    <bk>
      <rc t="2" v="10185"/>
    </bk>
    <bk>
      <rc t="2" v="10186"/>
    </bk>
    <bk>
      <rc t="2" v="10187"/>
    </bk>
    <bk>
      <rc t="2" v="10188"/>
    </bk>
    <bk>
      <rc t="2" v="10189"/>
    </bk>
    <bk>
      <rc t="2" v="10190"/>
    </bk>
    <bk>
      <rc t="2" v="10191"/>
    </bk>
    <bk>
      <rc t="2" v="10192"/>
    </bk>
    <bk>
      <rc t="2" v="10193"/>
    </bk>
    <bk>
      <rc t="2" v="10194"/>
    </bk>
    <bk>
      <rc t="2" v="10195"/>
    </bk>
    <bk>
      <rc t="2" v="10196"/>
    </bk>
    <bk>
      <rc t="2" v="10197"/>
    </bk>
    <bk>
      <rc t="2" v="10198"/>
    </bk>
    <bk>
      <rc t="2" v="10199"/>
    </bk>
    <bk>
      <rc t="2" v="10200"/>
    </bk>
    <bk>
      <rc t="2" v="10201"/>
    </bk>
    <bk>
      <rc t="2" v="10202"/>
    </bk>
    <bk>
      <rc t="2" v="10203"/>
    </bk>
    <bk>
      <rc t="2" v="10204"/>
    </bk>
    <bk>
      <rc t="2" v="10205"/>
    </bk>
    <bk>
      <rc t="2" v="10206"/>
    </bk>
    <bk>
      <rc t="2" v="10207"/>
    </bk>
    <bk>
      <rc t="2" v="10208"/>
    </bk>
    <bk>
      <rc t="2" v="10209"/>
    </bk>
    <bk>
      <rc t="2" v="10210"/>
    </bk>
    <bk>
      <rc t="2" v="10211"/>
    </bk>
    <bk>
      <rc t="2" v="10212"/>
    </bk>
    <bk>
      <rc t="2" v="10213"/>
    </bk>
    <bk>
      <rc t="2" v="10214"/>
    </bk>
    <bk>
      <rc t="2" v="10215"/>
    </bk>
    <bk>
      <rc t="2" v="10216"/>
    </bk>
    <bk>
      <rc t="2" v="10217"/>
    </bk>
    <bk>
      <rc t="2" v="10218"/>
    </bk>
    <bk>
      <rc t="2" v="10219"/>
    </bk>
    <bk>
      <rc t="2" v="10220"/>
    </bk>
    <bk>
      <rc t="2" v="10221"/>
    </bk>
    <bk>
      <rc t="2" v="10222"/>
    </bk>
    <bk>
      <rc t="2" v="10223"/>
    </bk>
    <bk>
      <rc t="2" v="10224"/>
    </bk>
    <bk>
      <rc t="2" v="10225"/>
    </bk>
    <bk>
      <rc t="2" v="10226"/>
    </bk>
    <bk>
      <rc t="2" v="10227"/>
    </bk>
    <bk>
      <rc t="2" v="10228"/>
    </bk>
    <bk>
      <rc t="2" v="10229"/>
    </bk>
    <bk>
      <rc t="2" v="10230"/>
    </bk>
    <bk>
      <rc t="2" v="10231"/>
    </bk>
    <bk>
      <rc t="2" v="10232"/>
    </bk>
    <bk>
      <rc t="2" v="10233"/>
    </bk>
    <bk>
      <rc t="2" v="10234"/>
    </bk>
    <bk>
      <rc t="2" v="10235"/>
    </bk>
    <bk>
      <rc t="2" v="10236"/>
    </bk>
    <bk>
      <rc t="2" v="10237"/>
    </bk>
    <bk>
      <rc t="2" v="10238"/>
    </bk>
    <bk>
      <rc t="2" v="10239"/>
    </bk>
    <bk>
      <rc t="2" v="10240"/>
    </bk>
    <bk>
      <rc t="2" v="10241"/>
    </bk>
    <bk>
      <rc t="2" v="10242"/>
    </bk>
    <bk>
      <rc t="2" v="10243"/>
    </bk>
    <bk>
      <rc t="2" v="10244"/>
    </bk>
    <bk>
      <rc t="2" v="10245"/>
    </bk>
    <bk>
      <rc t="2" v="10246"/>
    </bk>
    <bk>
      <rc t="2" v="10247"/>
    </bk>
    <bk>
      <rc t="2" v="10248"/>
    </bk>
    <bk>
      <rc t="2" v="10249"/>
    </bk>
    <bk>
      <rc t="2" v="10250"/>
    </bk>
    <bk>
      <rc t="2" v="10251"/>
    </bk>
    <bk>
      <rc t="2" v="10252"/>
    </bk>
    <bk>
      <rc t="2" v="10253"/>
    </bk>
    <bk>
      <rc t="2" v="10254"/>
    </bk>
    <bk>
      <rc t="2" v="10255"/>
    </bk>
    <bk>
      <rc t="2" v="10256"/>
    </bk>
    <bk>
      <rc t="2" v="10257"/>
    </bk>
    <bk>
      <rc t="2" v="10258"/>
    </bk>
    <bk>
      <rc t="2" v="10259"/>
    </bk>
    <bk>
      <rc t="2" v="10260"/>
    </bk>
    <bk>
      <rc t="2" v="10261"/>
    </bk>
    <bk>
      <rc t="2" v="10262"/>
    </bk>
    <bk>
      <rc t="2" v="10263"/>
    </bk>
    <bk>
      <rc t="2" v="10264"/>
    </bk>
    <bk>
      <rc t="2" v="10265"/>
    </bk>
    <bk>
      <rc t="2" v="10266"/>
    </bk>
    <bk>
      <rc t="2" v="10267"/>
    </bk>
    <bk>
      <rc t="2" v="10268"/>
    </bk>
    <bk>
      <rc t="2" v="10269"/>
    </bk>
    <bk>
      <rc t="2" v="10270"/>
    </bk>
    <bk>
      <rc t="2" v="10271"/>
    </bk>
    <bk>
      <rc t="2" v="10272"/>
    </bk>
    <bk>
      <rc t="2" v="10273"/>
    </bk>
    <bk>
      <rc t="2" v="10274"/>
    </bk>
    <bk>
      <rc t="2" v="10275"/>
    </bk>
    <bk>
      <rc t="2" v="10276"/>
    </bk>
    <bk>
      <rc t="2" v="10277"/>
    </bk>
    <bk>
      <rc t="2" v="10278"/>
    </bk>
    <bk>
      <rc t="2" v="10279"/>
    </bk>
    <bk>
      <rc t="2" v="10280"/>
    </bk>
    <bk>
      <rc t="2" v="10281"/>
    </bk>
    <bk>
      <rc t="2" v="10282"/>
    </bk>
    <bk>
      <rc t="2" v="10283"/>
    </bk>
    <bk>
      <rc t="2" v="10284"/>
    </bk>
    <bk>
      <rc t="2" v="10285"/>
    </bk>
    <bk>
      <rc t="2" v="10286"/>
    </bk>
    <bk>
      <rc t="2" v="10287"/>
    </bk>
    <bk>
      <rc t="2" v="10288"/>
    </bk>
    <bk>
      <rc t="2" v="10289"/>
    </bk>
    <bk>
      <rc t="2" v="10290"/>
    </bk>
    <bk>
      <rc t="2" v="10291"/>
    </bk>
    <bk>
      <rc t="2" v="10292"/>
    </bk>
    <bk>
      <rc t="2" v="10293"/>
    </bk>
    <bk>
      <rc t="2" v="10294"/>
    </bk>
    <bk>
      <rc t="2" v="10295"/>
    </bk>
    <bk>
      <rc t="2" v="10296"/>
    </bk>
    <bk>
      <rc t="2" v="10297"/>
    </bk>
    <bk>
      <rc t="2" v="10298"/>
    </bk>
    <bk>
      <rc t="2" v="10299"/>
    </bk>
    <bk>
      <rc t="2" v="10300"/>
    </bk>
    <bk>
      <rc t="2" v="10301"/>
    </bk>
    <bk>
      <rc t="2" v="10302"/>
    </bk>
    <bk>
      <rc t="2" v="10303"/>
    </bk>
    <bk>
      <rc t="2" v="10304"/>
    </bk>
    <bk>
      <rc t="2" v="10305"/>
    </bk>
    <bk>
      <rc t="2" v="10306"/>
    </bk>
    <bk>
      <rc t="2" v="10307"/>
    </bk>
    <bk>
      <rc t="2" v="10308"/>
    </bk>
    <bk>
      <rc t="2" v="10309"/>
    </bk>
    <bk>
      <rc t="2" v="10310"/>
    </bk>
    <bk>
      <rc t="2" v="10311"/>
    </bk>
    <bk>
      <rc t="2" v="10312"/>
    </bk>
    <bk>
      <rc t="2" v="10313"/>
    </bk>
    <bk>
      <rc t="2" v="10314"/>
    </bk>
    <bk>
      <rc t="2" v="10315"/>
    </bk>
    <bk>
      <rc t="2" v="10316"/>
    </bk>
    <bk>
      <rc t="2" v="10317"/>
    </bk>
    <bk>
      <rc t="2" v="10318"/>
    </bk>
    <bk>
      <rc t="2" v="10319"/>
    </bk>
    <bk>
      <rc t="2" v="10320"/>
    </bk>
    <bk>
      <rc t="2" v="10321"/>
    </bk>
    <bk>
      <rc t="2" v="10322"/>
    </bk>
    <bk>
      <rc t="2" v="10323"/>
    </bk>
    <bk>
      <rc t="2" v="10324"/>
    </bk>
    <bk>
      <rc t="2" v="10325"/>
    </bk>
    <bk>
      <rc t="2" v="10326"/>
    </bk>
    <bk>
      <rc t="2" v="10327"/>
    </bk>
    <bk>
      <rc t="2" v="10328"/>
    </bk>
    <bk>
      <rc t="2" v="10329"/>
    </bk>
    <bk>
      <rc t="2" v="10330"/>
    </bk>
    <bk>
      <rc t="2" v="10331"/>
    </bk>
    <bk>
      <rc t="2" v="10332"/>
    </bk>
    <bk>
      <rc t="2" v="10333"/>
    </bk>
    <bk>
      <rc t="2" v="10334"/>
    </bk>
    <bk>
      <rc t="2" v="10335"/>
    </bk>
    <bk>
      <rc t="2" v="10336"/>
    </bk>
    <bk>
      <rc t="2" v="10337"/>
    </bk>
    <bk>
      <rc t="2" v="10338"/>
    </bk>
    <bk>
      <rc t="2" v="10339"/>
    </bk>
    <bk>
      <rc t="2" v="10340"/>
    </bk>
    <bk>
      <rc t="2" v="10341"/>
    </bk>
    <bk>
      <rc t="2" v="10342"/>
    </bk>
    <bk>
      <rc t="2" v="10343"/>
    </bk>
    <bk>
      <rc t="2" v="10344"/>
    </bk>
    <bk>
      <rc t="2" v="10345"/>
    </bk>
    <bk>
      <rc t="2" v="10346"/>
    </bk>
    <bk>
      <rc t="2" v="10347"/>
    </bk>
    <bk>
      <rc t="2" v="10348"/>
    </bk>
    <bk>
      <rc t="2" v="10349"/>
    </bk>
    <bk>
      <rc t="2" v="10350"/>
    </bk>
    <bk>
      <rc t="2" v="10351"/>
    </bk>
    <bk>
      <rc t="2" v="10352"/>
    </bk>
    <bk>
      <rc t="2" v="10353"/>
    </bk>
    <bk>
      <rc t="2" v="10354"/>
    </bk>
    <bk>
      <rc t="2" v="10355"/>
    </bk>
    <bk>
      <rc t="2" v="10356"/>
    </bk>
    <bk>
      <rc t="2" v="10357"/>
    </bk>
    <bk>
      <rc t="2" v="10358"/>
    </bk>
    <bk>
      <rc t="2" v="10359"/>
    </bk>
    <bk>
      <rc t="2" v="10360"/>
    </bk>
    <bk>
      <rc t="2" v="10361"/>
    </bk>
    <bk>
      <rc t="2" v="10362"/>
    </bk>
    <bk>
      <rc t="2" v="10363"/>
    </bk>
    <bk>
      <rc t="2" v="10364"/>
    </bk>
    <bk>
      <rc t="2" v="10365"/>
    </bk>
    <bk>
      <rc t="2" v="10366"/>
    </bk>
    <bk>
      <rc t="2" v="10367"/>
    </bk>
    <bk>
      <rc t="2" v="10368"/>
    </bk>
    <bk>
      <rc t="2" v="10369"/>
    </bk>
    <bk>
      <rc t="2" v="10370"/>
    </bk>
    <bk>
      <rc t="2" v="10371"/>
    </bk>
    <bk>
      <rc t="2" v="10372"/>
    </bk>
    <bk>
      <rc t="2" v="10373"/>
    </bk>
    <bk>
      <rc t="2" v="10374"/>
    </bk>
    <bk>
      <rc t="2" v="10375"/>
    </bk>
    <bk>
      <rc t="2" v="10376"/>
    </bk>
    <bk>
      <rc t="2" v="10377"/>
    </bk>
    <bk>
      <rc t="2" v="10378"/>
    </bk>
    <bk>
      <rc t="2" v="10379"/>
    </bk>
    <bk>
      <rc t="2" v="10380"/>
    </bk>
    <bk>
      <rc t="2" v="10381"/>
    </bk>
    <bk>
      <rc t="2" v="10382"/>
    </bk>
    <bk>
      <rc t="2" v="10383"/>
    </bk>
    <bk>
      <rc t="2" v="10384"/>
    </bk>
    <bk>
      <rc t="2" v="10385"/>
    </bk>
    <bk>
      <rc t="2" v="10386"/>
    </bk>
    <bk>
      <rc t="2" v="10387"/>
    </bk>
    <bk>
      <rc t="2" v="10388"/>
    </bk>
    <bk>
      <rc t="2" v="10389"/>
    </bk>
    <bk>
      <rc t="2" v="10390"/>
    </bk>
    <bk>
      <rc t="2" v="10391"/>
    </bk>
    <bk>
      <rc t="2" v="10392"/>
    </bk>
    <bk>
      <rc t="2" v="10393"/>
    </bk>
    <bk>
      <rc t="2" v="10394"/>
    </bk>
    <bk>
      <rc t="2" v="10395"/>
    </bk>
    <bk>
      <rc t="2" v="10396"/>
    </bk>
    <bk>
      <rc t="2" v="10397"/>
    </bk>
    <bk>
      <rc t="2" v="10398"/>
    </bk>
    <bk>
      <rc t="2" v="10399"/>
    </bk>
    <bk>
      <rc t="2" v="10400"/>
    </bk>
    <bk>
      <rc t="2" v="10401"/>
    </bk>
    <bk>
      <rc t="2" v="10402"/>
    </bk>
    <bk>
      <rc t="2" v="10403"/>
    </bk>
    <bk>
      <rc t="2" v="10404"/>
    </bk>
    <bk>
      <rc t="2" v="10405"/>
    </bk>
    <bk>
      <rc t="2" v="10406"/>
    </bk>
    <bk>
      <rc t="2" v="10407"/>
    </bk>
    <bk>
      <rc t="2" v="10408"/>
    </bk>
    <bk>
      <rc t="2" v="10409"/>
    </bk>
    <bk>
      <rc t="2" v="10410"/>
    </bk>
    <bk>
      <rc t="2" v="10411"/>
    </bk>
    <bk>
      <rc t="2" v="10412"/>
    </bk>
    <bk>
      <rc t="2" v="10413"/>
    </bk>
    <bk>
      <rc t="2" v="10414"/>
    </bk>
    <bk>
      <rc t="2" v="10415"/>
    </bk>
    <bk>
      <rc t="2" v="10416"/>
    </bk>
    <bk>
      <rc t="2" v="10417"/>
    </bk>
    <bk>
      <rc t="2" v="10418"/>
    </bk>
    <bk>
      <rc t="2" v="10419"/>
    </bk>
    <bk>
      <rc t="2" v="10420"/>
    </bk>
    <bk>
      <rc t="2" v="10421"/>
    </bk>
    <bk>
      <rc t="2" v="10422"/>
    </bk>
    <bk>
      <rc t="2" v="10423"/>
    </bk>
    <bk>
      <rc t="2" v="10424"/>
    </bk>
    <bk>
      <rc t="2" v="10425"/>
    </bk>
    <bk>
      <rc t="2" v="10426"/>
    </bk>
    <bk>
      <rc t="2" v="10427"/>
    </bk>
    <bk>
      <rc t="2" v="10428"/>
    </bk>
    <bk>
      <rc t="2" v="10429"/>
    </bk>
    <bk>
      <rc t="2" v="10430"/>
    </bk>
    <bk>
      <rc t="2" v="10431"/>
    </bk>
    <bk>
      <rc t="2" v="10432"/>
    </bk>
    <bk>
      <rc t="2" v="10433"/>
    </bk>
    <bk>
      <rc t="2" v="10434"/>
    </bk>
    <bk>
      <rc t="2" v="10435"/>
    </bk>
    <bk>
      <rc t="2" v="10436"/>
    </bk>
    <bk>
      <rc t="2" v="10437"/>
    </bk>
    <bk>
      <rc t="2" v="10438"/>
    </bk>
    <bk>
      <rc t="2" v="10439"/>
    </bk>
    <bk>
      <rc t="2" v="10440"/>
    </bk>
    <bk>
      <rc t="2" v="10441"/>
    </bk>
    <bk>
      <rc t="2" v="10442"/>
    </bk>
    <bk>
      <rc t="2" v="10443"/>
    </bk>
    <bk>
      <rc t="2" v="10444"/>
    </bk>
    <bk>
      <rc t="2" v="10445"/>
    </bk>
    <bk>
      <rc t="2" v="10446"/>
    </bk>
    <bk>
      <rc t="2" v="10447"/>
    </bk>
    <bk>
      <rc t="2" v="10448"/>
    </bk>
    <bk>
      <rc t="2" v="10449"/>
    </bk>
    <bk>
      <rc t="2" v="10450"/>
    </bk>
    <bk>
      <rc t="2" v="10451"/>
    </bk>
    <bk>
      <rc t="2" v="10452"/>
    </bk>
    <bk>
      <rc t="2" v="10453"/>
    </bk>
    <bk>
      <rc t="2" v="10454"/>
    </bk>
    <bk>
      <rc t="2" v="10455"/>
    </bk>
    <bk>
      <rc t="2" v="10456"/>
    </bk>
    <bk>
      <rc t="2" v="10457"/>
    </bk>
    <bk>
      <rc t="2" v="10458"/>
    </bk>
    <bk>
      <rc t="2" v="10459"/>
    </bk>
    <bk>
      <rc t="2" v="10460"/>
    </bk>
    <bk>
      <rc t="2" v="10461"/>
    </bk>
    <bk>
      <rc t="2" v="10462"/>
    </bk>
    <bk>
      <rc t="2" v="10463"/>
    </bk>
    <bk>
      <rc t="2" v="10464"/>
    </bk>
    <bk>
      <rc t="2" v="10465"/>
    </bk>
    <bk>
      <rc t="2" v="10466"/>
    </bk>
    <bk>
      <rc t="2" v="10467"/>
    </bk>
    <bk>
      <rc t="2" v="10468"/>
    </bk>
    <bk>
      <rc t="2" v="10469"/>
    </bk>
    <bk>
      <rc t="2" v="10470"/>
    </bk>
    <bk>
      <rc t="2" v="10471"/>
    </bk>
    <bk>
      <rc t="2" v="10472"/>
    </bk>
    <bk>
      <rc t="2" v="10473"/>
    </bk>
    <bk>
      <rc t="2" v="10474"/>
    </bk>
    <bk>
      <rc t="2" v="10475"/>
    </bk>
    <bk>
      <rc t="2" v="10476"/>
    </bk>
    <bk>
      <rc t="2" v="10477"/>
    </bk>
    <bk>
      <rc t="2" v="10478"/>
    </bk>
    <bk>
      <rc t="2" v="10479"/>
    </bk>
    <bk>
      <rc t="2" v="10480"/>
    </bk>
    <bk>
      <rc t="2" v="10481"/>
    </bk>
    <bk>
      <rc t="2" v="10482"/>
    </bk>
    <bk>
      <rc t="2" v="10483"/>
    </bk>
    <bk>
      <rc t="2" v="10484"/>
    </bk>
    <bk>
      <rc t="2" v="10485"/>
    </bk>
    <bk>
      <rc t="2" v="10486"/>
    </bk>
    <bk>
      <rc t="2" v="10487"/>
    </bk>
    <bk>
      <rc t="2" v="10488"/>
    </bk>
    <bk>
      <rc t="2" v="10489"/>
    </bk>
    <bk>
      <rc t="2" v="10490"/>
    </bk>
    <bk>
      <rc t="2" v="10491"/>
    </bk>
    <bk>
      <rc t="2" v="10492"/>
    </bk>
    <bk>
      <rc t="2" v="10493"/>
    </bk>
    <bk>
      <rc t="2" v="10494"/>
    </bk>
    <bk>
      <rc t="2" v="10495"/>
    </bk>
    <bk>
      <rc t="2" v="10496"/>
    </bk>
    <bk>
      <rc t="2" v="10497"/>
    </bk>
    <bk>
      <rc t="2" v="10498"/>
    </bk>
    <bk>
      <rc t="2" v="10499"/>
    </bk>
    <bk>
      <rc t="2" v="10500"/>
    </bk>
    <bk>
      <rc t="2" v="10501"/>
    </bk>
    <bk>
      <rc t="2" v="10502"/>
    </bk>
    <bk>
      <rc t="2" v="10503"/>
    </bk>
    <bk>
      <rc t="2" v="10504"/>
    </bk>
    <bk>
      <rc t="2" v="10505"/>
    </bk>
    <bk>
      <rc t="2" v="10506"/>
    </bk>
    <bk>
      <rc t="2" v="10507"/>
    </bk>
    <bk>
      <rc t="2" v="10508"/>
    </bk>
    <bk>
      <rc t="2" v="10509"/>
    </bk>
    <bk>
      <rc t="2" v="10510"/>
    </bk>
    <bk>
      <rc t="2" v="10511"/>
    </bk>
    <bk>
      <rc t="2" v="10512"/>
    </bk>
    <bk>
      <rc t="2" v="10513"/>
    </bk>
    <bk>
      <rc t="2" v="10514"/>
    </bk>
    <bk>
      <rc t="2" v="10515"/>
    </bk>
    <bk>
      <rc t="2" v="10516"/>
    </bk>
    <bk>
      <rc t="2" v="10517"/>
    </bk>
    <bk>
      <rc t="2" v="10518"/>
    </bk>
    <bk>
      <rc t="2" v="10519"/>
    </bk>
    <bk>
      <rc t="2" v="10520"/>
    </bk>
    <bk>
      <rc t="2" v="10521"/>
    </bk>
    <bk>
      <rc t="2" v="10522"/>
    </bk>
    <bk>
      <rc t="2" v="10523"/>
    </bk>
    <bk>
      <rc t="2" v="10524"/>
    </bk>
    <bk>
      <rc t="2" v="10525"/>
    </bk>
    <bk>
      <rc t="2" v="10526"/>
    </bk>
    <bk>
      <rc t="2" v="10527"/>
    </bk>
    <bk>
      <rc t="2" v="10528"/>
    </bk>
    <bk>
      <rc t="2" v="10529"/>
    </bk>
    <bk>
      <rc t="2" v="10530"/>
    </bk>
    <bk>
      <rc t="2" v="10531"/>
    </bk>
    <bk>
      <rc t="2" v="10532"/>
    </bk>
    <bk>
      <rc t="2" v="10533"/>
    </bk>
    <bk>
      <rc t="2" v="10534"/>
    </bk>
    <bk>
      <rc t="2" v="10535"/>
    </bk>
    <bk>
      <rc t="2" v="10536"/>
    </bk>
    <bk>
      <rc t="2" v="10537"/>
    </bk>
    <bk>
      <rc t="2" v="10538"/>
    </bk>
    <bk>
      <rc t="2" v="10539"/>
    </bk>
    <bk>
      <rc t="2" v="10540"/>
    </bk>
    <bk>
      <rc t="2" v="10541"/>
    </bk>
    <bk>
      <rc t="2" v="10542"/>
    </bk>
    <bk>
      <rc t="2" v="10543"/>
    </bk>
    <bk>
      <rc t="2" v="10544"/>
    </bk>
    <bk>
      <rc t="2" v="10545"/>
    </bk>
    <bk>
      <rc t="2" v="10546"/>
    </bk>
    <bk>
      <rc t="2" v="10547"/>
    </bk>
    <bk>
      <rc t="2" v="10548"/>
    </bk>
    <bk>
      <rc t="2" v="10549"/>
    </bk>
    <bk>
      <rc t="2" v="10550"/>
    </bk>
    <bk>
      <rc t="2" v="10551"/>
    </bk>
    <bk>
      <rc t="2" v="10552"/>
    </bk>
    <bk>
      <rc t="2" v="10553"/>
    </bk>
    <bk>
      <rc t="2" v="10554"/>
    </bk>
    <bk>
      <rc t="2" v="10555"/>
    </bk>
    <bk>
      <rc t="2" v="10556"/>
    </bk>
    <bk>
      <rc t="2" v="10557"/>
    </bk>
    <bk>
      <rc t="2" v="10558"/>
    </bk>
    <bk>
      <rc t="2" v="10559"/>
    </bk>
    <bk>
      <rc t="2" v="10560"/>
    </bk>
    <bk>
      <rc t="2" v="10561"/>
    </bk>
    <bk>
      <rc t="2" v="10562"/>
    </bk>
    <bk>
      <rc t="2" v="10563"/>
    </bk>
    <bk>
      <rc t="2" v="10564"/>
    </bk>
    <bk>
      <rc t="2" v="10565"/>
    </bk>
    <bk>
      <rc t="2" v="10566"/>
    </bk>
    <bk>
      <rc t="2" v="10567"/>
    </bk>
    <bk>
      <rc t="2" v="10568"/>
    </bk>
    <bk>
      <rc t="2" v="10569"/>
    </bk>
    <bk>
      <rc t="2" v="10570"/>
    </bk>
    <bk>
      <rc t="2" v="10571"/>
    </bk>
    <bk>
      <rc t="2" v="10572"/>
    </bk>
    <bk>
      <rc t="2" v="10573"/>
    </bk>
    <bk>
      <rc t="2" v="10574"/>
    </bk>
    <bk>
      <rc t="2" v="10575"/>
    </bk>
    <bk>
      <rc t="2" v="10576"/>
    </bk>
    <bk>
      <rc t="2" v="10577"/>
    </bk>
    <bk>
      <rc t="2" v="10578"/>
    </bk>
    <bk>
      <rc t="2" v="10579"/>
    </bk>
    <bk>
      <rc t="2" v="10580"/>
    </bk>
    <bk>
      <rc t="2" v="10581"/>
    </bk>
    <bk>
      <rc t="2" v="10582"/>
    </bk>
    <bk>
      <rc t="2" v="10583"/>
    </bk>
    <bk>
      <rc t="2" v="10584"/>
    </bk>
    <bk>
      <rc t="2" v="10585"/>
    </bk>
    <bk>
      <rc t="2" v="10586"/>
    </bk>
    <bk>
      <rc t="2" v="10587"/>
    </bk>
    <bk>
      <rc t="2" v="10588"/>
    </bk>
    <bk>
      <rc t="2" v="10589"/>
    </bk>
    <bk>
      <rc t="2" v="10590"/>
    </bk>
    <bk>
      <rc t="2" v="10591"/>
    </bk>
    <bk>
      <rc t="2" v="10592"/>
    </bk>
    <bk>
      <rc t="2" v="10593"/>
    </bk>
    <bk>
      <rc t="2" v="10594"/>
    </bk>
    <bk>
      <rc t="2" v="10595"/>
    </bk>
    <bk>
      <rc t="2" v="10596"/>
    </bk>
    <bk>
      <rc t="2" v="10597"/>
    </bk>
    <bk>
      <rc t="2" v="10598"/>
    </bk>
    <bk>
      <rc t="2" v="10599"/>
    </bk>
    <bk>
      <rc t="2" v="10600"/>
    </bk>
    <bk>
      <rc t="2" v="10601"/>
    </bk>
    <bk>
      <rc t="2" v="10602"/>
    </bk>
    <bk>
      <rc t="2" v="10603"/>
    </bk>
    <bk>
      <rc t="2" v="10604"/>
    </bk>
    <bk>
      <rc t="2" v="10605"/>
    </bk>
    <bk>
      <rc t="2" v="10606"/>
    </bk>
    <bk>
      <rc t="2" v="10607"/>
    </bk>
    <bk>
      <rc t="2" v="10608"/>
    </bk>
    <bk>
      <rc t="2" v="10609"/>
    </bk>
    <bk>
      <rc t="2" v="10610"/>
    </bk>
    <bk>
      <rc t="2" v="10611"/>
    </bk>
    <bk>
      <rc t="2" v="10612"/>
    </bk>
    <bk>
      <rc t="2" v="10613"/>
    </bk>
    <bk>
      <rc t="2" v="10614"/>
    </bk>
    <bk>
      <rc t="2" v="10615"/>
    </bk>
    <bk>
      <rc t="2" v="10616"/>
    </bk>
    <bk>
      <rc t="2" v="10617"/>
    </bk>
    <bk>
      <rc t="2" v="10618"/>
    </bk>
    <bk>
      <rc t="2" v="10619"/>
    </bk>
    <bk>
      <rc t="2" v="10620"/>
    </bk>
    <bk>
      <rc t="2" v="10621"/>
    </bk>
    <bk>
      <rc t="2" v="10622"/>
    </bk>
    <bk>
      <rc t="2" v="10623"/>
    </bk>
    <bk>
      <rc t="2" v="10624"/>
    </bk>
    <bk>
      <rc t="2" v="10625"/>
    </bk>
    <bk>
      <rc t="2" v="10626"/>
    </bk>
    <bk>
      <rc t="2" v="10627"/>
    </bk>
    <bk>
      <rc t="2" v="10628"/>
    </bk>
    <bk>
      <rc t="2" v="10629"/>
    </bk>
    <bk>
      <rc t="2" v="10630"/>
    </bk>
    <bk>
      <rc t="2" v="10631"/>
    </bk>
    <bk>
      <rc t="2" v="10632"/>
    </bk>
    <bk>
      <rc t="2" v="10633"/>
    </bk>
    <bk>
      <rc t="2" v="10634"/>
    </bk>
    <bk>
      <rc t="2" v="10635"/>
    </bk>
    <bk>
      <rc t="2" v="10636"/>
    </bk>
    <bk>
      <rc t="2" v="10637"/>
    </bk>
    <bk>
      <rc t="2" v="10638"/>
    </bk>
    <bk>
      <rc t="2" v="10639"/>
    </bk>
    <bk>
      <rc t="2" v="10640"/>
    </bk>
    <bk>
      <rc t="2" v="10641"/>
    </bk>
    <bk>
      <rc t="2" v="10642"/>
    </bk>
    <bk>
      <rc t="2" v="10643"/>
    </bk>
    <bk>
      <rc t="2" v="10644"/>
    </bk>
    <bk>
      <rc t="2" v="10645"/>
    </bk>
    <bk>
      <rc t="2" v="10646"/>
    </bk>
    <bk>
      <rc t="2" v="10647"/>
    </bk>
    <bk>
      <rc t="2" v="10648"/>
    </bk>
    <bk>
      <rc t="2" v="10649"/>
    </bk>
    <bk>
      <rc t="2" v="10650"/>
    </bk>
    <bk>
      <rc t="2" v="10651"/>
    </bk>
    <bk>
      <rc t="2" v="10652"/>
    </bk>
    <bk>
      <rc t="2" v="10653"/>
    </bk>
    <bk>
      <rc t="2" v="10654"/>
    </bk>
    <bk>
      <rc t="2" v="10655"/>
    </bk>
    <bk>
      <rc t="2" v="10656"/>
    </bk>
    <bk>
      <rc t="2" v="10657"/>
    </bk>
    <bk>
      <rc t="2" v="10658"/>
    </bk>
    <bk>
      <rc t="2" v="10659"/>
    </bk>
    <bk>
      <rc t="2" v="10660"/>
    </bk>
    <bk>
      <rc t="2" v="10661"/>
    </bk>
    <bk>
      <rc t="2" v="10662"/>
    </bk>
    <bk>
      <rc t="2" v="10663"/>
    </bk>
    <bk>
      <rc t="2" v="10664"/>
    </bk>
    <bk>
      <rc t="2" v="10665"/>
    </bk>
    <bk>
      <rc t="2" v="10666"/>
    </bk>
    <bk>
      <rc t="2" v="10667"/>
    </bk>
    <bk>
      <rc t="2" v="10668"/>
    </bk>
    <bk>
      <rc t="2" v="10669"/>
    </bk>
    <bk>
      <rc t="2" v="10670"/>
    </bk>
    <bk>
      <rc t="2" v="10671"/>
    </bk>
    <bk>
      <rc t="2" v="10672"/>
    </bk>
    <bk>
      <rc t="2" v="10673"/>
    </bk>
    <bk>
      <rc t="2" v="10674"/>
    </bk>
    <bk>
      <rc t="2" v="10675"/>
    </bk>
    <bk>
      <rc t="2" v="10676"/>
    </bk>
    <bk>
      <rc t="2" v="10677"/>
    </bk>
    <bk>
      <rc t="2" v="10678"/>
    </bk>
    <bk>
      <rc t="2" v="10679"/>
    </bk>
    <bk>
      <rc t="2" v="10680"/>
    </bk>
    <bk>
      <rc t="2" v="10681"/>
    </bk>
    <bk>
      <rc t="2" v="10682"/>
    </bk>
    <bk>
      <rc t="2" v="10683"/>
    </bk>
    <bk>
      <rc t="2" v="10684"/>
    </bk>
    <bk>
      <rc t="2" v="10685"/>
    </bk>
    <bk>
      <rc t="2" v="10686"/>
    </bk>
    <bk>
      <rc t="2" v="10687"/>
    </bk>
    <bk>
      <rc t="2" v="10688"/>
    </bk>
    <bk>
      <rc t="2" v="10689"/>
    </bk>
    <bk>
      <rc t="2" v="10690"/>
    </bk>
    <bk>
      <rc t="2" v="10691"/>
    </bk>
    <bk>
      <rc t="2" v="10692"/>
    </bk>
    <bk>
      <rc t="2" v="10693"/>
    </bk>
    <bk>
      <rc t="2" v="10694"/>
    </bk>
    <bk>
      <rc t="2" v="10695"/>
    </bk>
    <bk>
      <rc t="2" v="10696"/>
    </bk>
    <bk>
      <rc t="2" v="10697"/>
    </bk>
    <bk>
      <rc t="2" v="10698"/>
    </bk>
    <bk>
      <rc t="2" v="10699"/>
    </bk>
    <bk>
      <rc t="2" v="10700"/>
    </bk>
    <bk>
      <rc t="2" v="10701"/>
    </bk>
    <bk>
      <rc t="2" v="10702"/>
    </bk>
    <bk>
      <rc t="2" v="10703"/>
    </bk>
    <bk>
      <rc t="2" v="10704"/>
    </bk>
    <bk>
      <rc t="2" v="10705"/>
    </bk>
    <bk>
      <rc t="2" v="10706"/>
    </bk>
    <bk>
      <rc t="2" v="10707"/>
    </bk>
    <bk>
      <rc t="2" v="10708"/>
    </bk>
    <bk>
      <rc t="2" v="10709"/>
    </bk>
    <bk>
      <rc t="2" v="10710"/>
    </bk>
    <bk>
      <rc t="2" v="10711"/>
    </bk>
    <bk>
      <rc t="2" v="10712"/>
    </bk>
    <bk>
      <rc t="2" v="10713"/>
    </bk>
    <bk>
      <rc t="2" v="10714"/>
    </bk>
    <bk>
      <rc t="2" v="10715"/>
    </bk>
    <bk>
      <rc t="2" v="10716"/>
    </bk>
    <bk>
      <rc t="2" v="10717"/>
    </bk>
    <bk>
      <rc t="2" v="10718"/>
    </bk>
    <bk>
      <rc t="2" v="10719"/>
    </bk>
    <bk>
      <rc t="2" v="10720"/>
    </bk>
    <bk>
      <rc t="2" v="10721"/>
    </bk>
    <bk>
      <rc t="2" v="10722"/>
    </bk>
    <bk>
      <rc t="2" v="10723"/>
    </bk>
    <bk>
      <rc t="2" v="10724"/>
    </bk>
    <bk>
      <rc t="2" v="10725"/>
    </bk>
    <bk>
      <rc t="2" v="10726"/>
    </bk>
    <bk>
      <rc t="2" v="10727"/>
    </bk>
    <bk>
      <rc t="2" v="10728"/>
    </bk>
    <bk>
      <rc t="2" v="10729"/>
    </bk>
    <bk>
      <rc t="2" v="10730"/>
    </bk>
    <bk>
      <rc t="2" v="10731"/>
    </bk>
    <bk>
      <rc t="2" v="10732"/>
    </bk>
    <bk>
      <rc t="2" v="10733"/>
    </bk>
    <bk>
      <rc t="2" v="10734"/>
    </bk>
    <bk>
      <rc t="2" v="10735"/>
    </bk>
    <bk>
      <rc t="2" v="10736"/>
    </bk>
    <bk>
      <rc t="2" v="10737"/>
    </bk>
    <bk>
      <rc t="2" v="10738"/>
    </bk>
    <bk>
      <rc t="2" v="10739"/>
    </bk>
    <bk>
      <rc t="2" v="10740"/>
    </bk>
    <bk>
      <rc t="2" v="10741"/>
    </bk>
    <bk>
      <rc t="2" v="10742"/>
    </bk>
    <bk>
      <rc t="2" v="10743"/>
    </bk>
    <bk>
      <rc t="2" v="10744"/>
    </bk>
    <bk>
      <rc t="2" v="10745"/>
    </bk>
    <bk>
      <rc t="2" v="10746"/>
    </bk>
    <bk>
      <rc t="2" v="10747"/>
    </bk>
    <bk>
      <rc t="2" v="10748"/>
    </bk>
    <bk>
      <rc t="2" v="10749"/>
    </bk>
    <bk>
      <rc t="2" v="10750"/>
    </bk>
    <bk>
      <rc t="2" v="10751"/>
    </bk>
    <bk>
      <rc t="2" v="10752"/>
    </bk>
    <bk>
      <rc t="2" v="10753"/>
    </bk>
    <bk>
      <rc t="2" v="10754"/>
    </bk>
    <bk>
      <rc t="2" v="10755"/>
    </bk>
    <bk>
      <rc t="2" v="10756"/>
    </bk>
    <bk>
      <rc t="2" v="10757"/>
    </bk>
    <bk>
      <rc t="2" v="10758"/>
    </bk>
    <bk>
      <rc t="2" v="10759"/>
    </bk>
    <bk>
      <rc t="2" v="10760"/>
    </bk>
    <bk>
      <rc t="2" v="10761"/>
    </bk>
    <bk>
      <rc t="2" v="10762"/>
    </bk>
    <bk>
      <rc t="2" v="10763"/>
    </bk>
    <bk>
      <rc t="2" v="10764"/>
    </bk>
    <bk>
      <rc t="2" v="10765"/>
    </bk>
    <bk>
      <rc t="2" v="10766"/>
    </bk>
    <bk>
      <rc t="2" v="10767"/>
    </bk>
    <bk>
      <rc t="2" v="10768"/>
    </bk>
    <bk>
      <rc t="2" v="10769"/>
    </bk>
    <bk>
      <rc t="2" v="10770"/>
    </bk>
    <bk>
      <rc t="2" v="10771"/>
    </bk>
    <bk>
      <rc t="2" v="10772"/>
    </bk>
    <bk>
      <rc t="2" v="10773"/>
    </bk>
    <bk>
      <rc t="2" v="10774"/>
    </bk>
    <bk>
      <rc t="2" v="10775"/>
    </bk>
    <bk>
      <rc t="2" v="10776"/>
    </bk>
    <bk>
      <rc t="2" v="10777"/>
    </bk>
    <bk>
      <rc t="2" v="10778"/>
    </bk>
    <bk>
      <rc t="2" v="10779"/>
    </bk>
    <bk>
      <rc t="2" v="10780"/>
    </bk>
    <bk>
      <rc t="2" v="10781"/>
    </bk>
    <bk>
      <rc t="2" v="10782"/>
    </bk>
    <bk>
      <rc t="2" v="10783"/>
    </bk>
    <bk>
      <rc t="2" v="10784"/>
    </bk>
    <bk>
      <rc t="2" v="10785"/>
    </bk>
    <bk>
      <rc t="2" v="10786"/>
    </bk>
    <bk>
      <rc t="2" v="10787"/>
    </bk>
    <bk>
      <rc t="2" v="10788"/>
    </bk>
    <bk>
      <rc t="2" v="10789"/>
    </bk>
    <bk>
      <rc t="2" v="10790"/>
    </bk>
    <bk>
      <rc t="2" v="10791"/>
    </bk>
    <bk>
      <rc t="2" v="10792"/>
    </bk>
    <bk>
      <rc t="2" v="10793"/>
    </bk>
    <bk>
      <rc t="2" v="10794"/>
    </bk>
    <bk>
      <rc t="2" v="10795"/>
    </bk>
    <bk>
      <rc t="2" v="10796"/>
    </bk>
    <bk>
      <rc t="2" v="10797"/>
    </bk>
    <bk>
      <rc t="2" v="10798"/>
    </bk>
    <bk>
      <rc t="2" v="10799"/>
    </bk>
    <bk>
      <rc t="2" v="10800"/>
    </bk>
    <bk>
      <rc t="2" v="10801"/>
    </bk>
    <bk>
      <rc t="2" v="10802"/>
    </bk>
    <bk>
      <rc t="2" v="10803"/>
    </bk>
    <bk>
      <rc t="2" v="10804"/>
    </bk>
    <bk>
      <rc t="2" v="10805"/>
    </bk>
    <bk>
      <rc t="2" v="10806"/>
    </bk>
    <bk>
      <rc t="2" v="10807"/>
    </bk>
    <bk>
      <rc t="2" v="10808"/>
    </bk>
    <bk>
      <rc t="2" v="10809"/>
    </bk>
    <bk>
      <rc t="2" v="10810"/>
    </bk>
    <bk>
      <rc t="2" v="10811"/>
    </bk>
    <bk>
      <rc t="2" v="10812"/>
    </bk>
    <bk>
      <rc t="2" v="10813"/>
    </bk>
    <bk>
      <rc t="2" v="10814"/>
    </bk>
    <bk>
      <rc t="2" v="10815"/>
    </bk>
    <bk>
      <rc t="2" v="10816"/>
    </bk>
    <bk>
      <rc t="2" v="10817"/>
    </bk>
    <bk>
      <rc t="2" v="10818"/>
    </bk>
    <bk>
      <rc t="2" v="10819"/>
    </bk>
    <bk>
      <rc t="2" v="10820"/>
    </bk>
    <bk>
      <rc t="2" v="10821"/>
    </bk>
    <bk>
      <rc t="2" v="10822"/>
    </bk>
    <bk>
      <rc t="2" v="10823"/>
    </bk>
    <bk>
      <rc t="2" v="10824"/>
    </bk>
    <bk>
      <rc t="2" v="10825"/>
    </bk>
    <bk>
      <rc t="2" v="10826"/>
    </bk>
    <bk>
      <rc t="2" v="10827"/>
    </bk>
    <bk>
      <rc t="2" v="10828"/>
    </bk>
    <bk>
      <rc t="2" v="10829"/>
    </bk>
    <bk>
      <rc t="2" v="10830"/>
    </bk>
    <bk>
      <rc t="2" v="10831"/>
    </bk>
    <bk>
      <rc t="2" v="10832"/>
    </bk>
    <bk>
      <rc t="2" v="10833"/>
    </bk>
    <bk>
      <rc t="2" v="10834"/>
    </bk>
    <bk>
      <rc t="2" v="10835"/>
    </bk>
    <bk>
      <rc t="2" v="10836"/>
    </bk>
    <bk>
      <rc t="2" v="10837"/>
    </bk>
    <bk>
      <rc t="2" v="10838"/>
    </bk>
    <bk>
      <rc t="2" v="10839"/>
    </bk>
    <bk>
      <rc t="2" v="10840"/>
    </bk>
    <bk>
      <rc t="2" v="10841"/>
    </bk>
    <bk>
      <rc t="2" v="10842"/>
    </bk>
    <bk>
      <rc t="2" v="10843"/>
    </bk>
    <bk>
      <rc t="2" v="10844"/>
    </bk>
    <bk>
      <rc t="2" v="10845"/>
    </bk>
    <bk>
      <rc t="2" v="10846"/>
    </bk>
    <bk>
      <rc t="2" v="10847"/>
    </bk>
    <bk>
      <rc t="2" v="10848"/>
    </bk>
    <bk>
      <rc t="2" v="10849"/>
    </bk>
    <bk>
      <rc t="2" v="10850"/>
    </bk>
    <bk>
      <rc t="2" v="10851"/>
    </bk>
    <bk>
      <rc t="2" v="10852"/>
    </bk>
    <bk>
      <rc t="2" v="10853"/>
    </bk>
    <bk>
      <rc t="2" v="10854"/>
    </bk>
    <bk>
      <rc t="2" v="10855"/>
    </bk>
    <bk>
      <rc t="2" v="10856"/>
    </bk>
    <bk>
      <rc t="2" v="10857"/>
    </bk>
    <bk>
      <rc t="2" v="10858"/>
    </bk>
    <bk>
      <rc t="2" v="10859"/>
    </bk>
    <bk>
      <rc t="2" v="10860"/>
    </bk>
    <bk>
      <rc t="2" v="10861"/>
    </bk>
    <bk>
      <rc t="2" v="10862"/>
    </bk>
    <bk>
      <rc t="2" v="10863"/>
    </bk>
    <bk>
      <rc t="2" v="10864"/>
    </bk>
    <bk>
      <rc t="2" v="10865"/>
    </bk>
    <bk>
      <rc t="2" v="10866"/>
    </bk>
    <bk>
      <rc t="2" v="10867"/>
    </bk>
    <bk>
      <rc t="2" v="10868"/>
    </bk>
    <bk>
      <rc t="2" v="10869"/>
    </bk>
    <bk>
      <rc t="2" v="10870"/>
    </bk>
    <bk>
      <rc t="2" v="10871"/>
    </bk>
    <bk>
      <rc t="2" v="10872"/>
    </bk>
    <bk>
      <rc t="2" v="10873"/>
    </bk>
    <bk>
      <rc t="2" v="10874"/>
    </bk>
    <bk>
      <rc t="2" v="10875"/>
    </bk>
    <bk>
      <rc t="2" v="10876"/>
    </bk>
    <bk>
      <rc t="2" v="10877"/>
    </bk>
    <bk>
      <rc t="2" v="10878"/>
    </bk>
    <bk>
      <rc t="2" v="10879"/>
    </bk>
    <bk>
      <rc t="2" v="10880"/>
    </bk>
    <bk>
      <rc t="2" v="10881"/>
    </bk>
    <bk>
      <rc t="2" v="10882"/>
    </bk>
    <bk>
      <rc t="2" v="10883"/>
    </bk>
    <bk>
      <rc t="2" v="10884"/>
    </bk>
    <bk>
      <rc t="2" v="10885"/>
    </bk>
    <bk>
      <rc t="2" v="10886"/>
    </bk>
    <bk>
      <rc t="2" v="10887"/>
    </bk>
    <bk>
      <rc t="2" v="10888"/>
    </bk>
    <bk>
      <rc t="2" v="10889"/>
    </bk>
    <bk>
      <rc t="2" v="10890"/>
    </bk>
    <bk>
      <rc t="2" v="10891"/>
    </bk>
    <bk>
      <rc t="2" v="10892"/>
    </bk>
    <bk>
      <rc t="2" v="10893"/>
    </bk>
    <bk>
      <rc t="2" v="10894"/>
    </bk>
    <bk>
      <rc t="2" v="10895"/>
    </bk>
    <bk>
      <rc t="2" v="10896"/>
    </bk>
    <bk>
      <rc t="2" v="10897"/>
    </bk>
    <bk>
      <rc t="2" v="10898"/>
    </bk>
    <bk>
      <rc t="2" v="10899"/>
    </bk>
    <bk>
      <rc t="2" v="10900"/>
    </bk>
    <bk>
      <rc t="2" v="10901"/>
    </bk>
    <bk>
      <rc t="2" v="10902"/>
    </bk>
    <bk>
      <rc t="2" v="10903"/>
    </bk>
    <bk>
      <rc t="2" v="10904"/>
    </bk>
    <bk>
      <rc t="2" v="10905"/>
    </bk>
    <bk>
      <rc t="2" v="10906"/>
    </bk>
    <bk>
      <rc t="2" v="10907"/>
    </bk>
    <bk>
      <rc t="2" v="10908"/>
    </bk>
    <bk>
      <rc t="2" v="10909"/>
    </bk>
    <bk>
      <rc t="2" v="10910"/>
    </bk>
    <bk>
      <rc t="2" v="10911"/>
    </bk>
    <bk>
      <rc t="2" v="10912"/>
    </bk>
    <bk>
      <rc t="2" v="10913"/>
    </bk>
    <bk>
      <rc t="2" v="10914"/>
    </bk>
    <bk>
      <rc t="2" v="10915"/>
    </bk>
    <bk>
      <rc t="2" v="10916"/>
    </bk>
    <bk>
      <rc t="2" v="10917"/>
    </bk>
    <bk>
      <rc t="2" v="10918"/>
    </bk>
    <bk>
      <rc t="2" v="10919"/>
    </bk>
    <bk>
      <rc t="2" v="10920"/>
    </bk>
    <bk>
      <rc t="2" v="10921"/>
    </bk>
    <bk>
      <rc t="2" v="10922"/>
    </bk>
    <bk>
      <rc t="2" v="10923"/>
    </bk>
    <bk>
      <rc t="2" v="10924"/>
    </bk>
    <bk>
      <rc t="2" v="10925"/>
    </bk>
    <bk>
      <rc t="2" v="10926"/>
    </bk>
    <bk>
      <rc t="2" v="10927"/>
    </bk>
    <bk>
      <rc t="2" v="10928"/>
    </bk>
    <bk>
      <rc t="2" v="10929"/>
    </bk>
    <bk>
      <rc t="2" v="10930"/>
    </bk>
    <bk>
      <rc t="2" v="10931"/>
    </bk>
    <bk>
      <rc t="2" v="10932"/>
    </bk>
    <bk>
      <rc t="2" v="10933"/>
    </bk>
    <bk>
      <rc t="2" v="10934"/>
    </bk>
    <bk>
      <rc t="2" v="10935"/>
    </bk>
    <bk>
      <rc t="2" v="10936"/>
    </bk>
    <bk>
      <rc t="2" v="10937"/>
    </bk>
    <bk>
      <rc t="2" v="10938"/>
    </bk>
    <bk>
      <rc t="2" v="10939"/>
    </bk>
    <bk>
      <rc t="2" v="10940"/>
    </bk>
    <bk>
      <rc t="2" v="10941"/>
    </bk>
    <bk>
      <rc t="2" v="10942"/>
    </bk>
    <bk>
      <rc t="2" v="10943"/>
    </bk>
    <bk>
      <rc t="2" v="10944"/>
    </bk>
    <bk>
      <rc t="2" v="10945"/>
    </bk>
    <bk>
      <rc t="2" v="10946"/>
    </bk>
    <bk>
      <rc t="2" v="10947"/>
    </bk>
    <bk>
      <rc t="2" v="10948"/>
    </bk>
    <bk>
      <rc t="2" v="10949"/>
    </bk>
    <bk>
      <rc t="2" v="10950"/>
    </bk>
    <bk>
      <rc t="2" v="10951"/>
    </bk>
    <bk>
      <rc t="2" v="10952"/>
    </bk>
    <bk>
      <rc t="2" v="10953"/>
    </bk>
    <bk>
      <rc t="2" v="10954"/>
    </bk>
    <bk>
      <rc t="2" v="10955"/>
    </bk>
    <bk>
      <rc t="2" v="10956"/>
    </bk>
    <bk>
      <rc t="2" v="10957"/>
    </bk>
    <bk>
      <rc t="2" v="10958"/>
    </bk>
    <bk>
      <rc t="2" v="10959"/>
    </bk>
    <bk>
      <rc t="2" v="10960"/>
    </bk>
    <bk>
      <rc t="2" v="10961"/>
    </bk>
    <bk>
      <rc t="2" v="10962"/>
    </bk>
    <bk>
      <rc t="2" v="10963"/>
    </bk>
    <bk>
      <rc t="2" v="10964"/>
    </bk>
    <bk>
      <rc t="2" v="10965"/>
    </bk>
    <bk>
      <rc t="2" v="10966"/>
    </bk>
    <bk>
      <rc t="2" v="10967"/>
    </bk>
    <bk>
      <rc t="2" v="10968"/>
    </bk>
    <bk>
      <rc t="2" v="10969"/>
    </bk>
    <bk>
      <rc t="2" v="10970"/>
    </bk>
    <bk>
      <rc t="2" v="10971"/>
    </bk>
    <bk>
      <rc t="2" v="10972"/>
    </bk>
    <bk>
      <rc t="2" v="10973"/>
    </bk>
    <bk>
      <rc t="2" v="10974"/>
    </bk>
    <bk>
      <rc t="2" v="10975"/>
    </bk>
    <bk>
      <rc t="2" v="10976"/>
    </bk>
    <bk>
      <rc t="2" v="10977"/>
    </bk>
    <bk>
      <rc t="2" v="10978"/>
    </bk>
    <bk>
      <rc t="2" v="10979"/>
    </bk>
    <bk>
      <rc t="2" v="10980"/>
    </bk>
    <bk>
      <rc t="2" v="10981"/>
    </bk>
    <bk>
      <rc t="2" v="10982"/>
    </bk>
    <bk>
      <rc t="2" v="10983"/>
    </bk>
    <bk>
      <rc t="2" v="10984"/>
    </bk>
    <bk>
      <rc t="2" v="10985"/>
    </bk>
    <bk>
      <rc t="2" v="10986"/>
    </bk>
    <bk>
      <rc t="2" v="10987"/>
    </bk>
    <bk>
      <rc t="2" v="10988"/>
    </bk>
    <bk>
      <rc t="2" v="10989"/>
    </bk>
    <bk>
      <rc t="2" v="10990"/>
    </bk>
    <bk>
      <rc t="2" v="10991"/>
    </bk>
    <bk>
      <rc t="2" v="10992"/>
    </bk>
    <bk>
      <rc t="2" v="10993"/>
    </bk>
    <bk>
      <rc t="2" v="10994"/>
    </bk>
    <bk>
      <rc t="2" v="10995"/>
    </bk>
    <bk>
      <rc t="2" v="10996"/>
    </bk>
    <bk>
      <rc t="2" v="10997"/>
    </bk>
    <bk>
      <rc t="2" v="10998"/>
    </bk>
    <bk>
      <rc t="2" v="10999"/>
    </bk>
    <bk>
      <rc t="2" v="11000"/>
    </bk>
    <bk>
      <rc t="2" v="11001"/>
    </bk>
    <bk>
      <rc t="2" v="11002"/>
    </bk>
    <bk>
      <rc t="2" v="11003"/>
    </bk>
    <bk>
      <rc t="2" v="11004"/>
    </bk>
    <bk>
      <rc t="2" v="11005"/>
    </bk>
    <bk>
      <rc t="2" v="11006"/>
    </bk>
    <bk>
      <rc t="2" v="11007"/>
    </bk>
    <bk>
      <rc t="2" v="11008"/>
    </bk>
    <bk>
      <rc t="2" v="11009"/>
    </bk>
    <bk>
      <rc t="2" v="11010"/>
    </bk>
    <bk>
      <rc t="2" v="11011"/>
    </bk>
    <bk>
      <rc t="2" v="11012"/>
    </bk>
    <bk>
      <rc t="2" v="11013"/>
    </bk>
    <bk>
      <rc t="2" v="11014"/>
    </bk>
    <bk>
      <rc t="2" v="11015"/>
    </bk>
    <bk>
      <rc t="2" v="11016"/>
    </bk>
    <bk>
      <rc t="2" v="11017"/>
    </bk>
    <bk>
      <rc t="2" v="11018"/>
    </bk>
    <bk>
      <rc t="2" v="11019"/>
    </bk>
    <bk>
      <rc t="2" v="11020"/>
    </bk>
    <bk>
      <rc t="2" v="11021"/>
    </bk>
    <bk>
      <rc t="2" v="11022"/>
    </bk>
    <bk>
      <rc t="2" v="11023"/>
    </bk>
    <bk>
      <rc t="2" v="11024"/>
    </bk>
    <bk>
      <rc t="2" v="11025"/>
    </bk>
    <bk>
      <rc t="2" v="11026"/>
    </bk>
    <bk>
      <rc t="2" v="11027"/>
    </bk>
    <bk>
      <rc t="2" v="11028"/>
    </bk>
    <bk>
      <rc t="2" v="11029"/>
    </bk>
    <bk>
      <rc t="2" v="11030"/>
    </bk>
    <bk>
      <rc t="2" v="11031"/>
    </bk>
    <bk>
      <rc t="2" v="11032"/>
    </bk>
    <bk>
      <rc t="2" v="11033"/>
    </bk>
    <bk>
      <rc t="2" v="11034"/>
    </bk>
    <bk>
      <rc t="2" v="11035"/>
    </bk>
    <bk>
      <rc t="2" v="11036"/>
    </bk>
    <bk>
      <rc t="2" v="11037"/>
    </bk>
    <bk>
      <rc t="2" v="11038"/>
    </bk>
    <bk>
      <rc t="2" v="11039"/>
    </bk>
    <bk>
      <rc t="2" v="11040"/>
    </bk>
    <bk>
      <rc t="2" v="11041"/>
    </bk>
    <bk>
      <rc t="2" v="11042"/>
    </bk>
    <bk>
      <rc t="2" v="11043"/>
    </bk>
    <bk>
      <rc t="2" v="11044"/>
    </bk>
    <bk>
      <rc t="2" v="11045"/>
    </bk>
    <bk>
      <rc t="2" v="11046"/>
    </bk>
    <bk>
      <rc t="2" v="11047"/>
    </bk>
    <bk>
      <rc t="2" v="11048"/>
    </bk>
    <bk>
      <rc t="2" v="11049"/>
    </bk>
    <bk>
      <rc t="2" v="11050"/>
    </bk>
    <bk>
      <rc t="2" v="11051"/>
    </bk>
    <bk>
      <rc t="2" v="11052"/>
    </bk>
    <bk>
      <rc t="2" v="11053"/>
    </bk>
    <bk>
      <rc t="2" v="11054"/>
    </bk>
    <bk>
      <rc t="2" v="11055"/>
    </bk>
    <bk>
      <rc t="2" v="11056"/>
    </bk>
    <bk>
      <rc t="2" v="11057"/>
    </bk>
    <bk>
      <rc t="2" v="11058"/>
    </bk>
    <bk>
      <rc t="2" v="11059"/>
    </bk>
    <bk>
      <rc t="2" v="11060"/>
    </bk>
    <bk>
      <rc t="2" v="11061"/>
    </bk>
    <bk>
      <rc t="2" v="11062"/>
    </bk>
    <bk>
      <rc t="2" v="11063"/>
    </bk>
    <bk>
      <rc t="2" v="11064"/>
    </bk>
    <bk>
      <rc t="2" v="11065"/>
    </bk>
    <bk>
      <rc t="2" v="11066"/>
    </bk>
    <bk>
      <rc t="2" v="11067"/>
    </bk>
    <bk>
      <rc t="2" v="11068"/>
    </bk>
    <bk>
      <rc t="2" v="11069"/>
    </bk>
    <bk>
      <rc t="2" v="11070"/>
    </bk>
    <bk>
      <rc t="2" v="11071"/>
    </bk>
    <bk>
      <rc t="2" v="11072"/>
    </bk>
    <bk>
      <rc t="2" v="11073"/>
    </bk>
    <bk>
      <rc t="2" v="11074"/>
    </bk>
    <bk>
      <rc t="2" v="11075"/>
    </bk>
    <bk>
      <rc t="2" v="11076"/>
    </bk>
    <bk>
      <rc t="2" v="11077"/>
    </bk>
  </valueMetadata>
</metadata>
</file>

<file path=xl/sharedStrings.xml><?xml version="1.0" encoding="utf-8"?>
<sst xmlns="http://schemas.openxmlformats.org/spreadsheetml/2006/main" count="78" uniqueCount="48">
  <si>
    <t>Instrument</t>
  </si>
  <si>
    <t>Qty.</t>
  </si>
  <si>
    <t>LTP</t>
  </si>
  <si>
    <t>Cur. val</t>
  </si>
  <si>
    <t>P&amp;L</t>
  </si>
  <si>
    <t>Market Cap</t>
  </si>
  <si>
    <t>Total Invt</t>
  </si>
  <si>
    <t>Midcap</t>
  </si>
  <si>
    <t>Smallcap</t>
  </si>
  <si>
    <t>Largecap</t>
  </si>
  <si>
    <t>Row Labels</t>
  </si>
  <si>
    <t>Percentage</t>
  </si>
  <si>
    <t>Sum of Total Invt</t>
  </si>
  <si>
    <t>Sum of P&amp;L</t>
  </si>
  <si>
    <t>Invested</t>
  </si>
  <si>
    <t>Value</t>
  </si>
  <si>
    <t>Profit / Loss</t>
  </si>
  <si>
    <t>Portfolio Tracker</t>
  </si>
  <si>
    <t>Qty</t>
  </si>
  <si>
    <t>Category</t>
  </si>
  <si>
    <t>Stock</t>
  </si>
  <si>
    <t>Mutal Fund</t>
  </si>
  <si>
    <t>Day Change</t>
  </si>
  <si>
    <t>Symbol</t>
  </si>
  <si>
    <t>Historical Performance</t>
  </si>
  <si>
    <t>Stock Lookup</t>
  </si>
  <si>
    <t xml:space="preserve">Actual </t>
  </si>
  <si>
    <t>Months</t>
  </si>
  <si>
    <t>Comparison</t>
  </si>
  <si>
    <t>Company</t>
  </si>
  <si>
    <t>Time Period</t>
  </si>
  <si>
    <t xml:space="preserve">TOTALS  </t>
  </si>
  <si>
    <t xml:space="preserve">Total No of Shares </t>
  </si>
  <si>
    <t>Total %</t>
  </si>
  <si>
    <t>Day Change %</t>
  </si>
  <si>
    <t>Last 12 Months</t>
  </si>
  <si>
    <t>▲▼</t>
  </si>
  <si>
    <t>TANLA</t>
  </si>
  <si>
    <t>PIDILITIND</t>
  </si>
  <si>
    <t>TATAELXSI</t>
  </si>
  <si>
    <t>NAVINFLUOR</t>
  </si>
  <si>
    <t>HPL</t>
  </si>
  <si>
    <t>USD $/ RUPEES ₹</t>
  </si>
  <si>
    <t>Buy Value</t>
  </si>
  <si>
    <t>ADD NEW STOCKS OR MUTAL FUND</t>
  </si>
  <si>
    <t xml:space="preserve">Addition Module </t>
  </si>
  <si>
    <t>Stock Market</t>
  </si>
  <si>
    <t>Mutual Fund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</si>
</sst>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8" formatCode="&quot;$&quot;#,##0.00_);[Red]\(&quot;$&quot;#,##0.00\)"/>
    <numFmt numFmtId="164" formatCode="_ [$₹-4009]\ * #,##0.00_ ;_ [$₹-4009]\ * \-#,##0.00_ ;_ [$₹-4009]\ * &quot;-&quot;??_ ;_ @_ "/>
    <numFmt numFmtId="165" formatCode="[$₹-4009]\ #,##0.00"/>
    <numFmt numFmtId="166" formatCode="0.0%"/>
    <numFmt numFmtId="167" formatCode="_ [$₹-44D]\ * #,##0.00_ ;_ [$₹-44D]\ * \-#,##0.00_ ;_ [$₹-44D]\ * &quot;-&quot;??_ ;_ @_ "/>
    <numFmt numFmtId="168" formatCode="[$₹-4009]\ #,##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9"/>
      <color theme="1"/>
      <name val="Calibri"/>
      <family val="2"/>
      <scheme val="minor"/>
    </font>
    <font>
      <sz val="28"/>
      <color theme="1"/>
      <name val="Segoe UI Light"/>
      <family val="2"/>
    </font>
    <font>
      <sz val="11"/>
      <color rgb="FF000000"/>
      <name val="Calibri"/>
      <family val="2"/>
    </font>
    <font>
      <u/>
      <sz val="11"/>
      <color theme="1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bgColor indexed="64"/>
      </patternFill>
    </fill>
    <fill>
      <patternFill patternType="solid">
        <fgColor rgb="FF0070C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0"/>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indexed="64"/>
      </top>
      <bottom style="thin">
        <color indexed="64"/>
      </bottom>
      <diagonal/>
    </border>
    <border>
      <left/>
      <right/>
      <top style="thin">
        <color theme="0" tint="-0.24994659260841701"/>
      </top>
      <bottom style="thin">
        <color theme="0" tint="-0.24994659260841701"/>
      </bottom>
      <diagonal/>
    </border>
    <border>
      <left/>
      <right/>
      <top/>
      <bottom style="thin">
        <color indexed="6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4" tint="0.39997558519241921"/>
      </right>
      <top style="thin">
        <color indexed="64"/>
      </top>
      <bottom/>
      <diagonal/>
    </border>
    <border>
      <left/>
      <right style="thin">
        <color indexed="64"/>
      </right>
      <top style="thin">
        <color indexed="64"/>
      </top>
      <bottom/>
      <diagonal/>
    </border>
    <border>
      <left/>
      <right style="thin">
        <color theme="4" tint="0.39997558519241921"/>
      </right>
      <top style="thin">
        <color indexed="64"/>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cellStyleXfs>
  <cellXfs count="72">
    <xf numFmtId="0" fontId="0" fillId="0" borderId="0" xfId="0"/>
    <xf numFmtId="164" fontId="0" fillId="0" borderId="0" xfId="0" applyNumberFormat="1"/>
    <xf numFmtId="0" fontId="0" fillId="0" borderId="10" xfId="0" applyBorder="1"/>
    <xf numFmtId="164" fontId="0" fillId="0" borderId="10" xfId="0" applyNumberFormat="1" applyBorder="1"/>
    <xf numFmtId="0" fontId="13" fillId="33" borderId="11" xfId="0" applyFont="1" applyFill="1" applyBorder="1"/>
    <xf numFmtId="0" fontId="16" fillId="0" borderId="0" xfId="0" applyFont="1"/>
    <xf numFmtId="0" fontId="0" fillId="0" borderId="0" xfId="0" pivotButton="1"/>
    <xf numFmtId="0" fontId="0" fillId="0" borderId="0" xfId="0" applyAlignment="1">
      <alignment horizontal="left"/>
    </xf>
    <xf numFmtId="10" fontId="0" fillId="0" borderId="0" xfId="0" applyNumberFormat="1"/>
    <xf numFmtId="165" fontId="0" fillId="0" borderId="0" xfId="0" applyNumberFormat="1"/>
    <xf numFmtId="0" fontId="16" fillId="35" borderId="12" xfId="0" applyFont="1" applyFill="1" applyBorder="1"/>
    <xf numFmtId="166" fontId="16" fillId="35" borderId="12" xfId="43" applyNumberFormat="1" applyFont="1" applyFill="1" applyBorder="1"/>
    <xf numFmtId="165" fontId="19" fillId="0" borderId="13" xfId="0" applyNumberFormat="1" applyFont="1" applyBorder="1" applyAlignment="1">
      <alignment vertical="center"/>
    </xf>
    <xf numFmtId="165" fontId="19" fillId="0" borderId="13" xfId="0" applyNumberFormat="1" applyFont="1" applyBorder="1" applyAlignment="1">
      <alignment horizontal="right" vertical="center"/>
    </xf>
    <xf numFmtId="165" fontId="16" fillId="35" borderId="12" xfId="0" applyNumberFormat="1" applyFont="1" applyFill="1" applyBorder="1"/>
    <xf numFmtId="0" fontId="0" fillId="35" borderId="0" xfId="0" applyFill="1"/>
    <xf numFmtId="0" fontId="20" fillId="35" borderId="0" xfId="0" applyFont="1" applyFill="1" applyAlignment="1">
      <alignment vertical="center"/>
    </xf>
    <xf numFmtId="0" fontId="16" fillId="0" borderId="14" xfId="0" applyFont="1" applyBorder="1"/>
    <xf numFmtId="8" fontId="16" fillId="0" borderId="14" xfId="0" applyNumberFormat="1" applyFont="1" applyBorder="1"/>
    <xf numFmtId="10" fontId="16" fillId="0" borderId="14" xfId="43" applyNumberFormat="1" applyFont="1" applyBorder="1" applyAlignment="1">
      <alignment horizontal="center"/>
    </xf>
    <xf numFmtId="0" fontId="19" fillId="0" borderId="13" xfId="0" applyFont="1" applyBorder="1"/>
    <xf numFmtId="6" fontId="19" fillId="0" borderId="13" xfId="0" applyNumberFormat="1" applyFont="1" applyBorder="1"/>
    <xf numFmtId="8" fontId="19" fillId="0" borderId="13" xfId="0" applyNumberFormat="1" applyFont="1" applyBorder="1"/>
    <xf numFmtId="0" fontId="0" fillId="36" borderId="0" xfId="0" applyFill="1"/>
    <xf numFmtId="0" fontId="16" fillId="36" borderId="12" xfId="0" applyFont="1" applyFill="1" applyBorder="1" applyAlignment="1">
      <alignment horizontal="right"/>
    </xf>
    <xf numFmtId="0" fontId="13" fillId="36" borderId="12" xfId="0" applyFont="1" applyFill="1" applyBorder="1" applyAlignment="1">
      <alignment horizontal="center"/>
    </xf>
    <xf numFmtId="0" fontId="16" fillId="36" borderId="12" xfId="0" applyFont="1" applyFill="1" applyBorder="1" applyAlignment="1">
      <alignment horizontal="left"/>
    </xf>
    <xf numFmtId="0" fontId="0" fillId="38" borderId="16" xfId="0" applyFill="1" applyBorder="1"/>
    <xf numFmtId="0" fontId="0" fillId="38" borderId="17" xfId="0" applyFill="1" applyBorder="1" applyAlignment="1">
      <alignment horizontal="centerContinuous"/>
    </xf>
    <xf numFmtId="0" fontId="0" fillId="38" borderId="12" xfId="0" applyFill="1" applyBorder="1" applyAlignment="1">
      <alignment horizontal="centerContinuous"/>
    </xf>
    <xf numFmtId="0" fontId="0" fillId="38" borderId="18" xfId="0" applyFill="1" applyBorder="1" applyAlignment="1">
      <alignment horizontal="centerContinuous"/>
    </xf>
    <xf numFmtId="0" fontId="13" fillId="0" borderId="15" xfId="0" applyFont="1" applyBorder="1"/>
    <xf numFmtId="0" fontId="13" fillId="0" borderId="0" xfId="0" applyFont="1"/>
    <xf numFmtId="0" fontId="13" fillId="0" borderId="0" xfId="0" applyFont="1" applyAlignment="1">
      <alignment horizontal="centerContinuous"/>
    </xf>
    <xf numFmtId="0" fontId="13" fillId="33" borderId="19" xfId="0" applyFont="1" applyFill="1" applyBorder="1" applyAlignment="1">
      <alignment horizontal="centerContinuous"/>
    </xf>
    <xf numFmtId="0" fontId="13" fillId="33" borderId="20" xfId="0" applyFont="1" applyFill="1" applyBorder="1" applyAlignment="1">
      <alignment horizontal="centerContinuous"/>
    </xf>
    <xf numFmtId="0" fontId="13" fillId="33" borderId="21" xfId="0" applyFont="1" applyFill="1" applyBorder="1" applyAlignment="1">
      <alignment horizontal="centerContinuous"/>
    </xf>
    <xf numFmtId="0" fontId="19" fillId="0" borderId="13" xfId="0" applyFont="1" applyBorder="1" applyAlignment="1">
      <alignment vertical="center" wrapText="1"/>
    </xf>
    <xf numFmtId="0" fontId="16" fillId="35" borderId="12" xfId="0" applyFont="1" applyFill="1" applyBorder="1" applyAlignment="1">
      <alignment wrapText="1"/>
    </xf>
    <xf numFmtId="0" fontId="0" fillId="0" borderId="0" xfId="0" applyAlignment="1">
      <alignment wrapText="1"/>
    </xf>
    <xf numFmtId="165" fontId="19" fillId="0" borderId="13" xfId="0" applyNumberFormat="1" applyFont="1" applyBorder="1" applyAlignment="1">
      <alignment vertical="center" wrapText="1"/>
    </xf>
    <xf numFmtId="165" fontId="19" fillId="0" borderId="13" xfId="0" applyNumberFormat="1" applyFont="1" applyBorder="1" applyAlignment="1">
      <alignment horizontal="right" vertical="center" wrapText="1"/>
    </xf>
    <xf numFmtId="166" fontId="19" fillId="0" borderId="13" xfId="43" applyNumberFormat="1" applyFont="1" applyBorder="1" applyAlignment="1">
      <alignment horizontal="center" vertical="center" wrapText="1"/>
    </xf>
    <xf numFmtId="0" fontId="16" fillId="36" borderId="12" xfId="0" applyFont="1" applyFill="1" applyBorder="1" applyAlignment="1">
      <alignment horizontal="centerContinuous" wrapText="1"/>
    </xf>
    <xf numFmtId="0" fontId="0" fillId="36" borderId="0" xfId="0" applyFill="1" applyAlignment="1">
      <alignment horizontal="centerContinuous" wrapText="1"/>
    </xf>
    <xf numFmtId="0" fontId="16" fillId="0" borderId="0" xfId="0" applyFont="1" applyAlignment="1">
      <alignment wrapText="1"/>
    </xf>
    <xf numFmtId="0" fontId="0" fillId="37" borderId="16" xfId="0" applyFill="1" applyBorder="1" applyAlignment="1">
      <alignment wrapText="1"/>
    </xf>
    <xf numFmtId="0" fontId="16" fillId="35" borderId="12" xfId="0" applyFont="1" applyFill="1" applyBorder="1" applyAlignment="1">
      <alignment horizontal="centerContinuous" wrapText="1"/>
    </xf>
    <xf numFmtId="165" fontId="16" fillId="35" borderId="12" xfId="0" applyNumberFormat="1" applyFont="1" applyFill="1" applyBorder="1" applyAlignment="1">
      <alignment horizontal="centerContinuous" wrapText="1"/>
    </xf>
    <xf numFmtId="0" fontId="19" fillId="0" borderId="0" xfId="0" applyFont="1" applyAlignment="1">
      <alignment wrapText="1"/>
    </xf>
    <xf numFmtId="6" fontId="19" fillId="0" borderId="0" xfId="0" applyNumberFormat="1" applyFont="1" applyAlignment="1">
      <alignment wrapText="1"/>
    </xf>
    <xf numFmtId="8" fontId="19" fillId="0" borderId="0" xfId="0" applyNumberFormat="1" applyFont="1" applyAlignment="1">
      <alignment wrapText="1"/>
    </xf>
    <xf numFmtId="0" fontId="19" fillId="0" borderId="13" xfId="0" applyFont="1" applyBorder="1" applyAlignment="1">
      <alignment horizontal="center" vertical="center" wrapText="1"/>
    </xf>
    <xf numFmtId="0" fontId="0" fillId="39" borderId="0" xfId="0" applyFill="1" applyAlignment="1">
      <alignment horizontal="centerContinuous" wrapText="1"/>
    </xf>
    <xf numFmtId="10" fontId="16" fillId="35" borderId="12" xfId="0" applyNumberFormat="1" applyFont="1" applyFill="1" applyBorder="1" applyAlignment="1">
      <alignment horizontal="center"/>
    </xf>
    <xf numFmtId="167" fontId="0" fillId="0" borderId="0" xfId="0" applyNumberFormat="1"/>
    <xf numFmtId="168" fontId="0" fillId="0" borderId="0" xfId="0" applyNumberFormat="1"/>
    <xf numFmtId="0" fontId="0" fillId="0" borderId="16" xfId="0" applyBorder="1" applyAlignment="1">
      <alignment horizontal="center" vertical="center"/>
    </xf>
    <xf numFmtId="0" fontId="0" fillId="0" borderId="16" xfId="0" applyBorder="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13" fillId="33" borderId="16" xfId="0" applyFont="1" applyFill="1" applyBorder="1" applyAlignment="1">
      <alignment horizontal="center" vertical="center"/>
    </xf>
    <xf numFmtId="0" fontId="13" fillId="0" borderId="0" xfId="0" applyFont="1" applyAlignment="1">
      <alignment horizontal="center" vertical="center"/>
    </xf>
    <xf numFmtId="0" fontId="0" fillId="34" borderId="15" xfId="0" applyFill="1" applyBorder="1"/>
    <xf numFmtId="164" fontId="0" fillId="34" borderId="15" xfId="0" applyNumberFormat="1" applyFill="1" applyBorder="1"/>
    <xf numFmtId="0" fontId="22" fillId="35" borderId="0" xfId="44" applyFill="1"/>
    <xf numFmtId="0" fontId="16" fillId="0" borderId="0" xfId="0" applyFont="1" applyAlignment="1">
      <alignment horizontal="centerContinuous" wrapText="1"/>
    </xf>
    <xf numFmtId="0" fontId="0" fillId="0" borderId="0" xfId="0" applyAlignment="1">
      <alignment horizontal="centerContinuous" wrapText="1"/>
    </xf>
    <xf numFmtId="0" fontId="16" fillId="0" borderId="0" xfId="0" applyFont="1" applyAlignment="1">
      <alignment horizontal="center" wrapText="1"/>
    </xf>
    <xf numFmtId="0" fontId="0" fillId="37" borderId="16" xfId="0" applyFill="1" applyBorder="1" applyAlignment="1">
      <alignment horizontal="center" vertical="center" wrapText="1"/>
    </xf>
    <xf numFmtId="0" fontId="0" fillId="37" borderId="16" xfId="0" applyFill="1" applyBorder="1" applyAlignment="1">
      <alignment horizontal="center" wrapText="1"/>
    </xf>
    <xf numFmtId="0" fontId="16" fillId="0" borderId="16" xfId="0" applyFont="1" applyBorder="1" applyAlignment="1">
      <alignment horizont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Percent 2" xfId="42" xr:uid="{907BCBA3-8232-4630-9F9E-3746E0852FD2}"/>
    <cellStyle name="Title" xfId="1" builtinId="15" customBuiltin="1"/>
    <cellStyle name="Total" xfId="17" builtinId="25" customBuiltin="1"/>
    <cellStyle name="Warning Text" xfId="14" builtinId="11" customBuiltin="1"/>
  </cellStyles>
  <dxfs count="34">
    <dxf>
      <numFmt numFmtId="168" formatCode="[$₹-4009]\ #,##0"/>
    </dxf>
    <dxf>
      <numFmt numFmtId="168" formatCode="[$₹-4009]\ #,##0"/>
    </dxf>
    <dxf>
      <numFmt numFmtId="165" formatCode="[$₹-4009]\ #,##0.00"/>
    </dxf>
    <dxf>
      <fill>
        <patternFill>
          <bgColor theme="0" tint="-4.9989318521683403E-2"/>
        </patternFill>
      </fill>
    </dxf>
    <dxf>
      <fill>
        <patternFill>
          <bgColor theme="0" tint="-4.9989318521683403E-2"/>
        </patternFill>
      </fill>
    </dxf>
    <dxf>
      <fill>
        <patternFill>
          <bgColor theme="0" tint="-4.9989318521683403E-2"/>
        </patternFill>
      </fill>
    </dxf>
    <dxf>
      <numFmt numFmtId="14" formatCode="0.00%"/>
    </dxf>
    <dxf>
      <font>
        <b val="0"/>
        <i val="0"/>
        <strike val="0"/>
        <condense val="0"/>
        <extend val="0"/>
        <outline val="0"/>
        <shadow val="0"/>
        <u val="none"/>
        <vertAlign val="baseline"/>
        <sz val="11"/>
        <color theme="1"/>
        <name val="Calibri"/>
        <family val="2"/>
        <scheme val="minor"/>
      </font>
      <numFmt numFmtId="164" formatCode="_ [$₹-4009]\ * #,##0.00_ ;_ [$₹-4009]\ * \-#,##0.00_ ;_ [$₹-4009]\ * &quot;-&quot;??_ ;_ @_ "/>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4" formatCode="_ [$₹-4009]\ * #,##0.00_ ;_ [$₹-4009]\ * \-#,##0.00_ ;_ [$₹-4009]\ * &quot;-&quot;??_ ;_ @_ "/>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fill>
        <patternFill patternType="none">
          <fgColor indexed="64"/>
          <bgColor auto="1"/>
        </patternFill>
      </fill>
    </dxf>
    <dxf>
      <numFmt numFmtId="164" formatCode="_ [$₹-4009]\ * #,##0.00_ ;_ [$₹-4009]\ * \-#,##0.00_ ;_ [$₹-4009]\ * &quot;-&quot;??_ ;_ @_ "/>
    </dxf>
    <dxf>
      <numFmt numFmtId="164" formatCode="_ [$₹-4009]\ * #,##0.00_ ;_ [$₹-4009]\ * \-#,##0.00_ ;_ [$₹-4009]\ * &quot;-&quot;??_ ;_ @_ "/>
      <fill>
        <patternFill patternType="none">
          <fgColor indexed="64"/>
          <bgColor auto="1"/>
        </patternFill>
      </fill>
    </dxf>
    <dxf>
      <fill>
        <patternFill patternType="none">
          <fgColor indexed="64"/>
          <bgColor auto="1"/>
        </patternFill>
      </fill>
    </dxf>
    <dxf>
      <numFmt numFmtId="0" formatCode="General"/>
    </dxf>
    <dxf>
      <numFmt numFmtId="0" formatCode="General"/>
      <fill>
        <patternFill patternType="none">
          <fgColor indexed="64"/>
          <bgColor auto="1"/>
        </patternFill>
      </fill>
    </dxf>
    <dxf>
      <numFmt numFmtId="164" formatCode="_ [$₹-4009]\ * #,##0.00_ ;_ [$₹-4009]\ * \-#,##0.00_ ;_ [$₹-4009]\ * &quot;-&quot;??_ ;_ @_ "/>
    </dxf>
    <dxf>
      <numFmt numFmtId="164" formatCode="_ [$₹-4009]\ * #,##0.00_ ;_ [$₹-4009]\ * \-#,##0.00_ ;_ [$₹-4009]\ * &quot;-&quot;??_ ;_ @_ "/>
      <fill>
        <patternFill patternType="none">
          <fgColor indexed="64"/>
          <bgColor auto="1"/>
        </patternFill>
      </fill>
    </dxf>
    <dxf>
      <numFmt numFmtId="14" formatCode="0.00%"/>
    </dxf>
    <dxf>
      <numFmt numFmtId="14" formatCode="0.00%"/>
      <fill>
        <patternFill patternType="none">
          <fgColor indexed="64"/>
          <bgColor indexed="65"/>
        </patternFill>
      </fill>
    </dxf>
    <dxf>
      <numFmt numFmtId="164" formatCode="_ [$₹-4009]\ * #,##0.00_ ;_ [$₹-4009]\ * \-#,##0.00_ ;_ [$₹-4009]\ * &quot;-&quot;??_ ;_ @_ "/>
    </dxf>
    <dxf>
      <numFmt numFmtId="164" formatCode="_ [$₹-4009]\ * #,##0.00_ ;_ [$₹-4009]\ * \-#,##0.00_ ;_ [$₹-4009]\ * &quot;-&quot;??_ ;_ @_ "/>
      <fill>
        <patternFill patternType="none">
          <fgColor indexed="64"/>
          <bgColor indexed="65"/>
        </patternFill>
      </fill>
    </dxf>
    <dxf>
      <numFmt numFmtId="164" formatCode="_ [$₹-4009]\ * #,##0.00_ ;_ [$₹-4009]\ * \-#,##0.00_ ;_ [$₹-4009]\ * &quot;-&quot;??_ ;_ @_ "/>
    </dxf>
    <dxf>
      <numFmt numFmtId="164" formatCode="_ [$₹-4009]\ * #,##0.00_ ;_ [$₹-4009]\ * \-#,##0.00_ ;_ [$₹-4009]\ * &quot;-&quot;??_ ;_ @_ "/>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theme="0" tint="-4.9989318521683403E-2"/>
        </patternFill>
      </fill>
    </dxf>
  </dxfs>
  <tableStyles count="0" defaultTableStyle="TableStyleMedium2" defaultPivotStyle="PivotStyleLight16"/>
  <colors>
    <mruColors>
      <color rgb="FFFF00FF"/>
      <color rgb="FFCDD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heetMetadata" Target="metadata.xml"/><Relationship Id="rId18" Type="http://schemas.microsoft.com/office/2017/06/relationships/richStyles" Target="richData/richStyle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microsoft.com/office/2017/06/relationships/rdArray" Target="richData/rdarray.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17/06/relationships/rdRichValue" Target="richData/rdrichvalue.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connections" Target="connections.xml"/><Relationship Id="rId19" Type="http://schemas.microsoft.com/office/2017/06/relationships/rdSupportingPropertyBagStructure" Target="richData/rdsupportingpropertybagstructure.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0/relationships/richValueRel" Target="richData/richValueRel.xml"/><Relationship Id="rId22" Type="http://schemas.openxmlformats.org/officeDocument/2006/relationships/powerPivotData" Target="model/item.data"/><Relationship Id="rId27" Type="http://schemas.openxmlformats.org/officeDocument/2006/relationships/customXml" Target="../customXml/item3.xml"/><Relationship Id="rId30"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'Stock Market'!$Q$8</c:f>
              <c:strCache>
                <c:ptCount val="1"/>
                <c:pt idx="0">
                  <c:v>INDIAN RAILWAY CATERING AND TOURISM CORPORATION LIMITED (XNSE:IRCTC)</c:v>
                </c:pt>
              </c:strCache>
            </c:strRef>
          </c:tx>
          <c:spPr>
            <a:ln w="28575" cap="rnd">
              <a:solidFill>
                <a:schemeClr val="tx2">
                  <a:lumMod val="50000"/>
                </a:schemeClr>
              </a:solidFill>
              <a:round/>
            </a:ln>
            <a:effectLst/>
          </c:spPr>
          <c:marker>
            <c:symbol val="none"/>
          </c:marker>
          <c:cat>
            <c:numRef>
              <c:f>'Stock Market'!$M$12:$M$56</c:f>
              <c:numCache>
                <c:formatCode>m/d/yyyy</c:formatCode>
                <c:ptCount val="45"/>
                <c:pt idx="0">
                  <c:v>45320</c:v>
                </c:pt>
                <c:pt idx="1">
                  <c:v>45321</c:v>
                </c:pt>
                <c:pt idx="2">
                  <c:v>45322</c:v>
                </c:pt>
                <c:pt idx="3">
                  <c:v>45323</c:v>
                </c:pt>
                <c:pt idx="4">
                  <c:v>45324</c:v>
                </c:pt>
                <c:pt idx="5">
                  <c:v>45327</c:v>
                </c:pt>
                <c:pt idx="6">
                  <c:v>45328</c:v>
                </c:pt>
                <c:pt idx="7">
                  <c:v>45329</c:v>
                </c:pt>
                <c:pt idx="8">
                  <c:v>45330</c:v>
                </c:pt>
                <c:pt idx="9">
                  <c:v>45331</c:v>
                </c:pt>
                <c:pt idx="10">
                  <c:v>45334</c:v>
                </c:pt>
                <c:pt idx="11">
                  <c:v>45335</c:v>
                </c:pt>
                <c:pt idx="12">
                  <c:v>45336</c:v>
                </c:pt>
                <c:pt idx="13">
                  <c:v>45337</c:v>
                </c:pt>
                <c:pt idx="14">
                  <c:v>45338</c:v>
                </c:pt>
                <c:pt idx="15">
                  <c:v>45341</c:v>
                </c:pt>
                <c:pt idx="16">
                  <c:v>45342</c:v>
                </c:pt>
                <c:pt idx="17">
                  <c:v>45343</c:v>
                </c:pt>
                <c:pt idx="18">
                  <c:v>45344</c:v>
                </c:pt>
                <c:pt idx="19">
                  <c:v>45345</c:v>
                </c:pt>
                <c:pt idx="20">
                  <c:v>45348</c:v>
                </c:pt>
                <c:pt idx="21">
                  <c:v>45349</c:v>
                </c:pt>
                <c:pt idx="22">
                  <c:v>45350</c:v>
                </c:pt>
                <c:pt idx="23">
                  <c:v>45351</c:v>
                </c:pt>
                <c:pt idx="24">
                  <c:v>45352</c:v>
                </c:pt>
                <c:pt idx="25">
                  <c:v>45353</c:v>
                </c:pt>
                <c:pt idx="26">
                  <c:v>45355</c:v>
                </c:pt>
                <c:pt idx="27">
                  <c:v>45356</c:v>
                </c:pt>
                <c:pt idx="28">
                  <c:v>45357</c:v>
                </c:pt>
                <c:pt idx="29">
                  <c:v>45358</c:v>
                </c:pt>
                <c:pt idx="30">
                  <c:v>45362</c:v>
                </c:pt>
                <c:pt idx="31">
                  <c:v>45363</c:v>
                </c:pt>
                <c:pt idx="32">
                  <c:v>45364</c:v>
                </c:pt>
                <c:pt idx="33">
                  <c:v>45365</c:v>
                </c:pt>
                <c:pt idx="34">
                  <c:v>45366</c:v>
                </c:pt>
                <c:pt idx="35">
                  <c:v>45369</c:v>
                </c:pt>
                <c:pt idx="36">
                  <c:v>45370</c:v>
                </c:pt>
                <c:pt idx="37">
                  <c:v>45371</c:v>
                </c:pt>
                <c:pt idx="38">
                  <c:v>45372</c:v>
                </c:pt>
                <c:pt idx="39">
                  <c:v>45373</c:v>
                </c:pt>
                <c:pt idx="40">
                  <c:v>45377</c:v>
                </c:pt>
                <c:pt idx="41">
                  <c:v>45378</c:v>
                </c:pt>
                <c:pt idx="42">
                  <c:v>45379</c:v>
                </c:pt>
                <c:pt idx="43">
                  <c:v>45383</c:v>
                </c:pt>
                <c:pt idx="44">
                  <c:v>45384</c:v>
                </c:pt>
              </c:numCache>
            </c:numRef>
          </c:cat>
          <c:val>
            <c:numRef>
              <c:f>'Stock Market'!$Q$12:$Q$56</c:f>
              <c:numCache>
                <c:formatCode>_ [$₹-44D]\ * #,##0.00_ ;_ [$₹-44D]\ * \-#,##0.00_ ;_ [$₹-44D]\ * "-"??_ ;_ @_ </c:formatCode>
                <c:ptCount val="45"/>
                <c:pt idx="0">
                  <c:v>981.8</c:v>
                </c:pt>
                <c:pt idx="1">
                  <c:v>964.05</c:v>
                </c:pt>
                <c:pt idx="2">
                  <c:v>977.2</c:v>
                </c:pt>
                <c:pt idx="3">
                  <c:v>963.3</c:v>
                </c:pt>
                <c:pt idx="4">
                  <c:v>967.5</c:v>
                </c:pt>
                <c:pt idx="5">
                  <c:v>946.65</c:v>
                </c:pt>
                <c:pt idx="6">
                  <c:v>965.25</c:v>
                </c:pt>
                <c:pt idx="7">
                  <c:v>954.75</c:v>
                </c:pt>
                <c:pt idx="8">
                  <c:v>944.35</c:v>
                </c:pt>
                <c:pt idx="9">
                  <c:v>939.15</c:v>
                </c:pt>
                <c:pt idx="10">
                  <c:v>900.1</c:v>
                </c:pt>
                <c:pt idx="11">
                  <c:v>910.45</c:v>
                </c:pt>
                <c:pt idx="12">
                  <c:v>929.2</c:v>
                </c:pt>
                <c:pt idx="13">
                  <c:v>951.5</c:v>
                </c:pt>
                <c:pt idx="14">
                  <c:v>940.65</c:v>
                </c:pt>
                <c:pt idx="15">
                  <c:v>946.95</c:v>
                </c:pt>
                <c:pt idx="16">
                  <c:v>951.9</c:v>
                </c:pt>
                <c:pt idx="17">
                  <c:v>925.75</c:v>
                </c:pt>
                <c:pt idx="18">
                  <c:v>935.65</c:v>
                </c:pt>
                <c:pt idx="19">
                  <c:v>964.85</c:v>
                </c:pt>
                <c:pt idx="20">
                  <c:v>968.4</c:v>
                </c:pt>
                <c:pt idx="21">
                  <c:v>952.75</c:v>
                </c:pt>
                <c:pt idx="22">
                  <c:v>924.05</c:v>
                </c:pt>
                <c:pt idx="23">
                  <c:v>927.4</c:v>
                </c:pt>
                <c:pt idx="24">
                  <c:v>929.3</c:v>
                </c:pt>
                <c:pt idx="25">
                  <c:v>933.7</c:v>
                </c:pt>
                <c:pt idx="26">
                  <c:v>938</c:v>
                </c:pt>
                <c:pt idx="27">
                  <c:v>935.8</c:v>
                </c:pt>
                <c:pt idx="28">
                  <c:v>929.05</c:v>
                </c:pt>
                <c:pt idx="29">
                  <c:v>937.2</c:v>
                </c:pt>
                <c:pt idx="30">
                  <c:v>938.6</c:v>
                </c:pt>
                <c:pt idx="31">
                  <c:v>920.95</c:v>
                </c:pt>
                <c:pt idx="32">
                  <c:v>880.65</c:v>
                </c:pt>
                <c:pt idx="33">
                  <c:v>898.75</c:v>
                </c:pt>
                <c:pt idx="34">
                  <c:v>912.5</c:v>
                </c:pt>
                <c:pt idx="35">
                  <c:v>918.9</c:v>
                </c:pt>
                <c:pt idx="36">
                  <c:v>906.4</c:v>
                </c:pt>
                <c:pt idx="37">
                  <c:v>901.9</c:v>
                </c:pt>
                <c:pt idx="38">
                  <c:v>934.75</c:v>
                </c:pt>
                <c:pt idx="39">
                  <c:v>928.7</c:v>
                </c:pt>
                <c:pt idx="40">
                  <c:v>928.75</c:v>
                </c:pt>
                <c:pt idx="41">
                  <c:v>929.95</c:v>
                </c:pt>
                <c:pt idx="42">
                  <c:v>929.7</c:v>
                </c:pt>
                <c:pt idx="43">
                  <c:v>970.15</c:v>
                </c:pt>
                <c:pt idx="44">
                  <c:v>1003.8</c:v>
                </c:pt>
              </c:numCache>
            </c:numRef>
          </c:val>
          <c:smooth val="0"/>
          <c:extLst>
            <c:ext xmlns:c16="http://schemas.microsoft.com/office/drawing/2014/chart" uri="{C3380CC4-5D6E-409C-BE32-E72D297353CC}">
              <c16:uniqueId val="{00000000-41C9-4216-8CDE-11DA4AAA5EAF}"/>
            </c:ext>
          </c:extLst>
        </c:ser>
        <c:dLbls>
          <c:showLegendKey val="0"/>
          <c:showVal val="0"/>
          <c:showCatName val="0"/>
          <c:showSerName val="0"/>
          <c:showPercent val="0"/>
          <c:showBubbleSize val="0"/>
        </c:dLbls>
        <c:marker val="1"/>
        <c:smooth val="0"/>
        <c:axId val="1863122160"/>
        <c:axId val="1861119520"/>
      </c:lineChart>
      <c:lineChart>
        <c:grouping val="standard"/>
        <c:varyColors val="0"/>
        <c:ser>
          <c:idx val="0"/>
          <c:order val="0"/>
          <c:tx>
            <c:strRef>
              <c:f>'Stock Market'!$N$8</c:f>
              <c:strCache>
                <c:ptCount val="1"/>
                <c:pt idx="0">
                  <c:v>RELIANCE INDUSTRIES LIMITED (XNSE:RELIANCE)</c:v>
                </c:pt>
              </c:strCache>
            </c:strRef>
          </c:tx>
          <c:spPr>
            <a:ln w="28575" cap="rnd">
              <a:solidFill>
                <a:schemeClr val="accent1">
                  <a:lumMod val="40000"/>
                  <a:lumOff val="60000"/>
                </a:schemeClr>
              </a:solidFill>
              <a:round/>
            </a:ln>
            <a:effectLst/>
          </c:spPr>
          <c:marker>
            <c:symbol val="none"/>
          </c:marker>
          <c:cat>
            <c:numRef>
              <c:f>'Stock Market'!$M$12:$M$56</c:f>
              <c:numCache>
                <c:formatCode>m/d/yyyy</c:formatCode>
                <c:ptCount val="45"/>
                <c:pt idx="0">
                  <c:v>45320</c:v>
                </c:pt>
                <c:pt idx="1">
                  <c:v>45321</c:v>
                </c:pt>
                <c:pt idx="2">
                  <c:v>45322</c:v>
                </c:pt>
                <c:pt idx="3">
                  <c:v>45323</c:v>
                </c:pt>
                <c:pt idx="4">
                  <c:v>45324</c:v>
                </c:pt>
                <c:pt idx="5">
                  <c:v>45327</c:v>
                </c:pt>
                <c:pt idx="6">
                  <c:v>45328</c:v>
                </c:pt>
                <c:pt idx="7">
                  <c:v>45329</c:v>
                </c:pt>
                <c:pt idx="8">
                  <c:v>45330</c:v>
                </c:pt>
                <c:pt idx="9">
                  <c:v>45331</c:v>
                </c:pt>
                <c:pt idx="10">
                  <c:v>45334</c:v>
                </c:pt>
                <c:pt idx="11">
                  <c:v>45335</c:v>
                </c:pt>
                <c:pt idx="12">
                  <c:v>45336</c:v>
                </c:pt>
                <c:pt idx="13">
                  <c:v>45337</c:v>
                </c:pt>
                <c:pt idx="14">
                  <c:v>45338</c:v>
                </c:pt>
                <c:pt idx="15">
                  <c:v>45341</c:v>
                </c:pt>
                <c:pt idx="16">
                  <c:v>45342</c:v>
                </c:pt>
                <c:pt idx="17">
                  <c:v>45343</c:v>
                </c:pt>
                <c:pt idx="18">
                  <c:v>45344</c:v>
                </c:pt>
                <c:pt idx="19">
                  <c:v>45345</c:v>
                </c:pt>
                <c:pt idx="20">
                  <c:v>45348</c:v>
                </c:pt>
                <c:pt idx="21">
                  <c:v>45349</c:v>
                </c:pt>
                <c:pt idx="22">
                  <c:v>45350</c:v>
                </c:pt>
                <c:pt idx="23">
                  <c:v>45351</c:v>
                </c:pt>
                <c:pt idx="24">
                  <c:v>45352</c:v>
                </c:pt>
                <c:pt idx="25">
                  <c:v>45353</c:v>
                </c:pt>
                <c:pt idx="26">
                  <c:v>45355</c:v>
                </c:pt>
                <c:pt idx="27">
                  <c:v>45356</c:v>
                </c:pt>
                <c:pt idx="28">
                  <c:v>45357</c:v>
                </c:pt>
                <c:pt idx="29">
                  <c:v>45358</c:v>
                </c:pt>
                <c:pt idx="30">
                  <c:v>45362</c:v>
                </c:pt>
                <c:pt idx="31">
                  <c:v>45363</c:v>
                </c:pt>
                <c:pt idx="32">
                  <c:v>45364</c:v>
                </c:pt>
                <c:pt idx="33">
                  <c:v>45365</c:v>
                </c:pt>
                <c:pt idx="34">
                  <c:v>45366</c:v>
                </c:pt>
                <c:pt idx="35">
                  <c:v>45369</c:v>
                </c:pt>
                <c:pt idx="36">
                  <c:v>45370</c:v>
                </c:pt>
                <c:pt idx="37">
                  <c:v>45371</c:v>
                </c:pt>
                <c:pt idx="38">
                  <c:v>45372</c:v>
                </c:pt>
                <c:pt idx="39">
                  <c:v>45373</c:v>
                </c:pt>
                <c:pt idx="40">
                  <c:v>45377</c:v>
                </c:pt>
                <c:pt idx="41">
                  <c:v>45378</c:v>
                </c:pt>
                <c:pt idx="42">
                  <c:v>45379</c:v>
                </c:pt>
                <c:pt idx="43">
                  <c:v>45383</c:v>
                </c:pt>
                <c:pt idx="44">
                  <c:v>45384</c:v>
                </c:pt>
              </c:numCache>
            </c:numRef>
          </c:cat>
          <c:val>
            <c:numRef>
              <c:f>'Stock Market'!$N$12:$N$56</c:f>
              <c:numCache>
                <c:formatCode>_ [$₹-44D]\ * #,##0.00_ ;_ [$₹-44D]\ * \-#,##0.00_ ;_ [$₹-44D]\ * "-"??_ ;_ @_ </c:formatCode>
                <c:ptCount val="45"/>
                <c:pt idx="0">
                  <c:v>2896.1</c:v>
                </c:pt>
                <c:pt idx="1">
                  <c:v>2815.25</c:v>
                </c:pt>
                <c:pt idx="2">
                  <c:v>2853.25</c:v>
                </c:pt>
                <c:pt idx="3">
                  <c:v>2853.3</c:v>
                </c:pt>
                <c:pt idx="4">
                  <c:v>2915.4</c:v>
                </c:pt>
                <c:pt idx="5">
                  <c:v>2878.05</c:v>
                </c:pt>
                <c:pt idx="6">
                  <c:v>2855.6</c:v>
                </c:pt>
                <c:pt idx="7">
                  <c:v>2884.3</c:v>
                </c:pt>
                <c:pt idx="8">
                  <c:v>2900.25</c:v>
                </c:pt>
                <c:pt idx="9">
                  <c:v>2921.5</c:v>
                </c:pt>
                <c:pt idx="10">
                  <c:v>2904.7</c:v>
                </c:pt>
                <c:pt idx="11">
                  <c:v>2930.2</c:v>
                </c:pt>
                <c:pt idx="12">
                  <c:v>2962.75</c:v>
                </c:pt>
                <c:pt idx="13">
                  <c:v>2941.2</c:v>
                </c:pt>
                <c:pt idx="14">
                  <c:v>2921.15</c:v>
                </c:pt>
                <c:pt idx="15">
                  <c:v>2948</c:v>
                </c:pt>
                <c:pt idx="16">
                  <c:v>2942.05</c:v>
                </c:pt>
                <c:pt idx="17">
                  <c:v>2935.4</c:v>
                </c:pt>
                <c:pt idx="18">
                  <c:v>2963.5</c:v>
                </c:pt>
                <c:pt idx="19">
                  <c:v>2987.25</c:v>
                </c:pt>
                <c:pt idx="20">
                  <c:v>2974.65</c:v>
                </c:pt>
                <c:pt idx="21">
                  <c:v>2971.3</c:v>
                </c:pt>
                <c:pt idx="22">
                  <c:v>2911.25</c:v>
                </c:pt>
                <c:pt idx="23">
                  <c:v>2921.6</c:v>
                </c:pt>
                <c:pt idx="24">
                  <c:v>2984.25</c:v>
                </c:pt>
                <c:pt idx="25">
                  <c:v>2982.15</c:v>
                </c:pt>
                <c:pt idx="26">
                  <c:v>3014.8</c:v>
                </c:pt>
                <c:pt idx="27">
                  <c:v>3000.4</c:v>
                </c:pt>
                <c:pt idx="28">
                  <c:v>3006</c:v>
                </c:pt>
                <c:pt idx="29">
                  <c:v>2957.85</c:v>
                </c:pt>
                <c:pt idx="30">
                  <c:v>2933.2</c:v>
                </c:pt>
                <c:pt idx="31">
                  <c:v>2950.85</c:v>
                </c:pt>
                <c:pt idx="32">
                  <c:v>2864.35</c:v>
                </c:pt>
                <c:pt idx="33">
                  <c:v>2862.95</c:v>
                </c:pt>
                <c:pt idx="34">
                  <c:v>2836.45</c:v>
                </c:pt>
                <c:pt idx="35">
                  <c:v>2878.95</c:v>
                </c:pt>
                <c:pt idx="36">
                  <c:v>2850.5</c:v>
                </c:pt>
                <c:pt idx="37">
                  <c:v>2887.5</c:v>
                </c:pt>
                <c:pt idx="38">
                  <c:v>2901.95</c:v>
                </c:pt>
                <c:pt idx="39">
                  <c:v>2910.05</c:v>
                </c:pt>
                <c:pt idx="40">
                  <c:v>2883.15</c:v>
                </c:pt>
                <c:pt idx="41">
                  <c:v>2985.7</c:v>
                </c:pt>
                <c:pt idx="42">
                  <c:v>2971.7</c:v>
                </c:pt>
                <c:pt idx="43">
                  <c:v>2969.55</c:v>
                </c:pt>
                <c:pt idx="44">
                  <c:v>2973.9</c:v>
                </c:pt>
              </c:numCache>
            </c:numRef>
          </c:val>
          <c:smooth val="0"/>
          <c:extLst>
            <c:ext xmlns:c16="http://schemas.microsoft.com/office/drawing/2014/chart" uri="{C3380CC4-5D6E-409C-BE32-E72D297353CC}">
              <c16:uniqueId val="{00000001-41C9-4216-8CDE-11DA4AAA5EAF}"/>
            </c:ext>
          </c:extLst>
        </c:ser>
        <c:dLbls>
          <c:showLegendKey val="0"/>
          <c:showVal val="0"/>
          <c:showCatName val="0"/>
          <c:showSerName val="0"/>
          <c:showPercent val="0"/>
          <c:showBubbleSize val="0"/>
        </c:dLbls>
        <c:marker val="1"/>
        <c:smooth val="0"/>
        <c:axId val="1473148000"/>
        <c:axId val="1473147040"/>
      </c:lineChart>
      <c:dateAx>
        <c:axId val="1863122160"/>
        <c:scaling>
          <c:orientation val="minMax"/>
          <c:min val="45320"/>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119520"/>
        <c:crosses val="autoZero"/>
        <c:auto val="1"/>
        <c:lblOffset val="100"/>
        <c:baseTimeUnit val="days"/>
        <c:majorUnit val="21"/>
        <c:majorTimeUnit val="days"/>
      </c:dateAx>
      <c:valAx>
        <c:axId val="1861119520"/>
        <c:scaling>
          <c:orientation val="minMax"/>
        </c:scaling>
        <c:delete val="0"/>
        <c:axPos val="l"/>
        <c:majorGridlines>
          <c:spPr>
            <a:ln w="9525" cap="flat" cmpd="sng" algn="ctr">
              <a:solidFill>
                <a:schemeClr val="tx1">
                  <a:lumMod val="15000"/>
                  <a:lumOff val="85000"/>
                </a:schemeClr>
              </a:solidFill>
              <a:round/>
            </a:ln>
            <a:effectLst/>
          </c:spPr>
        </c:majorGridlines>
        <c:numFmt formatCode="_ [$₹-44D]\ * #,##0.00_ ;_ [$₹-44D]\ * \-#,##0.00_ ;_ [$₹-44D]\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122160"/>
        <c:crosses val="autoZero"/>
        <c:crossBetween val="between"/>
      </c:valAx>
      <c:valAx>
        <c:axId val="1473147040"/>
        <c:scaling>
          <c:orientation val="minMax"/>
        </c:scaling>
        <c:delete val="0"/>
        <c:axPos val="r"/>
        <c:numFmt formatCode="_ [$₹-44D]\ * #,##0.00_ ;_ [$₹-44D]\ * \-#,##0.00_ ;_ [$₹-44D]\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148000"/>
        <c:crosses val="max"/>
        <c:crossBetween val="between"/>
      </c:valAx>
      <c:dateAx>
        <c:axId val="1473148000"/>
        <c:scaling>
          <c:orientation val="minMax"/>
        </c:scaling>
        <c:delete val="1"/>
        <c:axPos val="b"/>
        <c:numFmt formatCode="m/d/yyyy" sourceLinked="1"/>
        <c:majorTickMark val="out"/>
        <c:minorTickMark val="none"/>
        <c:tickLblPos val="nextTo"/>
        <c:crossAx val="1473147040"/>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'Stock Market'!$M$12:$M$56</c:f>
              <c:numCache>
                <c:formatCode>m/d/yyyy</c:formatCode>
                <c:ptCount val="45"/>
                <c:pt idx="0">
                  <c:v>45320</c:v>
                </c:pt>
                <c:pt idx="1">
                  <c:v>45321</c:v>
                </c:pt>
                <c:pt idx="2">
                  <c:v>45322</c:v>
                </c:pt>
                <c:pt idx="3">
                  <c:v>45323</c:v>
                </c:pt>
                <c:pt idx="4">
                  <c:v>45324</c:v>
                </c:pt>
                <c:pt idx="5">
                  <c:v>45327</c:v>
                </c:pt>
                <c:pt idx="6">
                  <c:v>45328</c:v>
                </c:pt>
                <c:pt idx="7">
                  <c:v>45329</c:v>
                </c:pt>
                <c:pt idx="8">
                  <c:v>45330</c:v>
                </c:pt>
                <c:pt idx="9">
                  <c:v>45331</c:v>
                </c:pt>
                <c:pt idx="10">
                  <c:v>45334</c:v>
                </c:pt>
                <c:pt idx="11">
                  <c:v>45335</c:v>
                </c:pt>
                <c:pt idx="12">
                  <c:v>45336</c:v>
                </c:pt>
                <c:pt idx="13">
                  <c:v>45337</c:v>
                </c:pt>
                <c:pt idx="14">
                  <c:v>45338</c:v>
                </c:pt>
                <c:pt idx="15">
                  <c:v>45341</c:v>
                </c:pt>
                <c:pt idx="16">
                  <c:v>45342</c:v>
                </c:pt>
                <c:pt idx="17">
                  <c:v>45343</c:v>
                </c:pt>
                <c:pt idx="18">
                  <c:v>45344</c:v>
                </c:pt>
                <c:pt idx="19">
                  <c:v>45345</c:v>
                </c:pt>
                <c:pt idx="20">
                  <c:v>45348</c:v>
                </c:pt>
                <c:pt idx="21">
                  <c:v>45349</c:v>
                </c:pt>
                <c:pt idx="22">
                  <c:v>45350</c:v>
                </c:pt>
                <c:pt idx="23">
                  <c:v>45351</c:v>
                </c:pt>
                <c:pt idx="24">
                  <c:v>45352</c:v>
                </c:pt>
                <c:pt idx="25">
                  <c:v>45353</c:v>
                </c:pt>
                <c:pt idx="26">
                  <c:v>45355</c:v>
                </c:pt>
                <c:pt idx="27">
                  <c:v>45356</c:v>
                </c:pt>
                <c:pt idx="28">
                  <c:v>45357</c:v>
                </c:pt>
                <c:pt idx="29">
                  <c:v>45358</c:v>
                </c:pt>
                <c:pt idx="30">
                  <c:v>45362</c:v>
                </c:pt>
                <c:pt idx="31">
                  <c:v>45363</c:v>
                </c:pt>
                <c:pt idx="32">
                  <c:v>45364</c:v>
                </c:pt>
                <c:pt idx="33">
                  <c:v>45365</c:v>
                </c:pt>
                <c:pt idx="34">
                  <c:v>45366</c:v>
                </c:pt>
                <c:pt idx="35">
                  <c:v>45369</c:v>
                </c:pt>
                <c:pt idx="36">
                  <c:v>45370</c:v>
                </c:pt>
                <c:pt idx="37">
                  <c:v>45371</c:v>
                </c:pt>
                <c:pt idx="38">
                  <c:v>45372</c:v>
                </c:pt>
                <c:pt idx="39">
                  <c:v>45373</c:v>
                </c:pt>
                <c:pt idx="40">
                  <c:v>45377</c:v>
                </c:pt>
                <c:pt idx="41">
                  <c:v>45378</c:v>
                </c:pt>
                <c:pt idx="42">
                  <c:v>45379</c:v>
                </c:pt>
                <c:pt idx="43">
                  <c:v>45383</c:v>
                </c:pt>
                <c:pt idx="44">
                  <c:v>45384</c:v>
                </c:pt>
              </c:numCache>
            </c:numRef>
          </c:cat>
          <c:val>
            <c:numRef>
              <c:f>'Stock Market'!$N$12:$N$56</c:f>
              <c:numCache>
                <c:formatCode>_ [$₹-44D]\ * #,##0.00_ ;_ [$₹-44D]\ * \-#,##0.00_ ;_ [$₹-44D]\ * "-"??_ ;_ @_ </c:formatCode>
                <c:ptCount val="45"/>
                <c:pt idx="0">
                  <c:v>2896.1</c:v>
                </c:pt>
                <c:pt idx="1">
                  <c:v>2815.25</c:v>
                </c:pt>
                <c:pt idx="2">
                  <c:v>2853.25</c:v>
                </c:pt>
                <c:pt idx="3">
                  <c:v>2853.3</c:v>
                </c:pt>
                <c:pt idx="4">
                  <c:v>2915.4</c:v>
                </c:pt>
                <c:pt idx="5">
                  <c:v>2878.05</c:v>
                </c:pt>
                <c:pt idx="6">
                  <c:v>2855.6</c:v>
                </c:pt>
                <c:pt idx="7">
                  <c:v>2884.3</c:v>
                </c:pt>
                <c:pt idx="8">
                  <c:v>2900.25</c:v>
                </c:pt>
                <c:pt idx="9">
                  <c:v>2921.5</c:v>
                </c:pt>
                <c:pt idx="10">
                  <c:v>2904.7</c:v>
                </c:pt>
                <c:pt idx="11">
                  <c:v>2930.2</c:v>
                </c:pt>
                <c:pt idx="12">
                  <c:v>2962.75</c:v>
                </c:pt>
                <c:pt idx="13">
                  <c:v>2941.2</c:v>
                </c:pt>
                <c:pt idx="14">
                  <c:v>2921.15</c:v>
                </c:pt>
                <c:pt idx="15">
                  <c:v>2948</c:v>
                </c:pt>
                <c:pt idx="16">
                  <c:v>2942.05</c:v>
                </c:pt>
                <c:pt idx="17">
                  <c:v>2935.4</c:v>
                </c:pt>
                <c:pt idx="18">
                  <c:v>2963.5</c:v>
                </c:pt>
                <c:pt idx="19">
                  <c:v>2987.25</c:v>
                </c:pt>
                <c:pt idx="20">
                  <c:v>2974.65</c:v>
                </c:pt>
                <c:pt idx="21">
                  <c:v>2971.3</c:v>
                </c:pt>
                <c:pt idx="22">
                  <c:v>2911.25</c:v>
                </c:pt>
                <c:pt idx="23">
                  <c:v>2921.6</c:v>
                </c:pt>
                <c:pt idx="24">
                  <c:v>2984.25</c:v>
                </c:pt>
                <c:pt idx="25">
                  <c:v>2982.15</c:v>
                </c:pt>
                <c:pt idx="26">
                  <c:v>3014.8</c:v>
                </c:pt>
                <c:pt idx="27">
                  <c:v>3000.4</c:v>
                </c:pt>
                <c:pt idx="28">
                  <c:v>3006</c:v>
                </c:pt>
                <c:pt idx="29">
                  <c:v>2957.85</c:v>
                </c:pt>
                <c:pt idx="30">
                  <c:v>2933.2</c:v>
                </c:pt>
                <c:pt idx="31">
                  <c:v>2950.85</c:v>
                </c:pt>
                <c:pt idx="32">
                  <c:v>2864.35</c:v>
                </c:pt>
                <c:pt idx="33">
                  <c:v>2862.95</c:v>
                </c:pt>
                <c:pt idx="34">
                  <c:v>2836.45</c:v>
                </c:pt>
                <c:pt idx="35">
                  <c:v>2878.95</c:v>
                </c:pt>
                <c:pt idx="36">
                  <c:v>2850.5</c:v>
                </c:pt>
                <c:pt idx="37">
                  <c:v>2887.5</c:v>
                </c:pt>
                <c:pt idx="38">
                  <c:v>2901.95</c:v>
                </c:pt>
                <c:pt idx="39">
                  <c:v>2910.05</c:v>
                </c:pt>
                <c:pt idx="40">
                  <c:v>2883.15</c:v>
                </c:pt>
                <c:pt idx="41">
                  <c:v>2985.7</c:v>
                </c:pt>
                <c:pt idx="42">
                  <c:v>2971.7</c:v>
                </c:pt>
                <c:pt idx="43">
                  <c:v>2969.55</c:v>
                </c:pt>
                <c:pt idx="44">
                  <c:v>2973.9</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932C-453B-B2D7-D7C05D6B4240}"/>
            </c:ext>
          </c:extLst>
        </c:ser>
        <c:ser>
          <c:idx val="1"/>
          <c:order val="1"/>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2-932C-453B-B2D7-D7C05D6B4240}"/>
            </c:ext>
          </c:extLst>
        </c:ser>
        <c:dLbls>
          <c:showLegendKey val="0"/>
          <c:showVal val="0"/>
          <c:showCatName val="0"/>
          <c:showSerName val="0"/>
          <c:showPercent val="0"/>
          <c:showBubbleSize val="0"/>
        </c:dLbls>
        <c:smooth val="0"/>
        <c:axId val="936976416"/>
        <c:axId val="936976896"/>
      </c:lineChart>
      <c:dateAx>
        <c:axId val="936976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976896"/>
        <c:crosses val="autoZero"/>
        <c:auto val="1"/>
        <c:lblOffset val="100"/>
        <c:baseTimeUnit val="days"/>
        <c:majorUnit val="21"/>
        <c:majorTimeUnit val="days"/>
      </c:dateAx>
      <c:valAx>
        <c:axId val="936976896"/>
        <c:scaling>
          <c:orientation val="minMax"/>
        </c:scaling>
        <c:delete val="0"/>
        <c:axPos val="l"/>
        <c:majorGridlines>
          <c:spPr>
            <a:ln w="9525" cap="flat" cmpd="sng" algn="ctr">
              <a:solidFill>
                <a:schemeClr val="tx1">
                  <a:lumMod val="15000"/>
                  <a:lumOff val="85000"/>
                </a:schemeClr>
              </a:solidFill>
              <a:round/>
            </a:ln>
            <a:effectLst/>
          </c:spPr>
        </c:majorGridlines>
        <c:numFmt formatCode="_ [$₹-44D]\ * #,##0.00_ ;_ [$₹-44D]\ * \-#,##0.00_ ;_ [$₹-44D]\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976416"/>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Analysis!$F$75</c:f>
              <c:strCache>
                <c:ptCount val="1"/>
                <c:pt idx="0">
                  <c:v>Value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Analysis!$E$76:$E$77</c:f>
              <c:strCache>
                <c:ptCount val="2"/>
                <c:pt idx="0">
                  <c:v>Mutal Fund</c:v>
                </c:pt>
                <c:pt idx="1">
                  <c:v>Stock</c:v>
                </c:pt>
              </c:strCache>
            </c:strRef>
          </c:cat>
          <c:val>
            <c:numRef>
              <c:f>Analysis!$F$76:$F$77</c:f>
              <c:numCache>
                <c:formatCode>[$₹-4009]\ #,##0.00</c:formatCode>
                <c:ptCount val="2"/>
                <c:pt idx="0">
                  <c:v>267285.71400000004</c:v>
                </c:pt>
                <c:pt idx="1">
                  <c:v>10847059.300000001</c:v>
                </c:pt>
              </c:numCache>
            </c:numRef>
          </c:val>
          <c:extLst>
            <c:ext xmlns:c16="http://schemas.microsoft.com/office/drawing/2014/chart" uri="{C3380CC4-5D6E-409C-BE32-E72D297353CC}">
              <c16:uniqueId val="{00000000-8852-42E2-BB7F-2305035A0102}"/>
            </c:ext>
          </c:extLst>
        </c:ser>
        <c:ser>
          <c:idx val="1"/>
          <c:order val="1"/>
          <c:tx>
            <c:strRef>
              <c:f>Analysis!$G$75</c:f>
              <c:strCache>
                <c:ptCount val="1"/>
                <c:pt idx="0">
                  <c:v>Profit / Loss</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Analysis!$E$76:$E$77</c:f>
              <c:strCache>
                <c:ptCount val="2"/>
                <c:pt idx="0">
                  <c:v>Mutal Fund</c:v>
                </c:pt>
                <c:pt idx="1">
                  <c:v>Stock</c:v>
                </c:pt>
              </c:strCache>
            </c:strRef>
          </c:cat>
          <c:val>
            <c:numRef>
              <c:f>Analysis!$G$76:$G$77</c:f>
              <c:numCache>
                <c:formatCode>[$₹-4009]\ #,##0.00</c:formatCode>
                <c:ptCount val="2"/>
                <c:pt idx="0">
                  <c:v>167885.71400000001</c:v>
                </c:pt>
                <c:pt idx="1">
                  <c:v>3246359.3</c:v>
                </c:pt>
              </c:numCache>
            </c:numRef>
          </c:val>
          <c:extLst>
            <c:ext xmlns:c16="http://schemas.microsoft.com/office/drawing/2014/chart" uri="{C3380CC4-5D6E-409C-BE32-E72D297353CC}">
              <c16:uniqueId val="{00000001-8852-42E2-BB7F-2305035A0102}"/>
            </c:ext>
          </c:extLst>
        </c:ser>
        <c:dLbls>
          <c:dLblPos val="inEnd"/>
          <c:showLegendKey val="0"/>
          <c:showVal val="1"/>
          <c:showCatName val="0"/>
          <c:showSerName val="0"/>
          <c:showPercent val="0"/>
          <c:showBubbleSize val="0"/>
        </c:dLbls>
        <c:gapWidth val="65"/>
        <c:axId val="1471398480"/>
        <c:axId val="1471400400"/>
      </c:barChart>
      <c:catAx>
        <c:axId val="14713984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1471400400"/>
        <c:crosses val="autoZero"/>
        <c:auto val="1"/>
        <c:lblAlgn val="ctr"/>
        <c:lblOffset val="100"/>
        <c:noMultiLvlLbl val="0"/>
      </c:catAx>
      <c:valAx>
        <c:axId val="1471400400"/>
        <c:scaling>
          <c:orientation val="minMax"/>
        </c:scaling>
        <c:delete val="1"/>
        <c:axPos val="l"/>
        <c:numFmt formatCode="[$₹-4009]\ #,##0.00" sourceLinked="1"/>
        <c:majorTickMark val="none"/>
        <c:minorTickMark val="none"/>
        <c:tickLblPos val="nextTo"/>
        <c:crossAx val="147139848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rgbClr val="0070C0"/>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Portfolio Management.xlsm]Analysis!PivotTable1</c:name>
    <c:fmtId val="1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EA6-4ECF-866C-A3452EEDCABA}"/>
              </c:ext>
            </c:extLst>
          </c:dPt>
          <c:dPt>
            <c:idx val="1"/>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EA6-4ECF-866C-A3452EEDCABA}"/>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EA6-4ECF-866C-A3452EEDCABA}"/>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Analysis!$A$4:$A$6</c:f>
              <c:strCache>
                <c:ptCount val="3"/>
                <c:pt idx="0">
                  <c:v>Largecap</c:v>
                </c:pt>
                <c:pt idx="1">
                  <c:v>Midcap</c:v>
                </c:pt>
                <c:pt idx="2">
                  <c:v>Smallcap</c:v>
                </c:pt>
              </c:strCache>
            </c:strRef>
          </c:cat>
          <c:val>
            <c:numRef>
              <c:f>Analysis!$B$4:$B$6</c:f>
              <c:numCache>
                <c:formatCode>[$₹-4009]\ #,##0</c:formatCode>
                <c:ptCount val="3"/>
                <c:pt idx="0">
                  <c:v>3450000</c:v>
                </c:pt>
                <c:pt idx="1">
                  <c:v>2326200</c:v>
                </c:pt>
                <c:pt idx="2">
                  <c:v>2996700</c:v>
                </c:pt>
              </c:numCache>
            </c:numRef>
          </c:val>
          <c:extLst>
            <c:ext xmlns:c16="http://schemas.microsoft.com/office/drawing/2014/chart" uri="{C3380CC4-5D6E-409C-BE32-E72D297353CC}">
              <c16:uniqueId val="{00000006-9EA6-4ECF-866C-A3452EEDCAB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0070C0"/>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Portfolio Management.xlsm]Analysis!PivotTable2</c:name>
    <c:fmtId val="22"/>
  </c:pivotSource>
  <c:chart>
    <c:autoTitleDeleted val="1"/>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Analysis!$A$12:$A$16</c:f>
              <c:strCache>
                <c:ptCount val="5"/>
                <c:pt idx="0">
                  <c:v>TANLA</c:v>
                </c:pt>
                <c:pt idx="1">
                  <c:v>PIDILITIND</c:v>
                </c:pt>
                <c:pt idx="2">
                  <c:v>TATAELXSI</c:v>
                </c:pt>
                <c:pt idx="3">
                  <c:v>NAVINFLUOR</c:v>
                </c:pt>
                <c:pt idx="4">
                  <c:v>HPL</c:v>
                </c:pt>
              </c:strCache>
            </c:strRef>
          </c:cat>
          <c:val>
            <c:numRef>
              <c:f>Analysis!$B$12:$B$16</c:f>
              <c:numCache>
                <c:formatCode>General</c:formatCode>
                <c:ptCount val="5"/>
                <c:pt idx="0">
                  <c:v>480000</c:v>
                </c:pt>
                <c:pt idx="1">
                  <c:v>620000</c:v>
                </c:pt>
                <c:pt idx="2">
                  <c:v>700000</c:v>
                </c:pt>
                <c:pt idx="3">
                  <c:v>760000</c:v>
                </c:pt>
                <c:pt idx="4">
                  <c:v>928000</c:v>
                </c:pt>
              </c:numCache>
            </c:numRef>
          </c:val>
          <c:extLst>
            <c:ext xmlns:c16="http://schemas.microsoft.com/office/drawing/2014/chart" uri="{C3380CC4-5D6E-409C-BE32-E72D297353CC}">
              <c16:uniqueId val="{00000000-9D9C-4418-BBC0-93E3BED52AA3}"/>
            </c:ext>
          </c:extLst>
        </c:ser>
        <c:dLbls>
          <c:dLblPos val="inEnd"/>
          <c:showLegendKey val="0"/>
          <c:showVal val="1"/>
          <c:showCatName val="0"/>
          <c:showSerName val="0"/>
          <c:showPercent val="0"/>
          <c:showBubbleSize val="0"/>
        </c:dLbls>
        <c:gapWidth val="65"/>
        <c:axId val="26814159"/>
        <c:axId val="26805039"/>
      </c:barChart>
      <c:catAx>
        <c:axId val="26814159"/>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26805039"/>
        <c:crosses val="autoZero"/>
        <c:auto val="1"/>
        <c:lblAlgn val="ctr"/>
        <c:lblOffset val="100"/>
        <c:noMultiLvlLbl val="0"/>
      </c:catAx>
      <c:valAx>
        <c:axId val="2680503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8141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lumMod val="95000"/>
      </a:schemeClr>
    </a:solidFill>
    <a:ln w="9525" cap="flat" cmpd="sng" algn="ctr">
      <a:solidFill>
        <a:srgbClr val="0070C0"/>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Portfolio Management.xlsm]Analysis!PivotTable12</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Analysis!$B$84</c:f>
              <c:strCache>
                <c:ptCount val="1"/>
                <c:pt idx="0">
                  <c:v>Sum of Total Invt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Analysis!$A$85:$A$87</c:f>
              <c:strCache>
                <c:ptCount val="3"/>
                <c:pt idx="0">
                  <c:v>Largecap</c:v>
                </c:pt>
                <c:pt idx="1">
                  <c:v>Midcap</c:v>
                </c:pt>
                <c:pt idx="2">
                  <c:v>Smallcap</c:v>
                </c:pt>
              </c:strCache>
            </c:strRef>
          </c:cat>
          <c:val>
            <c:numRef>
              <c:f>Analysis!$B$85:$B$87</c:f>
              <c:numCache>
                <c:formatCode>[$₹-4009]\ #,##0.00</c:formatCode>
                <c:ptCount val="3"/>
                <c:pt idx="0">
                  <c:v>1209376.51</c:v>
                </c:pt>
                <c:pt idx="1">
                  <c:v>255675.83000000005</c:v>
                </c:pt>
                <c:pt idx="2">
                  <c:v>1492600.47</c:v>
                </c:pt>
              </c:numCache>
            </c:numRef>
          </c:val>
          <c:extLst>
            <c:ext xmlns:c16="http://schemas.microsoft.com/office/drawing/2014/chart" uri="{C3380CC4-5D6E-409C-BE32-E72D297353CC}">
              <c16:uniqueId val="{00000000-28ED-4592-A2C6-4889F781CA41}"/>
            </c:ext>
          </c:extLst>
        </c:ser>
        <c:ser>
          <c:idx val="1"/>
          <c:order val="1"/>
          <c:tx>
            <c:strRef>
              <c:f>Analysis!$C$84</c:f>
              <c:strCache>
                <c:ptCount val="1"/>
                <c:pt idx="0">
                  <c:v>Sum of P&amp;L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cat>
            <c:strRef>
              <c:f>Analysis!$A$85:$A$87</c:f>
              <c:strCache>
                <c:ptCount val="3"/>
                <c:pt idx="0">
                  <c:v>Largecap</c:v>
                </c:pt>
                <c:pt idx="1">
                  <c:v>Midcap</c:v>
                </c:pt>
                <c:pt idx="2">
                  <c:v>Smallcap</c:v>
                </c:pt>
              </c:strCache>
            </c:strRef>
          </c:cat>
          <c:val>
            <c:numRef>
              <c:f>Analysis!$C$85:$C$87</c:f>
              <c:numCache>
                <c:formatCode>[$₹-4009]\ #,##0.00</c:formatCode>
                <c:ptCount val="3"/>
                <c:pt idx="0">
                  <c:v>303042.88999999996</c:v>
                </c:pt>
                <c:pt idx="1">
                  <c:v>56084.32</c:v>
                </c:pt>
                <c:pt idx="2">
                  <c:v>-132176.91999999998</c:v>
                </c:pt>
              </c:numCache>
            </c:numRef>
          </c:val>
          <c:extLst>
            <c:ext xmlns:c16="http://schemas.microsoft.com/office/drawing/2014/chart" uri="{C3380CC4-5D6E-409C-BE32-E72D297353CC}">
              <c16:uniqueId val="{00000001-28ED-4592-A2C6-4889F781CA41}"/>
            </c:ext>
          </c:extLst>
        </c:ser>
        <c:dLbls>
          <c:showLegendKey val="0"/>
          <c:showVal val="0"/>
          <c:showCatName val="0"/>
          <c:showSerName val="0"/>
          <c:showPercent val="0"/>
          <c:showBubbleSize val="0"/>
        </c:dLbls>
        <c:gapWidth val="100"/>
        <c:overlap val="100"/>
        <c:axId val="1559005184"/>
        <c:axId val="1559018624"/>
      </c:barChart>
      <c:catAx>
        <c:axId val="1559005184"/>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559018624"/>
        <c:crosses val="autoZero"/>
        <c:auto val="1"/>
        <c:lblAlgn val="ctr"/>
        <c:lblOffset val="100"/>
        <c:noMultiLvlLbl val="0"/>
      </c:catAx>
      <c:valAx>
        <c:axId val="1559018624"/>
        <c:scaling>
          <c:orientation val="minMax"/>
        </c:scaling>
        <c:delete val="0"/>
        <c:axPos val="b"/>
        <c:numFmt formatCode="[$₹-4009]\ #,##0.0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559005184"/>
        <c:crosses val="autoZero"/>
        <c:crossBetween val="between"/>
        <c:majorUnit val="1500000"/>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solidFill>
        <a:srgbClr val="0070C0"/>
      </a:solidFill>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'Portfolio Tracker '!$C$118</c:f>
          <c:strCache>
            <c:ptCount val="1"/>
            <c:pt idx="0">
              <c:v>IDFC Limited (XNSE:IDFC)</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Analysis!$F$165</c:f>
              <c:strCache>
                <c:ptCount val="1"/>
                <c:pt idx="0">
                  <c:v>Volume</c:v>
                </c:pt>
              </c:strCache>
            </c:strRef>
          </c:tx>
          <c:spPr>
            <a:solidFill>
              <a:schemeClr val="accent1"/>
            </a:solidFill>
            <a:ln w="19050">
              <a:noFill/>
            </a:ln>
            <a:effectLst/>
          </c:spPr>
          <c:invertIfNegative val="0"/>
          <c:cat>
            <c:numRef>
              <c:f>Analysis!$E$166:$E$184</c:f>
              <c:numCache>
                <c:formatCode>m/d/yyyy</c:formatCode>
                <c:ptCount val="19"/>
                <c:pt idx="0">
                  <c:v>45383</c:v>
                </c:pt>
                <c:pt idx="1">
                  <c:v>45384</c:v>
                </c:pt>
                <c:pt idx="2">
                  <c:v>45385</c:v>
                </c:pt>
                <c:pt idx="3">
                  <c:v>45386</c:v>
                </c:pt>
                <c:pt idx="4">
                  <c:v>45387</c:v>
                </c:pt>
                <c:pt idx="5">
                  <c:v>45390</c:v>
                </c:pt>
                <c:pt idx="6">
                  <c:v>45391</c:v>
                </c:pt>
                <c:pt idx="7">
                  <c:v>45392</c:v>
                </c:pt>
                <c:pt idx="8">
                  <c:v>45394</c:v>
                </c:pt>
                <c:pt idx="9">
                  <c:v>45397</c:v>
                </c:pt>
                <c:pt idx="10">
                  <c:v>45398</c:v>
                </c:pt>
                <c:pt idx="11">
                  <c:v>45400</c:v>
                </c:pt>
                <c:pt idx="12">
                  <c:v>45401</c:v>
                </c:pt>
                <c:pt idx="13">
                  <c:v>45404</c:v>
                </c:pt>
                <c:pt idx="14">
                  <c:v>45405</c:v>
                </c:pt>
                <c:pt idx="15">
                  <c:v>45406</c:v>
                </c:pt>
                <c:pt idx="16">
                  <c:v>45407</c:v>
                </c:pt>
                <c:pt idx="17">
                  <c:v>45408</c:v>
                </c:pt>
                <c:pt idx="18">
                  <c:v>45411</c:v>
                </c:pt>
              </c:numCache>
            </c:numRef>
          </c:cat>
          <c:val>
            <c:numRef>
              <c:f>Analysis!$F$166:$F$184</c:f>
              <c:numCache>
                <c:formatCode>#,##0</c:formatCode>
                <c:ptCount val="19"/>
                <c:pt idx="0">
                  <c:v>7682597</c:v>
                </c:pt>
                <c:pt idx="1">
                  <c:v>5620387</c:v>
                </c:pt>
                <c:pt idx="2">
                  <c:v>2923769</c:v>
                </c:pt>
                <c:pt idx="3">
                  <c:v>4017310</c:v>
                </c:pt>
                <c:pt idx="4">
                  <c:v>3509083</c:v>
                </c:pt>
                <c:pt idx="5">
                  <c:v>11248342</c:v>
                </c:pt>
                <c:pt idx="6">
                  <c:v>4225726</c:v>
                </c:pt>
                <c:pt idx="7">
                  <c:v>10167428</c:v>
                </c:pt>
                <c:pt idx="8">
                  <c:v>5909245</c:v>
                </c:pt>
                <c:pt idx="9">
                  <c:v>5154055</c:v>
                </c:pt>
                <c:pt idx="10">
                  <c:v>3760380</c:v>
                </c:pt>
                <c:pt idx="11">
                  <c:v>5246681</c:v>
                </c:pt>
                <c:pt idx="12">
                  <c:v>5396738</c:v>
                </c:pt>
                <c:pt idx="13">
                  <c:v>3861316</c:v>
                </c:pt>
                <c:pt idx="14">
                  <c:v>4222729</c:v>
                </c:pt>
                <c:pt idx="15">
                  <c:v>2622393</c:v>
                </c:pt>
                <c:pt idx="16">
                  <c:v>3124993</c:v>
                </c:pt>
                <c:pt idx="17">
                  <c:v>12870973</c:v>
                </c:pt>
                <c:pt idx="18">
                  <c:v>17493125</c:v>
                </c:pt>
              </c:numCache>
            </c:numRef>
          </c:val>
          <c:extLst>
            <c:ext xmlns:c16="http://schemas.microsoft.com/office/drawing/2014/chart" uri="{C3380CC4-5D6E-409C-BE32-E72D297353CC}">
              <c16:uniqueId val="{00000000-F055-4638-8C8C-A008667F867D}"/>
            </c:ext>
          </c:extLst>
        </c:ser>
        <c:dLbls>
          <c:showLegendKey val="0"/>
          <c:showVal val="0"/>
          <c:showCatName val="0"/>
          <c:showSerName val="0"/>
          <c:showPercent val="0"/>
          <c:showBubbleSize val="0"/>
        </c:dLbls>
        <c:gapWidth val="150"/>
        <c:axId val="570704272"/>
        <c:axId val="570693712"/>
      </c:barChart>
      <c:stockChart>
        <c:ser>
          <c:idx val="1"/>
          <c:order val="1"/>
          <c:tx>
            <c:strRef>
              <c:f>Analysis!$G$165</c:f>
              <c:strCache>
                <c:ptCount val="1"/>
                <c:pt idx="0">
                  <c:v>Open</c:v>
                </c:pt>
              </c:strCache>
            </c:strRef>
          </c:tx>
          <c:spPr>
            <a:ln w="19050" cap="rnd">
              <a:noFill/>
              <a:round/>
            </a:ln>
            <a:effectLst/>
          </c:spPr>
          <c:marker>
            <c:symbol val="none"/>
          </c:marker>
          <c:cat>
            <c:numRef>
              <c:f>Analysis!$E$166:$E$184</c:f>
              <c:numCache>
                <c:formatCode>m/d/yyyy</c:formatCode>
                <c:ptCount val="19"/>
                <c:pt idx="0">
                  <c:v>45383</c:v>
                </c:pt>
                <c:pt idx="1">
                  <c:v>45384</c:v>
                </c:pt>
                <c:pt idx="2">
                  <c:v>45385</c:v>
                </c:pt>
                <c:pt idx="3">
                  <c:v>45386</c:v>
                </c:pt>
                <c:pt idx="4">
                  <c:v>45387</c:v>
                </c:pt>
                <c:pt idx="5">
                  <c:v>45390</c:v>
                </c:pt>
                <c:pt idx="6">
                  <c:v>45391</c:v>
                </c:pt>
                <c:pt idx="7">
                  <c:v>45392</c:v>
                </c:pt>
                <c:pt idx="8">
                  <c:v>45394</c:v>
                </c:pt>
                <c:pt idx="9">
                  <c:v>45397</c:v>
                </c:pt>
                <c:pt idx="10">
                  <c:v>45398</c:v>
                </c:pt>
                <c:pt idx="11">
                  <c:v>45400</c:v>
                </c:pt>
                <c:pt idx="12">
                  <c:v>45401</c:v>
                </c:pt>
                <c:pt idx="13">
                  <c:v>45404</c:v>
                </c:pt>
                <c:pt idx="14">
                  <c:v>45405</c:v>
                </c:pt>
                <c:pt idx="15">
                  <c:v>45406</c:v>
                </c:pt>
                <c:pt idx="16">
                  <c:v>45407</c:v>
                </c:pt>
                <c:pt idx="17">
                  <c:v>45408</c:v>
                </c:pt>
                <c:pt idx="18">
                  <c:v>45411</c:v>
                </c:pt>
              </c:numCache>
            </c:numRef>
          </c:cat>
          <c:val>
            <c:numRef>
              <c:f>Analysis!$G$166:$G$184</c:f>
              <c:numCache>
                <c:formatCode>_ [$₹-44D]\ * #,##0.00_ ;_ [$₹-44D]\ * \-#,##0.00_ ;_ [$₹-44D]\ * "-"??_ ;_ @_ </c:formatCode>
                <c:ptCount val="19"/>
                <c:pt idx="0">
                  <c:v>111.9</c:v>
                </c:pt>
                <c:pt idx="1">
                  <c:v>113.3</c:v>
                </c:pt>
                <c:pt idx="2">
                  <c:v>115.2</c:v>
                </c:pt>
                <c:pt idx="3">
                  <c:v>116.45</c:v>
                </c:pt>
                <c:pt idx="4">
                  <c:v>116</c:v>
                </c:pt>
                <c:pt idx="5">
                  <c:v>119</c:v>
                </c:pt>
                <c:pt idx="6">
                  <c:v>121.6</c:v>
                </c:pt>
                <c:pt idx="7">
                  <c:v>121.1</c:v>
                </c:pt>
                <c:pt idx="8">
                  <c:v>124.5</c:v>
                </c:pt>
                <c:pt idx="9">
                  <c:v>122.9</c:v>
                </c:pt>
                <c:pt idx="10">
                  <c:v>121.45</c:v>
                </c:pt>
                <c:pt idx="11">
                  <c:v>122.85</c:v>
                </c:pt>
                <c:pt idx="12">
                  <c:v>121.35</c:v>
                </c:pt>
                <c:pt idx="13">
                  <c:v>123.5</c:v>
                </c:pt>
                <c:pt idx="14">
                  <c:v>124.75</c:v>
                </c:pt>
                <c:pt idx="15">
                  <c:v>125.55</c:v>
                </c:pt>
                <c:pt idx="16">
                  <c:v>123.9</c:v>
                </c:pt>
                <c:pt idx="17">
                  <c:v>124.9</c:v>
                </c:pt>
                <c:pt idx="18">
                  <c:v>123</c:v>
                </c:pt>
              </c:numCache>
            </c:numRef>
          </c:val>
          <c:smooth val="0"/>
          <c:extLst>
            <c:ext xmlns:c16="http://schemas.microsoft.com/office/drawing/2014/chart" uri="{C3380CC4-5D6E-409C-BE32-E72D297353CC}">
              <c16:uniqueId val="{00000001-F055-4638-8C8C-A008667F867D}"/>
            </c:ext>
          </c:extLst>
        </c:ser>
        <c:ser>
          <c:idx val="2"/>
          <c:order val="2"/>
          <c:tx>
            <c:strRef>
              <c:f>Analysis!$H$165</c:f>
              <c:strCache>
                <c:ptCount val="1"/>
                <c:pt idx="0">
                  <c:v>High</c:v>
                </c:pt>
              </c:strCache>
            </c:strRef>
          </c:tx>
          <c:spPr>
            <a:ln w="19050" cap="rnd">
              <a:noFill/>
              <a:round/>
            </a:ln>
            <a:effectLst/>
          </c:spPr>
          <c:marker>
            <c:symbol val="none"/>
          </c:marker>
          <c:cat>
            <c:numRef>
              <c:f>Analysis!$E$166:$E$184</c:f>
              <c:numCache>
                <c:formatCode>m/d/yyyy</c:formatCode>
                <c:ptCount val="19"/>
                <c:pt idx="0">
                  <c:v>45383</c:v>
                </c:pt>
                <c:pt idx="1">
                  <c:v>45384</c:v>
                </c:pt>
                <c:pt idx="2">
                  <c:v>45385</c:v>
                </c:pt>
                <c:pt idx="3">
                  <c:v>45386</c:v>
                </c:pt>
                <c:pt idx="4">
                  <c:v>45387</c:v>
                </c:pt>
                <c:pt idx="5">
                  <c:v>45390</c:v>
                </c:pt>
                <c:pt idx="6">
                  <c:v>45391</c:v>
                </c:pt>
                <c:pt idx="7">
                  <c:v>45392</c:v>
                </c:pt>
                <c:pt idx="8">
                  <c:v>45394</c:v>
                </c:pt>
                <c:pt idx="9">
                  <c:v>45397</c:v>
                </c:pt>
                <c:pt idx="10">
                  <c:v>45398</c:v>
                </c:pt>
                <c:pt idx="11">
                  <c:v>45400</c:v>
                </c:pt>
                <c:pt idx="12">
                  <c:v>45401</c:v>
                </c:pt>
                <c:pt idx="13">
                  <c:v>45404</c:v>
                </c:pt>
                <c:pt idx="14">
                  <c:v>45405</c:v>
                </c:pt>
                <c:pt idx="15">
                  <c:v>45406</c:v>
                </c:pt>
                <c:pt idx="16">
                  <c:v>45407</c:v>
                </c:pt>
                <c:pt idx="17">
                  <c:v>45408</c:v>
                </c:pt>
                <c:pt idx="18">
                  <c:v>45411</c:v>
                </c:pt>
              </c:numCache>
            </c:numRef>
          </c:cat>
          <c:val>
            <c:numRef>
              <c:f>Analysis!$H$166:$H$184</c:f>
              <c:numCache>
                <c:formatCode>_ [$₹-44D]\ * #,##0.00_ ;_ [$₹-44D]\ * \-#,##0.00_ ;_ [$₹-44D]\ * "-"??_ ;_ @_ </c:formatCode>
                <c:ptCount val="19"/>
                <c:pt idx="0">
                  <c:v>113.45</c:v>
                </c:pt>
                <c:pt idx="1">
                  <c:v>115.65</c:v>
                </c:pt>
                <c:pt idx="2">
                  <c:v>115.2</c:v>
                </c:pt>
                <c:pt idx="3">
                  <c:v>116.45</c:v>
                </c:pt>
                <c:pt idx="4">
                  <c:v>117.85</c:v>
                </c:pt>
                <c:pt idx="5">
                  <c:v>121.95</c:v>
                </c:pt>
                <c:pt idx="6">
                  <c:v>121.85</c:v>
                </c:pt>
                <c:pt idx="7">
                  <c:v>124.9</c:v>
                </c:pt>
                <c:pt idx="8">
                  <c:v>125.5</c:v>
                </c:pt>
                <c:pt idx="9">
                  <c:v>123.4</c:v>
                </c:pt>
                <c:pt idx="10">
                  <c:v>123.5</c:v>
                </c:pt>
                <c:pt idx="11">
                  <c:v>125.2</c:v>
                </c:pt>
                <c:pt idx="12">
                  <c:v>123.6</c:v>
                </c:pt>
                <c:pt idx="13">
                  <c:v>124.5</c:v>
                </c:pt>
                <c:pt idx="14">
                  <c:v>125.45</c:v>
                </c:pt>
                <c:pt idx="15">
                  <c:v>125.55</c:v>
                </c:pt>
                <c:pt idx="16">
                  <c:v>124.75</c:v>
                </c:pt>
                <c:pt idx="17">
                  <c:v>128.69999999999999</c:v>
                </c:pt>
                <c:pt idx="18">
                  <c:v>123</c:v>
                </c:pt>
              </c:numCache>
            </c:numRef>
          </c:val>
          <c:smooth val="0"/>
          <c:extLst>
            <c:ext xmlns:c16="http://schemas.microsoft.com/office/drawing/2014/chart" uri="{C3380CC4-5D6E-409C-BE32-E72D297353CC}">
              <c16:uniqueId val="{00000002-F055-4638-8C8C-A008667F867D}"/>
            </c:ext>
          </c:extLst>
        </c:ser>
        <c:ser>
          <c:idx val="3"/>
          <c:order val="3"/>
          <c:tx>
            <c:strRef>
              <c:f>Analysis!$I$165</c:f>
              <c:strCache>
                <c:ptCount val="1"/>
                <c:pt idx="0">
                  <c:v>Low</c:v>
                </c:pt>
              </c:strCache>
            </c:strRef>
          </c:tx>
          <c:spPr>
            <a:ln w="19050" cap="rnd">
              <a:noFill/>
              <a:round/>
            </a:ln>
            <a:effectLst/>
          </c:spPr>
          <c:marker>
            <c:symbol val="none"/>
          </c:marker>
          <c:cat>
            <c:numRef>
              <c:f>Analysis!$E$166:$E$184</c:f>
              <c:numCache>
                <c:formatCode>m/d/yyyy</c:formatCode>
                <c:ptCount val="19"/>
                <c:pt idx="0">
                  <c:v>45383</c:v>
                </c:pt>
                <c:pt idx="1">
                  <c:v>45384</c:v>
                </c:pt>
                <c:pt idx="2">
                  <c:v>45385</c:v>
                </c:pt>
                <c:pt idx="3">
                  <c:v>45386</c:v>
                </c:pt>
                <c:pt idx="4">
                  <c:v>45387</c:v>
                </c:pt>
                <c:pt idx="5">
                  <c:v>45390</c:v>
                </c:pt>
                <c:pt idx="6">
                  <c:v>45391</c:v>
                </c:pt>
                <c:pt idx="7">
                  <c:v>45392</c:v>
                </c:pt>
                <c:pt idx="8">
                  <c:v>45394</c:v>
                </c:pt>
                <c:pt idx="9">
                  <c:v>45397</c:v>
                </c:pt>
                <c:pt idx="10">
                  <c:v>45398</c:v>
                </c:pt>
                <c:pt idx="11">
                  <c:v>45400</c:v>
                </c:pt>
                <c:pt idx="12">
                  <c:v>45401</c:v>
                </c:pt>
                <c:pt idx="13">
                  <c:v>45404</c:v>
                </c:pt>
                <c:pt idx="14">
                  <c:v>45405</c:v>
                </c:pt>
                <c:pt idx="15">
                  <c:v>45406</c:v>
                </c:pt>
                <c:pt idx="16">
                  <c:v>45407</c:v>
                </c:pt>
                <c:pt idx="17">
                  <c:v>45408</c:v>
                </c:pt>
                <c:pt idx="18">
                  <c:v>45411</c:v>
                </c:pt>
              </c:numCache>
            </c:numRef>
          </c:cat>
          <c:val>
            <c:numRef>
              <c:f>Analysis!$I$166:$I$184</c:f>
              <c:numCache>
                <c:formatCode>_ [$₹-44D]\ * #,##0.00_ ;_ [$₹-44D]\ * \-#,##0.00_ ;_ [$₹-44D]\ * "-"??_ ;_ @_ </c:formatCode>
                <c:ptCount val="19"/>
                <c:pt idx="0">
                  <c:v>111.55</c:v>
                </c:pt>
                <c:pt idx="1">
                  <c:v>112.65</c:v>
                </c:pt>
                <c:pt idx="2">
                  <c:v>114</c:v>
                </c:pt>
                <c:pt idx="3">
                  <c:v>114.8</c:v>
                </c:pt>
                <c:pt idx="4">
                  <c:v>115</c:v>
                </c:pt>
                <c:pt idx="5">
                  <c:v>118.65</c:v>
                </c:pt>
                <c:pt idx="6">
                  <c:v>119.85</c:v>
                </c:pt>
                <c:pt idx="7">
                  <c:v>120.6</c:v>
                </c:pt>
                <c:pt idx="8">
                  <c:v>123.3</c:v>
                </c:pt>
                <c:pt idx="9">
                  <c:v>119.8</c:v>
                </c:pt>
                <c:pt idx="10">
                  <c:v>120.95</c:v>
                </c:pt>
                <c:pt idx="11">
                  <c:v>121.4</c:v>
                </c:pt>
                <c:pt idx="12">
                  <c:v>119.45</c:v>
                </c:pt>
                <c:pt idx="13">
                  <c:v>122.95</c:v>
                </c:pt>
                <c:pt idx="14">
                  <c:v>124.1</c:v>
                </c:pt>
                <c:pt idx="15">
                  <c:v>123.85</c:v>
                </c:pt>
                <c:pt idx="16">
                  <c:v>123.55</c:v>
                </c:pt>
                <c:pt idx="17">
                  <c:v>124.55</c:v>
                </c:pt>
                <c:pt idx="18">
                  <c:v>119</c:v>
                </c:pt>
              </c:numCache>
            </c:numRef>
          </c:val>
          <c:smooth val="0"/>
          <c:extLst>
            <c:ext xmlns:c16="http://schemas.microsoft.com/office/drawing/2014/chart" uri="{C3380CC4-5D6E-409C-BE32-E72D297353CC}">
              <c16:uniqueId val="{00000003-F055-4638-8C8C-A008667F867D}"/>
            </c:ext>
          </c:extLst>
        </c:ser>
        <c:ser>
          <c:idx val="4"/>
          <c:order val="4"/>
          <c:tx>
            <c:strRef>
              <c:f>Analysis!$J$165</c:f>
              <c:strCache>
                <c:ptCount val="1"/>
                <c:pt idx="0">
                  <c:v>Close</c:v>
                </c:pt>
              </c:strCache>
            </c:strRef>
          </c:tx>
          <c:spPr>
            <a:ln w="19050" cap="rnd">
              <a:noFill/>
              <a:round/>
            </a:ln>
            <a:effectLst/>
          </c:spPr>
          <c:marker>
            <c:symbol val="none"/>
          </c:marker>
          <c:cat>
            <c:numRef>
              <c:f>Analysis!$E$166:$E$184</c:f>
              <c:numCache>
                <c:formatCode>m/d/yyyy</c:formatCode>
                <c:ptCount val="19"/>
                <c:pt idx="0">
                  <c:v>45383</c:v>
                </c:pt>
                <c:pt idx="1">
                  <c:v>45384</c:v>
                </c:pt>
                <c:pt idx="2">
                  <c:v>45385</c:v>
                </c:pt>
                <c:pt idx="3">
                  <c:v>45386</c:v>
                </c:pt>
                <c:pt idx="4">
                  <c:v>45387</c:v>
                </c:pt>
                <c:pt idx="5">
                  <c:v>45390</c:v>
                </c:pt>
                <c:pt idx="6">
                  <c:v>45391</c:v>
                </c:pt>
                <c:pt idx="7">
                  <c:v>45392</c:v>
                </c:pt>
                <c:pt idx="8">
                  <c:v>45394</c:v>
                </c:pt>
                <c:pt idx="9">
                  <c:v>45397</c:v>
                </c:pt>
                <c:pt idx="10">
                  <c:v>45398</c:v>
                </c:pt>
                <c:pt idx="11">
                  <c:v>45400</c:v>
                </c:pt>
                <c:pt idx="12">
                  <c:v>45401</c:v>
                </c:pt>
                <c:pt idx="13">
                  <c:v>45404</c:v>
                </c:pt>
                <c:pt idx="14">
                  <c:v>45405</c:v>
                </c:pt>
                <c:pt idx="15">
                  <c:v>45406</c:v>
                </c:pt>
                <c:pt idx="16">
                  <c:v>45407</c:v>
                </c:pt>
                <c:pt idx="17">
                  <c:v>45408</c:v>
                </c:pt>
                <c:pt idx="18">
                  <c:v>45411</c:v>
                </c:pt>
              </c:numCache>
            </c:numRef>
          </c:cat>
          <c:val>
            <c:numRef>
              <c:f>Analysis!$J$166:$J$184</c:f>
              <c:numCache>
                <c:formatCode>_ [$₹-44D]\ * #,##0.00_ ;_ [$₹-44D]\ * \-#,##0.00_ ;_ [$₹-44D]\ * "-"??_ ;_ @_ </c:formatCode>
                <c:ptCount val="19"/>
                <c:pt idx="0">
                  <c:v>113.2</c:v>
                </c:pt>
                <c:pt idx="1">
                  <c:v>115.2</c:v>
                </c:pt>
                <c:pt idx="2">
                  <c:v>114.9</c:v>
                </c:pt>
                <c:pt idx="3">
                  <c:v>116</c:v>
                </c:pt>
                <c:pt idx="4">
                  <c:v>117.5</c:v>
                </c:pt>
                <c:pt idx="5">
                  <c:v>121.45</c:v>
                </c:pt>
                <c:pt idx="6">
                  <c:v>120.7</c:v>
                </c:pt>
                <c:pt idx="7">
                  <c:v>124.55</c:v>
                </c:pt>
                <c:pt idx="8">
                  <c:v>123.55</c:v>
                </c:pt>
                <c:pt idx="9">
                  <c:v>121.95</c:v>
                </c:pt>
                <c:pt idx="10">
                  <c:v>122.35</c:v>
                </c:pt>
                <c:pt idx="11">
                  <c:v>121.95</c:v>
                </c:pt>
                <c:pt idx="12">
                  <c:v>122.85</c:v>
                </c:pt>
                <c:pt idx="13">
                  <c:v>123.85</c:v>
                </c:pt>
                <c:pt idx="14">
                  <c:v>124.95</c:v>
                </c:pt>
                <c:pt idx="15">
                  <c:v>124.2</c:v>
                </c:pt>
                <c:pt idx="16">
                  <c:v>124.35</c:v>
                </c:pt>
                <c:pt idx="17">
                  <c:v>127.25</c:v>
                </c:pt>
                <c:pt idx="18">
                  <c:v>121.65</c:v>
                </c:pt>
              </c:numCache>
            </c:numRef>
          </c:val>
          <c:smooth val="0"/>
          <c:extLst>
            <c:ext xmlns:c16="http://schemas.microsoft.com/office/drawing/2014/chart" uri="{C3380CC4-5D6E-409C-BE32-E72D297353CC}">
              <c16:uniqueId val="{00000004-F055-4638-8C8C-A008667F867D}"/>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570708112"/>
        <c:axId val="570702352"/>
      </c:stockChart>
      <c:dateAx>
        <c:axId val="570704272"/>
        <c:scaling>
          <c:orientation val="minMax"/>
        </c:scaling>
        <c:delete val="0"/>
        <c:axPos val="b"/>
        <c:numFmt formatCode="d/m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693712"/>
        <c:crosses val="autoZero"/>
        <c:auto val="1"/>
        <c:lblOffset val="100"/>
        <c:baseTimeUnit val="days"/>
      </c:dateAx>
      <c:valAx>
        <c:axId val="570693712"/>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04272"/>
        <c:crosses val="autoZero"/>
        <c:crossBetween val="between"/>
      </c:valAx>
      <c:valAx>
        <c:axId val="570702352"/>
        <c:scaling>
          <c:orientation val="minMax"/>
        </c:scaling>
        <c:delete val="0"/>
        <c:axPos val="r"/>
        <c:majorGridlines>
          <c:spPr>
            <a:ln w="9525" cap="flat" cmpd="sng" algn="ctr">
              <a:solidFill>
                <a:schemeClr val="tx1">
                  <a:lumMod val="15000"/>
                  <a:lumOff val="85000"/>
                </a:schemeClr>
              </a:solidFill>
              <a:round/>
            </a:ln>
            <a:effectLst/>
          </c:spPr>
        </c:majorGridlines>
        <c:numFmt formatCode="_ [$₹-44D]\ * #,##0.00_ ;_ [$₹-44D]\ * \-#,##0.00_ ;_ [$₹-44D]\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08112"/>
        <c:crosses val="max"/>
        <c:crossBetween val="between"/>
      </c:valAx>
      <c:dateAx>
        <c:axId val="570708112"/>
        <c:scaling>
          <c:orientation val="minMax"/>
        </c:scaling>
        <c:delete val="1"/>
        <c:axPos val="b"/>
        <c:numFmt formatCode="m/d/yyyy" sourceLinked="1"/>
        <c:majorTickMark val="out"/>
        <c:minorTickMark val="none"/>
        <c:tickLblPos val="nextTo"/>
        <c:crossAx val="570702352"/>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Close</a:t>
            </a:r>
            <a:r>
              <a:rPr lang="en-US" baseline="0"/>
              <a:t> Last 12 Months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val>
            <c:numRef>
              <c:f>Analysis!$E$163:$IR$163</c:f>
              <c:numCache>
                <c:formatCode>_ [$₹-44D]\ * #,##0.00_ ;_ [$₹-44D]\ * \-#,##0.00_ ;_ [$₹-44D]\ * "-"??_ ;_ @_ </c:formatCode>
                <c:ptCount val="248"/>
                <c:pt idx="0">
                  <c:v>90.65</c:v>
                </c:pt>
                <c:pt idx="1">
                  <c:v>91.15</c:v>
                </c:pt>
                <c:pt idx="2">
                  <c:v>89.9</c:v>
                </c:pt>
                <c:pt idx="3">
                  <c:v>89.4</c:v>
                </c:pt>
                <c:pt idx="4">
                  <c:v>90.35</c:v>
                </c:pt>
                <c:pt idx="5">
                  <c:v>90.2</c:v>
                </c:pt>
                <c:pt idx="6">
                  <c:v>89.55</c:v>
                </c:pt>
                <c:pt idx="7">
                  <c:v>89.85</c:v>
                </c:pt>
                <c:pt idx="8">
                  <c:v>89.65</c:v>
                </c:pt>
                <c:pt idx="9">
                  <c:v>92.05</c:v>
                </c:pt>
                <c:pt idx="10">
                  <c:v>91.6</c:v>
                </c:pt>
                <c:pt idx="11">
                  <c:v>91.2</c:v>
                </c:pt>
                <c:pt idx="12">
                  <c:v>90.85</c:v>
                </c:pt>
                <c:pt idx="13">
                  <c:v>90.55</c:v>
                </c:pt>
                <c:pt idx="14">
                  <c:v>90.8</c:v>
                </c:pt>
                <c:pt idx="15">
                  <c:v>91.4</c:v>
                </c:pt>
                <c:pt idx="16">
                  <c:v>91.45</c:v>
                </c:pt>
                <c:pt idx="17">
                  <c:v>94.45</c:v>
                </c:pt>
                <c:pt idx="18">
                  <c:v>95.1</c:v>
                </c:pt>
                <c:pt idx="19">
                  <c:v>96.5</c:v>
                </c:pt>
                <c:pt idx="20">
                  <c:v>99.15</c:v>
                </c:pt>
                <c:pt idx="21">
                  <c:v>99.2</c:v>
                </c:pt>
                <c:pt idx="22">
                  <c:v>99.4</c:v>
                </c:pt>
                <c:pt idx="23">
                  <c:v>98.9</c:v>
                </c:pt>
                <c:pt idx="24">
                  <c:v>100</c:v>
                </c:pt>
                <c:pt idx="25">
                  <c:v>102</c:v>
                </c:pt>
                <c:pt idx="26">
                  <c:v>102.55</c:v>
                </c:pt>
                <c:pt idx="27">
                  <c:v>101</c:v>
                </c:pt>
                <c:pt idx="28">
                  <c:v>101.35</c:v>
                </c:pt>
                <c:pt idx="29">
                  <c:v>102.55</c:v>
                </c:pt>
                <c:pt idx="30">
                  <c:v>104.8</c:v>
                </c:pt>
                <c:pt idx="31">
                  <c:v>103.5</c:v>
                </c:pt>
                <c:pt idx="32">
                  <c:v>105.6</c:v>
                </c:pt>
                <c:pt idx="33">
                  <c:v>108.3</c:v>
                </c:pt>
                <c:pt idx="34">
                  <c:v>106.9</c:v>
                </c:pt>
                <c:pt idx="35">
                  <c:v>105.5</c:v>
                </c:pt>
                <c:pt idx="36">
                  <c:v>102.8</c:v>
                </c:pt>
                <c:pt idx="37">
                  <c:v>99.9</c:v>
                </c:pt>
                <c:pt idx="38">
                  <c:v>98.3</c:v>
                </c:pt>
                <c:pt idx="39">
                  <c:v>100</c:v>
                </c:pt>
                <c:pt idx="40">
                  <c:v>102.1</c:v>
                </c:pt>
                <c:pt idx="41">
                  <c:v>102.3</c:v>
                </c:pt>
                <c:pt idx="42">
                  <c:v>102.7</c:v>
                </c:pt>
                <c:pt idx="43">
                  <c:v>109.2</c:v>
                </c:pt>
                <c:pt idx="44">
                  <c:v>111.2</c:v>
                </c:pt>
                <c:pt idx="45">
                  <c:v>114.3</c:v>
                </c:pt>
                <c:pt idx="46">
                  <c:v>113.7</c:v>
                </c:pt>
                <c:pt idx="47">
                  <c:v>111.35</c:v>
                </c:pt>
                <c:pt idx="48">
                  <c:v>110.3</c:v>
                </c:pt>
                <c:pt idx="49">
                  <c:v>114.8</c:v>
                </c:pt>
                <c:pt idx="50">
                  <c:v>115.05</c:v>
                </c:pt>
                <c:pt idx="51">
                  <c:v>112.6</c:v>
                </c:pt>
                <c:pt idx="52">
                  <c:v>113.85</c:v>
                </c:pt>
                <c:pt idx="53">
                  <c:v>112.45</c:v>
                </c:pt>
                <c:pt idx="54">
                  <c:v>111.15</c:v>
                </c:pt>
                <c:pt idx="55">
                  <c:v>112.35</c:v>
                </c:pt>
                <c:pt idx="56">
                  <c:v>112.1</c:v>
                </c:pt>
                <c:pt idx="57">
                  <c:v>113.35</c:v>
                </c:pt>
                <c:pt idx="58">
                  <c:v>113.75</c:v>
                </c:pt>
                <c:pt idx="59">
                  <c:v>113.95</c:v>
                </c:pt>
                <c:pt idx="60">
                  <c:v>116.2</c:v>
                </c:pt>
                <c:pt idx="61">
                  <c:v>113.55</c:v>
                </c:pt>
                <c:pt idx="62">
                  <c:v>115.6</c:v>
                </c:pt>
                <c:pt idx="63">
                  <c:v>118.75</c:v>
                </c:pt>
                <c:pt idx="64">
                  <c:v>120.2</c:v>
                </c:pt>
                <c:pt idx="65">
                  <c:v>117.85</c:v>
                </c:pt>
                <c:pt idx="66">
                  <c:v>118.4</c:v>
                </c:pt>
                <c:pt idx="67">
                  <c:v>118.6</c:v>
                </c:pt>
                <c:pt idx="68">
                  <c:v>119.45</c:v>
                </c:pt>
                <c:pt idx="69">
                  <c:v>118.85</c:v>
                </c:pt>
                <c:pt idx="70">
                  <c:v>119.35</c:v>
                </c:pt>
                <c:pt idx="71">
                  <c:v>118.35</c:v>
                </c:pt>
                <c:pt idx="72">
                  <c:v>118.25</c:v>
                </c:pt>
                <c:pt idx="73">
                  <c:v>118.55</c:v>
                </c:pt>
                <c:pt idx="74">
                  <c:v>119.05</c:v>
                </c:pt>
                <c:pt idx="75">
                  <c:v>119.15</c:v>
                </c:pt>
                <c:pt idx="76">
                  <c:v>119.15</c:v>
                </c:pt>
                <c:pt idx="77">
                  <c:v>121.3</c:v>
                </c:pt>
                <c:pt idx="78">
                  <c:v>123.1</c:v>
                </c:pt>
                <c:pt idx="79">
                  <c:v>124.4</c:v>
                </c:pt>
                <c:pt idx="80">
                  <c:v>122.6</c:v>
                </c:pt>
                <c:pt idx="81">
                  <c:v>121.05</c:v>
                </c:pt>
                <c:pt idx="82">
                  <c:v>120.9</c:v>
                </c:pt>
                <c:pt idx="83">
                  <c:v>120.2</c:v>
                </c:pt>
                <c:pt idx="84">
                  <c:v>122.4</c:v>
                </c:pt>
                <c:pt idx="85">
                  <c:v>121.75</c:v>
                </c:pt>
                <c:pt idx="86">
                  <c:v>123.5</c:v>
                </c:pt>
                <c:pt idx="87">
                  <c:v>129.25</c:v>
                </c:pt>
                <c:pt idx="88">
                  <c:v>128.05000000000001</c:v>
                </c:pt>
                <c:pt idx="89">
                  <c:v>127.2</c:v>
                </c:pt>
                <c:pt idx="90">
                  <c:v>128.1</c:v>
                </c:pt>
                <c:pt idx="91">
                  <c:v>129.1</c:v>
                </c:pt>
                <c:pt idx="92">
                  <c:v>129.55000000000001</c:v>
                </c:pt>
                <c:pt idx="93">
                  <c:v>124.55</c:v>
                </c:pt>
                <c:pt idx="94">
                  <c:v>124.4</c:v>
                </c:pt>
                <c:pt idx="95">
                  <c:v>125.55</c:v>
                </c:pt>
                <c:pt idx="96">
                  <c:v>126.45</c:v>
                </c:pt>
                <c:pt idx="97">
                  <c:v>125.85</c:v>
                </c:pt>
                <c:pt idx="98">
                  <c:v>127.35</c:v>
                </c:pt>
                <c:pt idx="99">
                  <c:v>126.8</c:v>
                </c:pt>
                <c:pt idx="100">
                  <c:v>125.7</c:v>
                </c:pt>
                <c:pt idx="101">
                  <c:v>127.15</c:v>
                </c:pt>
                <c:pt idx="102">
                  <c:v>128.44999999999999</c:v>
                </c:pt>
                <c:pt idx="103">
                  <c:v>130.69999999999999</c:v>
                </c:pt>
                <c:pt idx="104">
                  <c:v>127.15</c:v>
                </c:pt>
                <c:pt idx="105">
                  <c:v>128.85</c:v>
                </c:pt>
                <c:pt idx="106">
                  <c:v>127.9</c:v>
                </c:pt>
                <c:pt idx="107">
                  <c:v>124.05</c:v>
                </c:pt>
                <c:pt idx="108">
                  <c:v>123.7</c:v>
                </c:pt>
                <c:pt idx="109">
                  <c:v>124.4</c:v>
                </c:pt>
                <c:pt idx="110">
                  <c:v>122.75</c:v>
                </c:pt>
                <c:pt idx="111">
                  <c:v>123.8</c:v>
                </c:pt>
                <c:pt idx="112">
                  <c:v>125.95</c:v>
                </c:pt>
                <c:pt idx="113">
                  <c:v>124.85</c:v>
                </c:pt>
                <c:pt idx="114">
                  <c:v>125.35</c:v>
                </c:pt>
                <c:pt idx="115">
                  <c:v>125.5</c:v>
                </c:pt>
                <c:pt idx="116">
                  <c:v>126.65</c:v>
                </c:pt>
                <c:pt idx="117">
                  <c:v>126.2</c:v>
                </c:pt>
                <c:pt idx="118">
                  <c:v>125.95</c:v>
                </c:pt>
                <c:pt idx="119">
                  <c:v>124.4</c:v>
                </c:pt>
                <c:pt idx="120">
                  <c:v>119.5</c:v>
                </c:pt>
                <c:pt idx="121">
                  <c:v>120.1</c:v>
                </c:pt>
                <c:pt idx="122">
                  <c:v>118.15</c:v>
                </c:pt>
                <c:pt idx="123">
                  <c:v>120.8</c:v>
                </c:pt>
                <c:pt idx="124">
                  <c:v>115</c:v>
                </c:pt>
                <c:pt idx="125">
                  <c:v>114.5</c:v>
                </c:pt>
                <c:pt idx="126">
                  <c:v>112.9</c:v>
                </c:pt>
                <c:pt idx="127">
                  <c:v>113.2</c:v>
                </c:pt>
                <c:pt idx="128">
                  <c:v>113.95</c:v>
                </c:pt>
                <c:pt idx="129">
                  <c:v>115.4</c:v>
                </c:pt>
                <c:pt idx="130">
                  <c:v>115.6</c:v>
                </c:pt>
                <c:pt idx="131">
                  <c:v>115.7</c:v>
                </c:pt>
                <c:pt idx="132">
                  <c:v>116.15</c:v>
                </c:pt>
                <c:pt idx="133">
                  <c:v>117.05</c:v>
                </c:pt>
                <c:pt idx="134">
                  <c:v>118.6</c:v>
                </c:pt>
                <c:pt idx="135">
                  <c:v>118.9</c:v>
                </c:pt>
                <c:pt idx="136">
                  <c:v>120.45</c:v>
                </c:pt>
                <c:pt idx="137">
                  <c:v>122.05</c:v>
                </c:pt>
                <c:pt idx="138">
                  <c:v>118</c:v>
                </c:pt>
                <c:pt idx="139">
                  <c:v>117.5</c:v>
                </c:pt>
                <c:pt idx="140">
                  <c:v>118.2</c:v>
                </c:pt>
                <c:pt idx="141">
                  <c:v>116.15</c:v>
                </c:pt>
                <c:pt idx="142">
                  <c:v>116.95</c:v>
                </c:pt>
                <c:pt idx="143">
                  <c:v>116.35</c:v>
                </c:pt>
                <c:pt idx="144">
                  <c:v>117.55</c:v>
                </c:pt>
                <c:pt idx="145">
                  <c:v>117.85</c:v>
                </c:pt>
                <c:pt idx="146">
                  <c:v>118.45</c:v>
                </c:pt>
                <c:pt idx="147">
                  <c:v>119</c:v>
                </c:pt>
                <c:pt idx="148">
                  <c:v>121.1</c:v>
                </c:pt>
                <c:pt idx="149">
                  <c:v>123.6</c:v>
                </c:pt>
                <c:pt idx="150">
                  <c:v>124.45</c:v>
                </c:pt>
                <c:pt idx="151">
                  <c:v>122.25</c:v>
                </c:pt>
                <c:pt idx="152">
                  <c:v>122.3</c:v>
                </c:pt>
                <c:pt idx="153">
                  <c:v>121.2</c:v>
                </c:pt>
                <c:pt idx="154">
                  <c:v>120.75</c:v>
                </c:pt>
                <c:pt idx="155">
                  <c:v>122.3</c:v>
                </c:pt>
                <c:pt idx="156">
                  <c:v>123.2</c:v>
                </c:pt>
                <c:pt idx="157">
                  <c:v>126.95</c:v>
                </c:pt>
                <c:pt idx="158">
                  <c:v>125.6</c:v>
                </c:pt>
                <c:pt idx="159">
                  <c:v>126.65</c:v>
                </c:pt>
                <c:pt idx="160">
                  <c:v>122</c:v>
                </c:pt>
                <c:pt idx="161">
                  <c:v>123.65</c:v>
                </c:pt>
                <c:pt idx="162">
                  <c:v>124.2</c:v>
                </c:pt>
                <c:pt idx="163">
                  <c:v>124.35</c:v>
                </c:pt>
                <c:pt idx="164">
                  <c:v>125</c:v>
                </c:pt>
                <c:pt idx="165">
                  <c:v>125</c:v>
                </c:pt>
                <c:pt idx="166">
                  <c:v>126.65</c:v>
                </c:pt>
                <c:pt idx="167">
                  <c:v>125.5</c:v>
                </c:pt>
                <c:pt idx="168">
                  <c:v>123.45</c:v>
                </c:pt>
                <c:pt idx="169">
                  <c:v>123.9</c:v>
                </c:pt>
                <c:pt idx="170">
                  <c:v>125.85</c:v>
                </c:pt>
                <c:pt idx="171">
                  <c:v>124.95</c:v>
                </c:pt>
                <c:pt idx="172">
                  <c:v>123.5</c:v>
                </c:pt>
                <c:pt idx="173">
                  <c:v>122.7</c:v>
                </c:pt>
                <c:pt idx="174">
                  <c:v>121</c:v>
                </c:pt>
                <c:pt idx="175">
                  <c:v>124.8</c:v>
                </c:pt>
                <c:pt idx="176">
                  <c:v>124.85</c:v>
                </c:pt>
                <c:pt idx="177">
                  <c:v>125.2</c:v>
                </c:pt>
                <c:pt idx="178">
                  <c:v>127.5</c:v>
                </c:pt>
                <c:pt idx="179">
                  <c:v>123.8</c:v>
                </c:pt>
                <c:pt idx="180">
                  <c:v>123.85</c:v>
                </c:pt>
                <c:pt idx="181">
                  <c:v>122.3</c:v>
                </c:pt>
                <c:pt idx="182">
                  <c:v>124.55</c:v>
                </c:pt>
                <c:pt idx="183">
                  <c:v>115.75</c:v>
                </c:pt>
                <c:pt idx="184">
                  <c:v>115.3</c:v>
                </c:pt>
                <c:pt idx="185">
                  <c:v>116</c:v>
                </c:pt>
                <c:pt idx="186">
                  <c:v>118.15</c:v>
                </c:pt>
                <c:pt idx="187">
                  <c:v>117.05</c:v>
                </c:pt>
                <c:pt idx="188">
                  <c:v>119.45</c:v>
                </c:pt>
                <c:pt idx="189">
                  <c:v>118.6</c:v>
                </c:pt>
                <c:pt idx="190">
                  <c:v>117.75</c:v>
                </c:pt>
                <c:pt idx="191">
                  <c:v>118.6</c:v>
                </c:pt>
                <c:pt idx="192">
                  <c:v>118.15</c:v>
                </c:pt>
                <c:pt idx="193">
                  <c:v>118.6</c:v>
                </c:pt>
                <c:pt idx="194">
                  <c:v>115.85</c:v>
                </c:pt>
                <c:pt idx="195">
                  <c:v>116.6</c:v>
                </c:pt>
                <c:pt idx="196">
                  <c:v>113.2</c:v>
                </c:pt>
                <c:pt idx="197">
                  <c:v>115.2</c:v>
                </c:pt>
                <c:pt idx="198">
                  <c:v>114.95</c:v>
                </c:pt>
                <c:pt idx="199">
                  <c:v>116.05</c:v>
                </c:pt>
                <c:pt idx="200">
                  <c:v>118.4</c:v>
                </c:pt>
                <c:pt idx="201">
                  <c:v>117.1</c:v>
                </c:pt>
                <c:pt idx="202">
                  <c:v>116.6</c:v>
                </c:pt>
                <c:pt idx="203">
                  <c:v>115.9</c:v>
                </c:pt>
                <c:pt idx="204">
                  <c:v>116.65</c:v>
                </c:pt>
                <c:pt idx="205">
                  <c:v>118.8</c:v>
                </c:pt>
                <c:pt idx="206">
                  <c:v>119.35</c:v>
                </c:pt>
                <c:pt idx="207">
                  <c:v>118.7</c:v>
                </c:pt>
                <c:pt idx="208">
                  <c:v>115.45</c:v>
                </c:pt>
                <c:pt idx="209">
                  <c:v>116.45</c:v>
                </c:pt>
                <c:pt idx="210">
                  <c:v>117.55</c:v>
                </c:pt>
                <c:pt idx="211">
                  <c:v>118.1</c:v>
                </c:pt>
                <c:pt idx="212">
                  <c:v>117.6</c:v>
                </c:pt>
                <c:pt idx="213">
                  <c:v>117.55</c:v>
                </c:pt>
                <c:pt idx="214">
                  <c:v>115.9</c:v>
                </c:pt>
                <c:pt idx="215">
                  <c:v>115.4</c:v>
                </c:pt>
                <c:pt idx="216">
                  <c:v>114.2</c:v>
                </c:pt>
                <c:pt idx="217">
                  <c:v>113.05</c:v>
                </c:pt>
                <c:pt idx="218">
                  <c:v>108.9</c:v>
                </c:pt>
                <c:pt idx="219">
                  <c:v>110.6</c:v>
                </c:pt>
                <c:pt idx="220">
                  <c:v>110.75</c:v>
                </c:pt>
                <c:pt idx="221">
                  <c:v>109.4</c:v>
                </c:pt>
                <c:pt idx="222">
                  <c:v>108.45</c:v>
                </c:pt>
                <c:pt idx="223">
                  <c:v>107.8</c:v>
                </c:pt>
                <c:pt idx="224">
                  <c:v>109.6</c:v>
                </c:pt>
                <c:pt idx="225">
                  <c:v>110.4</c:v>
                </c:pt>
                <c:pt idx="226">
                  <c:v>110.15</c:v>
                </c:pt>
                <c:pt idx="227">
                  <c:v>111.25</c:v>
                </c:pt>
                <c:pt idx="228">
                  <c:v>110.7</c:v>
                </c:pt>
                <c:pt idx="229">
                  <c:v>113.2</c:v>
                </c:pt>
                <c:pt idx="230">
                  <c:v>115.2</c:v>
                </c:pt>
                <c:pt idx="231">
                  <c:v>114.9</c:v>
                </c:pt>
                <c:pt idx="232">
                  <c:v>116</c:v>
                </c:pt>
                <c:pt idx="233">
                  <c:v>117.5</c:v>
                </c:pt>
                <c:pt idx="234">
                  <c:v>121.45</c:v>
                </c:pt>
                <c:pt idx="235">
                  <c:v>120.7</c:v>
                </c:pt>
                <c:pt idx="236">
                  <c:v>124.55</c:v>
                </c:pt>
                <c:pt idx="237">
                  <c:v>123.55</c:v>
                </c:pt>
                <c:pt idx="238">
                  <c:v>121.95</c:v>
                </c:pt>
                <c:pt idx="239">
                  <c:v>122.35</c:v>
                </c:pt>
                <c:pt idx="240">
                  <c:v>121.95</c:v>
                </c:pt>
                <c:pt idx="241">
                  <c:v>122.85</c:v>
                </c:pt>
                <c:pt idx="242">
                  <c:v>123.85</c:v>
                </c:pt>
                <c:pt idx="243">
                  <c:v>124.95</c:v>
                </c:pt>
                <c:pt idx="244">
                  <c:v>124.2</c:v>
                </c:pt>
                <c:pt idx="245">
                  <c:v>124.35</c:v>
                </c:pt>
                <c:pt idx="246">
                  <c:v>127.25</c:v>
                </c:pt>
                <c:pt idx="247">
                  <c:v>121.65</c:v>
                </c:pt>
              </c:numCache>
            </c:numRef>
          </c:val>
          <c:extLst>
            <c:ext xmlns:c16="http://schemas.microsoft.com/office/drawing/2014/chart" uri="{C3380CC4-5D6E-409C-BE32-E72D297353CC}">
              <c16:uniqueId val="{00000000-CB57-4F8F-9EB2-C759C21004ED}"/>
            </c:ext>
          </c:extLst>
        </c:ser>
        <c:dLbls>
          <c:showLegendKey val="0"/>
          <c:showVal val="0"/>
          <c:showCatName val="0"/>
          <c:showSerName val="0"/>
          <c:showPercent val="0"/>
          <c:showBubbleSize val="0"/>
        </c:dLbls>
        <c:axId val="1125760464"/>
        <c:axId val="1125759024"/>
      </c:areaChart>
      <c:catAx>
        <c:axId val="1125760464"/>
        <c:scaling>
          <c:orientation val="minMax"/>
        </c:scaling>
        <c:delete val="1"/>
        <c:axPos val="b"/>
        <c:majorTickMark val="out"/>
        <c:minorTickMark val="none"/>
        <c:tickLblPos val="nextTo"/>
        <c:crossAx val="1125759024"/>
        <c:crosses val="autoZero"/>
        <c:auto val="1"/>
        <c:lblAlgn val="ctr"/>
        <c:lblOffset val="100"/>
        <c:noMultiLvlLbl val="0"/>
      </c:catAx>
      <c:valAx>
        <c:axId val="1125759024"/>
        <c:scaling>
          <c:orientation val="minMax"/>
        </c:scaling>
        <c:delete val="0"/>
        <c:axPos val="l"/>
        <c:majorGridlines>
          <c:spPr>
            <a:ln w="9525" cap="flat" cmpd="sng" algn="ctr">
              <a:solidFill>
                <a:schemeClr val="tx1">
                  <a:lumMod val="15000"/>
                  <a:lumOff val="85000"/>
                </a:schemeClr>
              </a:solidFill>
              <a:round/>
            </a:ln>
            <a:effectLst/>
          </c:spPr>
        </c:majorGridlines>
        <c:numFmt formatCode="_ [$₹-44D]\ * #,##0.00_ ;_ [$₹-44D]\ * \-#,##0.00_ ;_ [$₹-44D]\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76046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image" Target="../media/image4.png"/><Relationship Id="rId21" Type="http://schemas.openxmlformats.org/officeDocument/2006/relationships/hyperlink" Target="#'Mutual Fund'!A1"/><Relationship Id="rId7" Type="http://schemas.openxmlformats.org/officeDocument/2006/relationships/image" Target="../media/image8.png"/><Relationship Id="rId12" Type="http://schemas.openxmlformats.org/officeDocument/2006/relationships/chart" Target="../charts/chart3.xml"/><Relationship Id="rId17" Type="http://schemas.openxmlformats.org/officeDocument/2006/relationships/chart" Target="../charts/chart7.xml"/><Relationship Id="rId2" Type="http://schemas.openxmlformats.org/officeDocument/2006/relationships/image" Target="../media/image3.svg"/><Relationship Id="rId16" Type="http://schemas.openxmlformats.org/officeDocument/2006/relationships/chart" Target="../charts/chart6.xml"/><Relationship Id="rId20" Type="http://schemas.openxmlformats.org/officeDocument/2006/relationships/hyperlink" Target="#'Stock Market'!A1"/><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2.xml"/><Relationship Id="rId5" Type="http://schemas.openxmlformats.org/officeDocument/2006/relationships/image" Target="../media/image6.png"/><Relationship Id="rId15" Type="http://schemas.openxmlformats.org/officeDocument/2006/relationships/image" Target="../media/image11.svg"/><Relationship Id="rId23" Type="http://schemas.openxmlformats.org/officeDocument/2006/relationships/image" Target="../media/image12.png"/><Relationship Id="rId10" Type="http://schemas.openxmlformats.org/officeDocument/2006/relationships/chart" Target="../charts/chart1.xml"/><Relationship Id="rId19" Type="http://schemas.openxmlformats.org/officeDocument/2006/relationships/hyperlink" Target="#'Addition Module '!A1"/><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chart" Target="../charts/chart5.xml"/><Relationship Id="rId22" Type="http://schemas.openxmlformats.org/officeDocument/2006/relationships/hyperlink" Target="https://www.youtube.com/channel/UCfpu_Mq1dV25IKMjYUfd0pA"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Mutual Fund'!A1"/><Relationship Id="rId2" Type="http://schemas.openxmlformats.org/officeDocument/2006/relationships/hyperlink" Target="#'Portfolio Tracker '!A1"/><Relationship Id="rId1" Type="http://schemas.openxmlformats.org/officeDocument/2006/relationships/hyperlink" Target="#'Addition Module '!A1"/></Relationships>
</file>

<file path=xl/drawings/_rels/drawing3.xml.rels><?xml version="1.0" encoding="UTF-8" standalone="yes"?>
<Relationships xmlns="http://schemas.openxmlformats.org/package/2006/relationships"><Relationship Id="rId3" Type="http://schemas.openxmlformats.org/officeDocument/2006/relationships/hyperlink" Target="#'Stock Market'!A1"/><Relationship Id="rId2" Type="http://schemas.openxmlformats.org/officeDocument/2006/relationships/hyperlink" Target="#'Portfolio Tracker '!A1"/><Relationship Id="rId1" Type="http://schemas.openxmlformats.org/officeDocument/2006/relationships/hyperlink" Target="#'Addition Module '!A1"/><Relationship Id="rId5" Type="http://schemas.openxmlformats.org/officeDocument/2006/relationships/image" Target="../media/image13.png"/><Relationship Id="rId4" Type="http://schemas.openxmlformats.org/officeDocument/2006/relationships/hyperlink" Target="https://www.youtube.com/channel/UCfpu_Mq1dV25IKMjYUfd0pA"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www.youtube.com/channel/UCfpu_Mq1dV25IKMjYUfd0pA" TargetMode="External"/><Relationship Id="rId1" Type="http://schemas.openxmlformats.org/officeDocument/2006/relationships/hyperlink" Target="#'Portfolio Tracker '!A1"/></Relationships>
</file>

<file path=xl/drawings/drawing1.xml><?xml version="1.0" encoding="utf-8"?>
<xdr:wsDr xmlns:xdr="http://schemas.openxmlformats.org/drawingml/2006/spreadsheetDrawing" xmlns:a="http://schemas.openxmlformats.org/drawingml/2006/main">
  <xdr:oneCellAnchor>
    <xdr:from>
      <xdr:col>9</xdr:col>
      <xdr:colOff>381503</xdr:colOff>
      <xdr:row>2</xdr:row>
      <xdr:rowOff>77369</xdr:rowOff>
    </xdr:from>
    <xdr:ext cx="1552575" cy="1219200"/>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11240003" y="929606"/>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a:solidFill>
                <a:schemeClr val="bg1"/>
              </a:solidFill>
              <a:latin typeface="+mn-lt"/>
              <a:ea typeface="+mn-ea"/>
              <a:cs typeface="Segoe UI Light" panose="020B0502040204020203" pitchFamily="34" charset="0"/>
            </a:rPr>
            <a:t>Day</a:t>
          </a:r>
          <a:r>
            <a:rPr lang="en-US" sz="1100" baseline="0">
              <a:solidFill>
                <a:schemeClr val="lt1"/>
              </a:solidFill>
              <a:effectLst/>
              <a:latin typeface="+mn-lt"/>
              <a:ea typeface="+mn-ea"/>
              <a:cs typeface="+mn-cs"/>
            </a:rPr>
            <a:t> </a:t>
          </a:r>
          <a:r>
            <a:rPr lang="en-US" sz="1000" b="1">
              <a:solidFill>
                <a:schemeClr val="bg1"/>
              </a:solidFill>
              <a:latin typeface="+mn-lt"/>
              <a:ea typeface="+mn-ea"/>
              <a:cs typeface="Segoe UI Light" panose="020B0502040204020203" pitchFamily="34" charset="0"/>
            </a:rPr>
            <a:t>Change</a:t>
          </a:r>
          <a:r>
            <a:rPr lang="en-US" sz="1100" baseline="0">
              <a:solidFill>
                <a:schemeClr val="lt1"/>
              </a:solidFill>
              <a:effectLst/>
              <a:latin typeface="+mn-lt"/>
              <a:ea typeface="+mn-ea"/>
              <a:cs typeface="+mn-cs"/>
            </a:rPr>
            <a:t> </a:t>
          </a:r>
          <a:endParaRPr lang="en-AE" sz="1000" b="1">
            <a:solidFill>
              <a:schemeClr val="bg1"/>
            </a:solidFill>
            <a:latin typeface="+mn-lt"/>
            <a:ea typeface="+mn-ea"/>
            <a:cs typeface="Segoe UI Light" panose="020B0502040204020203" pitchFamily="34" charset="0"/>
          </a:endParaRPr>
        </a:p>
      </xdr:txBody>
    </xdr:sp>
    <xdr:clientData/>
  </xdr:oneCellAnchor>
  <xdr:oneCellAnchor>
    <xdr:from>
      <xdr:col>7</xdr:col>
      <xdr:colOff>613276</xdr:colOff>
      <xdr:row>2</xdr:row>
      <xdr:rowOff>56314</xdr:rowOff>
    </xdr:from>
    <xdr:ext cx="1552575" cy="1219200"/>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9265987" y="908551"/>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a:solidFill>
                <a:schemeClr val="lt1"/>
              </a:solidFill>
              <a:effectLst/>
              <a:latin typeface="+mn-lt"/>
              <a:ea typeface="+mn-ea"/>
              <a:cs typeface="+mn-cs"/>
            </a:rPr>
            <a:t>% </a:t>
          </a:r>
          <a:r>
            <a:rPr lang="en-US" sz="1000" b="1">
              <a:solidFill>
                <a:schemeClr val="bg1"/>
              </a:solidFill>
              <a:latin typeface="+mn-lt"/>
              <a:ea typeface="+mn-ea"/>
              <a:cs typeface="Segoe UI Light" panose="020B0502040204020203" pitchFamily="34" charset="0"/>
            </a:rPr>
            <a:t>Returns</a:t>
          </a:r>
          <a:endParaRPr lang="en-AE" sz="1000" b="1">
            <a:solidFill>
              <a:schemeClr val="bg1"/>
            </a:solidFill>
            <a:latin typeface="+mn-lt"/>
            <a:ea typeface="+mn-ea"/>
            <a:cs typeface="Segoe UI Light" panose="020B0502040204020203" pitchFamily="34" charset="0"/>
          </a:endParaRPr>
        </a:p>
      </xdr:txBody>
    </xdr:sp>
    <xdr:clientData/>
  </xdr:oneCellAnchor>
  <xdr:oneCellAnchor>
    <xdr:from>
      <xdr:col>5</xdr:col>
      <xdr:colOff>468395</xdr:colOff>
      <xdr:row>2</xdr:row>
      <xdr:rowOff>49963</xdr:rowOff>
    </xdr:from>
    <xdr:ext cx="1552575" cy="1219200"/>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7316369" y="902200"/>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a:solidFill>
                <a:schemeClr val="bg1"/>
              </a:solidFill>
              <a:latin typeface="+mn-lt"/>
              <a:ea typeface="+mn-ea"/>
              <a:cs typeface="Segoe UI Light" panose="020B0502040204020203" pitchFamily="34" charset="0"/>
            </a:rPr>
            <a:t>Profit / Loss</a:t>
          </a:r>
          <a:endParaRPr lang="en-AE" sz="1000" b="1">
            <a:solidFill>
              <a:schemeClr val="bg1"/>
            </a:solidFill>
            <a:latin typeface="+mn-lt"/>
            <a:ea typeface="+mn-ea"/>
            <a:cs typeface="Segoe UI Light" panose="020B0502040204020203" pitchFamily="34" charset="0"/>
          </a:endParaRPr>
        </a:p>
      </xdr:txBody>
    </xdr:sp>
    <xdr:clientData/>
  </xdr:oneCellAnchor>
  <xdr:oneCellAnchor>
    <xdr:from>
      <xdr:col>2</xdr:col>
      <xdr:colOff>2017294</xdr:colOff>
      <xdr:row>2</xdr:row>
      <xdr:rowOff>42780</xdr:rowOff>
    </xdr:from>
    <xdr:ext cx="1552575" cy="1219200"/>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3320715" y="895017"/>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a:solidFill>
                <a:schemeClr val="bg1"/>
              </a:solidFill>
              <a:latin typeface="+mn-lt"/>
              <a:cs typeface="Segoe UI Light" panose="020B0502040204020203" pitchFamily="34" charset="0"/>
            </a:rPr>
            <a:t>Value</a:t>
          </a:r>
          <a:r>
            <a:rPr lang="en-US" sz="1000">
              <a:solidFill>
                <a:sysClr val="windowText" lastClr="000000"/>
              </a:solidFill>
              <a:latin typeface="+mn-lt"/>
              <a:cs typeface="Segoe UI Light" panose="020B0502040204020203" pitchFamily="34" charset="0"/>
            </a:rPr>
            <a:t> </a:t>
          </a:r>
          <a:r>
            <a:rPr lang="en-US" sz="1000" b="1">
              <a:solidFill>
                <a:schemeClr val="bg1"/>
              </a:solidFill>
              <a:latin typeface="+mn-lt"/>
              <a:cs typeface="Segoe UI Light" panose="020B0502040204020203" pitchFamily="34" charset="0"/>
            </a:rPr>
            <a:t>now</a:t>
          </a:r>
        </a:p>
      </xdr:txBody>
    </xdr:sp>
    <xdr:clientData/>
  </xdr:oneCellAnchor>
  <xdr:oneCellAnchor>
    <xdr:from>
      <xdr:col>2</xdr:col>
      <xdr:colOff>45954</xdr:colOff>
      <xdr:row>2</xdr:row>
      <xdr:rowOff>40106</xdr:rowOff>
    </xdr:from>
    <xdr:ext cx="1552575" cy="1219200"/>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1349375" y="892343"/>
          <a:ext cx="1552575" cy="1219200"/>
        </a:xfrm>
        <a:prstGeom prst="roundRect">
          <a:avLst>
            <a:gd name="adj" fmla="val 4426"/>
          </a:avLst>
        </a:prstGeom>
        <a:solidFill>
          <a:schemeClr val="accent5"/>
        </a:solidFill>
        <a:ln>
          <a:solidFill>
            <a:schemeClr val="tx2">
              <a:lumMod val="60000"/>
              <a:lumOff val="40000"/>
            </a:schemeClr>
          </a:solid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a:solidFill>
                <a:schemeClr val="bg1"/>
              </a:solidFill>
              <a:latin typeface="+mn-lt"/>
              <a:ea typeface="+mn-ea"/>
              <a:cs typeface="Segoe UI Light" panose="020B0502040204020203" pitchFamily="34" charset="0"/>
            </a:rPr>
            <a:t>Invested</a:t>
          </a:r>
        </a:p>
      </xdr:txBody>
    </xdr:sp>
    <xdr:clientData/>
  </xdr:oneCellAnchor>
  <xdr:oneCellAnchor>
    <xdr:from>
      <xdr:col>2</xdr:col>
      <xdr:colOff>101934</xdr:colOff>
      <xdr:row>2</xdr:row>
      <xdr:rowOff>145537</xdr:rowOff>
    </xdr:from>
    <xdr:ext cx="1476374" cy="688820"/>
    <xdr:sp macro="" textlink="$F$71">
      <xdr:nvSpPr>
        <xdr:cNvPr id="5" name="TextBox 4">
          <a:extLst>
            <a:ext uri="{FF2B5EF4-FFF2-40B4-BE49-F238E27FC236}">
              <a16:creationId xmlns:a16="http://schemas.microsoft.com/office/drawing/2014/main" id="{00000000-0008-0000-0000-000005000000}"/>
            </a:ext>
          </a:extLst>
        </xdr:cNvPr>
        <xdr:cNvSpPr txBox="1"/>
      </xdr:nvSpPr>
      <xdr:spPr>
        <a:xfrm>
          <a:off x="1405355" y="997774"/>
          <a:ext cx="1476374" cy="6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9BB6B7-188F-42D8-9AEB-49F4D0251FFF}" type="TxLink">
            <a:rPr lang="en-US" sz="1500" b="1" i="0" u="none" strike="noStrike">
              <a:solidFill>
                <a:schemeClr val="bg1"/>
              </a:solidFill>
              <a:latin typeface="Calibri"/>
              <a:ea typeface="Calibri"/>
              <a:cs typeface="Calibri"/>
            </a:rPr>
            <a:pPr algn="ctr"/>
            <a:t>₹ 7,700,100.00</a:t>
          </a:fld>
          <a:endParaRPr lang="en-US" sz="1500">
            <a:solidFill>
              <a:schemeClr val="bg1"/>
            </a:solidFill>
            <a:latin typeface="Segoe UI Black" panose="020B0A02040204020203" pitchFamily="34" charset="0"/>
            <a:ea typeface="Segoe UI Black" panose="020B0A02040204020203" pitchFamily="34" charset="0"/>
          </a:endParaRPr>
        </a:p>
      </xdr:txBody>
    </xdr:sp>
    <xdr:clientData/>
  </xdr:oneCellAnchor>
  <xdr:oneCellAnchor>
    <xdr:from>
      <xdr:col>2</xdr:col>
      <xdr:colOff>2083384</xdr:colOff>
      <xdr:row>2</xdr:row>
      <xdr:rowOff>183636</xdr:rowOff>
    </xdr:from>
    <xdr:ext cx="1431925" cy="641195"/>
    <xdr:sp macro="" textlink="$G$71">
      <xdr:nvSpPr>
        <xdr:cNvPr id="7" name="TextBox 6">
          <a:extLst>
            <a:ext uri="{FF2B5EF4-FFF2-40B4-BE49-F238E27FC236}">
              <a16:creationId xmlns:a16="http://schemas.microsoft.com/office/drawing/2014/main" id="{00000000-0008-0000-0000-000007000000}"/>
            </a:ext>
          </a:extLst>
        </xdr:cNvPr>
        <xdr:cNvSpPr txBox="1"/>
      </xdr:nvSpPr>
      <xdr:spPr>
        <a:xfrm>
          <a:off x="3386805" y="1035873"/>
          <a:ext cx="1431925" cy="641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F1B46D-2D71-4C2D-9CC5-F92E35FCE4B4}" type="TxLink">
            <a:rPr lang="en-US" sz="1500" b="1" i="0" u="none" strike="noStrike">
              <a:solidFill>
                <a:schemeClr val="bg1"/>
              </a:solidFill>
              <a:latin typeface="Calibri"/>
              <a:ea typeface="Calibri"/>
              <a:cs typeface="Calibri"/>
            </a:rPr>
            <a:pPr marL="0" indent="0" algn="ctr"/>
            <a:t>₹ 11,114,345.01</a:t>
          </a:fld>
          <a:endParaRPr lang="en-US" sz="1500" b="1" i="0" u="none" strike="noStrike">
            <a:solidFill>
              <a:schemeClr val="bg1"/>
            </a:solidFill>
            <a:latin typeface="Calibri"/>
            <a:ea typeface="Calibri"/>
            <a:cs typeface="Calibri"/>
          </a:endParaRPr>
        </a:p>
      </xdr:txBody>
    </xdr:sp>
    <xdr:clientData/>
  </xdr:oneCellAnchor>
  <xdr:oneCellAnchor>
    <xdr:from>
      <xdr:col>5</xdr:col>
      <xdr:colOff>325353</xdr:colOff>
      <xdr:row>2</xdr:row>
      <xdr:rowOff>199846</xdr:rowOff>
    </xdr:from>
    <xdr:ext cx="1825625" cy="698345"/>
    <xdr:sp macro="" textlink="$H$71">
      <xdr:nvSpPr>
        <xdr:cNvPr id="9" name="TextBox 8">
          <a:extLst>
            <a:ext uri="{FF2B5EF4-FFF2-40B4-BE49-F238E27FC236}">
              <a16:creationId xmlns:a16="http://schemas.microsoft.com/office/drawing/2014/main" id="{00000000-0008-0000-0000-000009000000}"/>
            </a:ext>
          </a:extLst>
        </xdr:cNvPr>
        <xdr:cNvSpPr txBox="1"/>
      </xdr:nvSpPr>
      <xdr:spPr>
        <a:xfrm>
          <a:off x="7173327" y="1052083"/>
          <a:ext cx="1825625" cy="69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088D0B-49A2-42CF-8B66-2B9E4BAD4078}" type="TxLink">
            <a:rPr lang="en-US" sz="1500" b="1" i="0" u="none" strike="noStrike">
              <a:solidFill>
                <a:schemeClr val="bg1"/>
              </a:solidFill>
              <a:latin typeface="Calibri"/>
              <a:ea typeface="Calibri"/>
              <a:cs typeface="Calibri"/>
            </a:rPr>
            <a:pPr marL="0" indent="0" algn="ctr"/>
            <a:t>₹ 3,414,245.01</a:t>
          </a:fld>
          <a:endParaRPr lang="en-US" sz="1500" b="1" i="0" u="none" strike="noStrike">
            <a:solidFill>
              <a:schemeClr val="bg1"/>
            </a:solidFill>
            <a:latin typeface="Calibri"/>
            <a:ea typeface="Calibri"/>
            <a:cs typeface="Calibri"/>
          </a:endParaRPr>
        </a:p>
      </xdr:txBody>
    </xdr:sp>
    <xdr:clientData/>
  </xdr:oneCellAnchor>
  <xdr:oneCellAnchor>
    <xdr:from>
      <xdr:col>7</xdr:col>
      <xdr:colOff>503904</xdr:colOff>
      <xdr:row>2</xdr:row>
      <xdr:rowOff>190989</xdr:rowOff>
    </xdr:from>
    <xdr:ext cx="1727200" cy="698345"/>
    <xdr:sp macro="" textlink="$K$71">
      <xdr:nvSpPr>
        <xdr:cNvPr id="11" name="TextBox 10">
          <a:extLst>
            <a:ext uri="{FF2B5EF4-FFF2-40B4-BE49-F238E27FC236}">
              <a16:creationId xmlns:a16="http://schemas.microsoft.com/office/drawing/2014/main" id="{00000000-0008-0000-0000-00000B000000}"/>
            </a:ext>
          </a:extLst>
        </xdr:cNvPr>
        <xdr:cNvSpPr txBox="1"/>
      </xdr:nvSpPr>
      <xdr:spPr>
        <a:xfrm>
          <a:off x="9156615" y="1043226"/>
          <a:ext cx="1727200" cy="69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C17523-EBF6-4494-901F-96D68A747100}" type="TxLink">
            <a:rPr lang="en-US" sz="1500" b="1" i="0" u="none" strike="noStrike">
              <a:solidFill>
                <a:schemeClr val="bg1"/>
              </a:solidFill>
              <a:latin typeface="Calibri"/>
              <a:ea typeface="Calibri"/>
              <a:cs typeface="Calibri"/>
            </a:rPr>
            <a:pPr marL="0" indent="0" algn="ctr"/>
            <a:t>44.3%</a:t>
          </a:fld>
          <a:endParaRPr lang="en-US" sz="1500" b="1" i="0" u="none" strike="noStrike">
            <a:solidFill>
              <a:schemeClr val="bg1"/>
            </a:solidFill>
            <a:latin typeface="Calibri"/>
            <a:ea typeface="Calibri"/>
            <a:cs typeface="Calibri"/>
          </a:endParaRPr>
        </a:p>
      </xdr:txBody>
    </xdr:sp>
    <xdr:clientData/>
  </xdr:oneCellAnchor>
  <xdr:twoCellAnchor editAs="oneCell">
    <xdr:from>
      <xdr:col>5</xdr:col>
      <xdr:colOff>605434</xdr:colOff>
      <xdr:row>2</xdr:row>
      <xdr:rowOff>820474</xdr:rowOff>
    </xdr:from>
    <xdr:to>
      <xdr:col>5</xdr:col>
      <xdr:colOff>867005</xdr:colOff>
      <xdr:row>4</xdr:row>
      <xdr:rowOff>162028</xdr:rowOff>
    </xdr:to>
    <xdr:pic>
      <xdr:nvPicPr>
        <xdr:cNvPr id="13" name="Graphic 12" descr="Bitcoin with solid fill">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453408" y="1672711"/>
          <a:ext cx="255221" cy="377941"/>
        </a:xfrm>
        <a:prstGeom prst="rect">
          <a:avLst/>
        </a:prstGeom>
      </xdr:spPr>
    </xdr:pic>
    <xdr:clientData/>
  </xdr:twoCellAnchor>
  <xdr:twoCellAnchor editAs="oneCell">
    <xdr:from>
      <xdr:col>2</xdr:col>
      <xdr:colOff>146234</xdr:colOff>
      <xdr:row>3</xdr:row>
      <xdr:rowOff>5172</xdr:rowOff>
    </xdr:from>
    <xdr:to>
      <xdr:col>2</xdr:col>
      <xdr:colOff>429500</xdr:colOff>
      <xdr:row>5</xdr:row>
      <xdr:rowOff>50211</xdr:rowOff>
    </xdr:to>
    <xdr:pic>
      <xdr:nvPicPr>
        <xdr:cNvPr id="14" name="Graphic 13" descr="Coins with solid fil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9655" y="1719672"/>
          <a:ext cx="286441" cy="402811"/>
        </a:xfrm>
        <a:prstGeom prst="rect">
          <a:avLst/>
        </a:prstGeom>
      </xdr:spPr>
    </xdr:pic>
    <xdr:clientData/>
  </xdr:twoCellAnchor>
  <xdr:twoCellAnchor editAs="oneCell">
    <xdr:from>
      <xdr:col>7</xdr:col>
      <xdr:colOff>714901</xdr:colOff>
      <xdr:row>2</xdr:row>
      <xdr:rowOff>852264</xdr:rowOff>
    </xdr:from>
    <xdr:to>
      <xdr:col>7</xdr:col>
      <xdr:colOff>979647</xdr:colOff>
      <xdr:row>5</xdr:row>
      <xdr:rowOff>645</xdr:rowOff>
    </xdr:to>
    <xdr:pic>
      <xdr:nvPicPr>
        <xdr:cNvPr id="16" name="Graphic 15" descr="Philanthropy with solid fill">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9367612" y="1704501"/>
          <a:ext cx="264746" cy="368416"/>
        </a:xfrm>
        <a:prstGeom prst="rect">
          <a:avLst/>
        </a:prstGeom>
      </xdr:spPr>
    </xdr:pic>
    <xdr:clientData/>
  </xdr:twoCellAnchor>
  <xdr:oneCellAnchor>
    <xdr:from>
      <xdr:col>9</xdr:col>
      <xdr:colOff>571498</xdr:colOff>
      <xdr:row>2</xdr:row>
      <xdr:rowOff>197841</xdr:rowOff>
    </xdr:from>
    <xdr:ext cx="1156202" cy="297125"/>
    <xdr:sp macro="" textlink="$I$71">
      <xdr:nvSpPr>
        <xdr:cNvPr id="19" name="TextBox 18">
          <a:extLst>
            <a:ext uri="{FF2B5EF4-FFF2-40B4-BE49-F238E27FC236}">
              <a16:creationId xmlns:a16="http://schemas.microsoft.com/office/drawing/2014/main" id="{00000000-0008-0000-0000-000013000000}"/>
            </a:ext>
          </a:extLst>
        </xdr:cNvPr>
        <xdr:cNvSpPr txBox="1"/>
      </xdr:nvSpPr>
      <xdr:spPr>
        <a:xfrm>
          <a:off x="11429998" y="1050078"/>
          <a:ext cx="1156202" cy="297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BAE5E32-AEA9-4590-B011-733D46AF7EE0}" type="TxLink">
            <a:rPr lang="en-US" sz="1500" b="1" i="0" u="none" strike="noStrike">
              <a:solidFill>
                <a:schemeClr val="bg1"/>
              </a:solidFill>
              <a:latin typeface="Calibri"/>
              <a:ea typeface="Calibri"/>
              <a:cs typeface="Calibri"/>
            </a:rPr>
            <a:pPr marL="0" indent="0" algn="ctr"/>
            <a:t>₹ 55,447.40</a:t>
          </a:fld>
          <a:endParaRPr lang="en-US" sz="1500" b="1" i="0" u="none" strike="noStrike">
            <a:solidFill>
              <a:schemeClr val="bg1"/>
            </a:solidFill>
            <a:latin typeface="Calibri"/>
            <a:ea typeface="Calibri"/>
            <a:cs typeface="Calibri"/>
          </a:endParaRPr>
        </a:p>
      </xdr:txBody>
    </xdr:sp>
    <xdr:clientData/>
  </xdr:oneCellAnchor>
  <xdr:twoCellAnchor editAs="oneCell">
    <xdr:from>
      <xdr:col>9</xdr:col>
      <xdr:colOff>515019</xdr:colOff>
      <xdr:row>3</xdr:row>
      <xdr:rowOff>21558</xdr:rowOff>
    </xdr:from>
    <xdr:to>
      <xdr:col>9</xdr:col>
      <xdr:colOff>770240</xdr:colOff>
      <xdr:row>5</xdr:row>
      <xdr:rowOff>29027</xdr:rowOff>
    </xdr:to>
    <xdr:pic>
      <xdr:nvPicPr>
        <xdr:cNvPr id="20" name="Graphic 19" descr="Philanthropy with solid fill">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373519" y="1736058"/>
          <a:ext cx="261571" cy="368416"/>
        </a:xfrm>
        <a:prstGeom prst="rect">
          <a:avLst/>
        </a:prstGeom>
      </xdr:spPr>
    </xdr:pic>
    <xdr:clientData/>
  </xdr:twoCellAnchor>
  <xdr:twoCellAnchor editAs="oneCell">
    <xdr:from>
      <xdr:col>2</xdr:col>
      <xdr:colOff>2109369</xdr:colOff>
      <xdr:row>2</xdr:row>
      <xdr:rowOff>860259</xdr:rowOff>
    </xdr:from>
    <xdr:to>
      <xdr:col>2</xdr:col>
      <xdr:colOff>2392635</xdr:colOff>
      <xdr:row>5</xdr:row>
      <xdr:rowOff>27160</xdr:rowOff>
    </xdr:to>
    <xdr:pic>
      <xdr:nvPicPr>
        <xdr:cNvPr id="23" name="Graphic 22" descr="Coins with solid fill">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12790" y="1712496"/>
          <a:ext cx="286441" cy="393286"/>
        </a:xfrm>
        <a:prstGeom prst="rect">
          <a:avLst/>
        </a:prstGeom>
      </xdr:spPr>
    </xdr:pic>
    <xdr:clientData/>
  </xdr:twoCellAnchor>
  <xdr:twoCellAnchor>
    <xdr:from>
      <xdr:col>1</xdr:col>
      <xdr:colOff>0</xdr:colOff>
      <xdr:row>98</xdr:row>
      <xdr:rowOff>0</xdr:rowOff>
    </xdr:from>
    <xdr:to>
      <xdr:col>6</xdr:col>
      <xdr:colOff>30079</xdr:colOff>
      <xdr:row>111</xdr:row>
      <xdr:rowOff>133350</xdr:rowOff>
    </xdr:to>
    <xdr:graphicFrame macro="">
      <xdr:nvGraphicFramePr>
        <xdr:cNvPr id="43" name="Chart 42">
          <a:extLst>
            <a:ext uri="{FF2B5EF4-FFF2-40B4-BE49-F238E27FC236}">
              <a16:creationId xmlns:a16="http://schemas.microsoft.com/office/drawing/2014/main" id="{00000000-0008-0000-0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441157</xdr:colOff>
      <xdr:row>79</xdr:row>
      <xdr:rowOff>0</xdr:rowOff>
    </xdr:from>
    <xdr:to>
      <xdr:col>5</xdr:col>
      <xdr:colOff>882315</xdr:colOff>
      <xdr:row>91</xdr:row>
      <xdr:rowOff>139700</xdr:rowOff>
    </xdr:to>
    <xdr:graphicFrame macro="">
      <xdr:nvGraphicFramePr>
        <xdr:cNvPr id="44" name="Chart 43">
          <a:extLst>
            <a:ext uri="{FF2B5EF4-FFF2-40B4-BE49-F238E27FC236}">
              <a16:creationId xmlns:a16="http://schemas.microsoft.com/office/drawing/2014/main" id="{00000000-0008-0000-0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200693</xdr:colOff>
      <xdr:row>95</xdr:row>
      <xdr:rowOff>171115</xdr:rowOff>
    </xdr:from>
    <xdr:to>
      <xdr:col>9</xdr:col>
      <xdr:colOff>750135</xdr:colOff>
      <xdr:row>113</xdr:row>
      <xdr:rowOff>122988</xdr:rowOff>
    </xdr:to>
    <xdr:graphicFrame macro="">
      <xdr:nvGraphicFramePr>
        <xdr:cNvPr id="51" name="Chart 50">
          <a:extLst>
            <a:ext uri="{FF2B5EF4-FFF2-40B4-BE49-F238E27FC236}">
              <a16:creationId xmlns:a16="http://schemas.microsoft.com/office/drawing/2014/main" id="{00000000-0008-0000-0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159920</xdr:colOff>
      <xdr:row>75</xdr:row>
      <xdr:rowOff>105276</xdr:rowOff>
    </xdr:from>
    <xdr:to>
      <xdr:col>9</xdr:col>
      <xdr:colOff>258512</xdr:colOff>
      <xdr:row>93</xdr:row>
      <xdr:rowOff>63500</xdr:rowOff>
    </xdr:to>
    <xdr:graphicFrame macro="">
      <xdr:nvGraphicFramePr>
        <xdr:cNvPr id="53" name="Chart 52">
          <a:extLst>
            <a:ext uri="{FF2B5EF4-FFF2-40B4-BE49-F238E27FC236}">
              <a16:creationId xmlns:a16="http://schemas.microsoft.com/office/drawing/2014/main" id="{00000000-0008-0000-0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341229</xdr:colOff>
      <xdr:row>75</xdr:row>
      <xdr:rowOff>113465</xdr:rowOff>
    </xdr:from>
    <xdr:to>
      <xdr:col>12</xdr:col>
      <xdr:colOff>18382</xdr:colOff>
      <xdr:row>93</xdr:row>
      <xdr:rowOff>65339</xdr:rowOff>
    </xdr:to>
    <xdr:graphicFrame macro="">
      <xdr:nvGraphicFramePr>
        <xdr:cNvPr id="55" name="Chart 54">
          <a:extLst>
            <a:ext uri="{FF2B5EF4-FFF2-40B4-BE49-F238E27FC236}">
              <a16:creationId xmlns:a16="http://schemas.microsoft.com/office/drawing/2014/main" id="{00000000-0008-0000-0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2</xdr:col>
      <xdr:colOff>3937001</xdr:colOff>
      <xdr:row>2</xdr:row>
      <xdr:rowOff>48460</xdr:rowOff>
    </xdr:from>
    <xdr:ext cx="1552575" cy="1219200"/>
    <xdr:sp macro="" textlink="">
      <xdr:nvSpPr>
        <xdr:cNvPr id="56" name="Rectangle: Rounded Corners 55">
          <a:extLst>
            <a:ext uri="{FF2B5EF4-FFF2-40B4-BE49-F238E27FC236}">
              <a16:creationId xmlns:a16="http://schemas.microsoft.com/office/drawing/2014/main" id="{00000000-0008-0000-0000-000038000000}"/>
            </a:ext>
          </a:extLst>
        </xdr:cNvPr>
        <xdr:cNvSpPr/>
      </xdr:nvSpPr>
      <xdr:spPr>
        <a:xfrm>
          <a:off x="5240422" y="900697"/>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a:solidFill>
                <a:schemeClr val="bg1"/>
              </a:solidFill>
              <a:latin typeface="+mn-lt"/>
              <a:ea typeface="+mn-ea"/>
              <a:cs typeface="Segoe UI Light" panose="020B0502040204020203" pitchFamily="34" charset="0"/>
            </a:rPr>
            <a:t>No</a:t>
          </a:r>
          <a:r>
            <a:rPr lang="en-US" sz="1000" b="1" baseline="0">
              <a:solidFill>
                <a:schemeClr val="bg1"/>
              </a:solidFill>
              <a:latin typeface="+mn-lt"/>
              <a:ea typeface="+mn-ea"/>
              <a:cs typeface="Segoe UI Light" panose="020B0502040204020203" pitchFamily="34" charset="0"/>
            </a:rPr>
            <a:t> of Stocks</a:t>
          </a:r>
          <a:endParaRPr lang="en-AE" sz="1000" b="1">
            <a:solidFill>
              <a:schemeClr val="bg1"/>
            </a:solidFill>
            <a:latin typeface="+mn-lt"/>
            <a:ea typeface="+mn-ea"/>
            <a:cs typeface="Segoe UI Light" panose="020B0502040204020203" pitchFamily="34" charset="0"/>
          </a:endParaRPr>
        </a:p>
      </xdr:txBody>
    </xdr:sp>
    <xdr:clientData/>
  </xdr:oneCellAnchor>
  <xdr:oneCellAnchor>
    <xdr:from>
      <xdr:col>2</xdr:col>
      <xdr:colOff>3788278</xdr:colOff>
      <xdr:row>2</xdr:row>
      <xdr:rowOff>181309</xdr:rowOff>
    </xdr:from>
    <xdr:ext cx="1825625" cy="698345"/>
    <xdr:sp macro="" textlink="No_of_Shares">
      <xdr:nvSpPr>
        <xdr:cNvPr id="58" name="TextBox 57">
          <a:extLst>
            <a:ext uri="{FF2B5EF4-FFF2-40B4-BE49-F238E27FC236}">
              <a16:creationId xmlns:a16="http://schemas.microsoft.com/office/drawing/2014/main" id="{00000000-0008-0000-0000-00003A000000}"/>
            </a:ext>
          </a:extLst>
        </xdr:cNvPr>
        <xdr:cNvSpPr txBox="1"/>
      </xdr:nvSpPr>
      <xdr:spPr>
        <a:xfrm>
          <a:off x="5091699" y="1033546"/>
          <a:ext cx="1825625" cy="69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3E2E7-2C31-42DE-93F7-C6AC9C57C37E}" type="TxLink">
            <a:rPr lang="en-US" sz="1500" b="1" i="0" u="none" strike="noStrike">
              <a:solidFill>
                <a:schemeClr val="bg1"/>
              </a:solidFill>
              <a:latin typeface="Calibri"/>
              <a:ea typeface="Calibri"/>
              <a:cs typeface="Calibri"/>
            </a:rPr>
            <a:pPr marL="0" indent="0" algn="ctr"/>
            <a:t>50</a:t>
          </a:fld>
          <a:endParaRPr lang="en-US" sz="1500" b="1" i="0" u="none" strike="noStrike">
            <a:solidFill>
              <a:schemeClr val="bg1"/>
            </a:solidFill>
            <a:latin typeface="Calibri"/>
            <a:ea typeface="Calibri"/>
            <a:cs typeface="Calibri"/>
          </a:endParaRPr>
        </a:p>
      </xdr:txBody>
    </xdr:sp>
    <xdr:clientData/>
  </xdr:oneCellAnchor>
  <xdr:oneCellAnchor>
    <xdr:from>
      <xdr:col>9</xdr:col>
      <xdr:colOff>602081</xdr:colOff>
      <xdr:row>2</xdr:row>
      <xdr:rowOff>491622</xdr:rowOff>
    </xdr:from>
    <xdr:ext cx="1156202" cy="297125"/>
    <xdr:sp macro="" textlink="$J$71">
      <xdr:nvSpPr>
        <xdr:cNvPr id="2" name="TextBox 1">
          <a:extLst>
            <a:ext uri="{FF2B5EF4-FFF2-40B4-BE49-F238E27FC236}">
              <a16:creationId xmlns:a16="http://schemas.microsoft.com/office/drawing/2014/main" id="{00000000-0008-0000-0000-000002000000}"/>
            </a:ext>
          </a:extLst>
        </xdr:cNvPr>
        <xdr:cNvSpPr txBox="1"/>
      </xdr:nvSpPr>
      <xdr:spPr>
        <a:xfrm>
          <a:off x="11460581" y="1343859"/>
          <a:ext cx="1156202" cy="297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B9918E-894E-42B5-87C0-E12DE59ADF28}" type="TxLink">
            <a:rPr lang="en-US" sz="1500" b="1" i="0" u="none" strike="noStrike">
              <a:solidFill>
                <a:schemeClr val="bg1"/>
              </a:solidFill>
              <a:latin typeface="Calibri"/>
              <a:ea typeface="Calibri"/>
              <a:cs typeface="Calibri"/>
            </a:rPr>
            <a:pPr marL="0" indent="0" algn="ctr"/>
            <a:t>1.65%</a:t>
          </a:fld>
          <a:endParaRPr lang="en-US" sz="1500" b="1" i="0" u="none" strike="noStrike">
            <a:solidFill>
              <a:schemeClr val="bg1"/>
            </a:solidFill>
            <a:latin typeface="Calibri"/>
            <a:ea typeface="Calibri"/>
            <a:cs typeface="Calibri"/>
          </a:endParaRPr>
        </a:p>
      </xdr:txBody>
    </xdr:sp>
    <xdr:clientData/>
  </xdr:oneCellAnchor>
  <xdr:oneCellAnchor>
    <xdr:from>
      <xdr:col>11</xdr:col>
      <xdr:colOff>170447</xdr:colOff>
      <xdr:row>2</xdr:row>
      <xdr:rowOff>46955</xdr:rowOff>
    </xdr:from>
    <xdr:ext cx="1552575" cy="1219200"/>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3234736" y="899192"/>
          <a:ext cx="1552575" cy="1219200"/>
        </a:xfrm>
        <a:prstGeom prst="roundRect">
          <a:avLst>
            <a:gd name="adj" fmla="val 4426"/>
          </a:avLst>
        </a:prstGeom>
        <a:solidFill>
          <a:schemeClr val="accent5"/>
        </a:solidFill>
        <a:ln>
          <a:no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AE" sz="1000" b="1">
              <a:solidFill>
                <a:schemeClr val="bg1"/>
              </a:solidFill>
              <a:latin typeface="+mn-lt"/>
              <a:ea typeface="+mn-ea"/>
              <a:cs typeface="Segoe UI Light" panose="020B0502040204020203" pitchFamily="34" charset="0"/>
            </a:rPr>
            <a:t>Currency Change</a:t>
          </a:r>
        </a:p>
      </xdr:txBody>
    </xdr:sp>
    <xdr:clientData/>
  </xdr:oneCellAnchor>
  <xdr:oneCellAnchor>
    <xdr:from>
      <xdr:col>11</xdr:col>
      <xdr:colOff>370973</xdr:colOff>
      <xdr:row>2</xdr:row>
      <xdr:rowOff>163596</xdr:rowOff>
    </xdr:from>
    <xdr:ext cx="1106070" cy="448009"/>
    <xdr:sp macro="" textlink="Analysis!E66">
      <xdr:nvSpPr>
        <xdr:cNvPr id="6" name="TextBox 5">
          <a:extLst>
            <a:ext uri="{FF2B5EF4-FFF2-40B4-BE49-F238E27FC236}">
              <a16:creationId xmlns:a16="http://schemas.microsoft.com/office/drawing/2014/main" id="{00000000-0008-0000-0000-000006000000}"/>
            </a:ext>
          </a:extLst>
        </xdr:cNvPr>
        <xdr:cNvSpPr txBox="1"/>
      </xdr:nvSpPr>
      <xdr:spPr>
        <a:xfrm>
          <a:off x="13535526" y="1015833"/>
          <a:ext cx="1106070" cy="448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6610E8-3E80-4070-AAE7-7501AAC17E9B}" type="TxLink">
            <a:rPr lang="en-US" sz="1500" b="1" i="0" u="none" strike="noStrike">
              <a:solidFill>
                <a:schemeClr val="bg1"/>
              </a:solidFill>
              <a:latin typeface="Calibri"/>
              <a:ea typeface="Calibri"/>
              <a:cs typeface="Calibri"/>
            </a:rPr>
            <a:pPr marL="0" indent="0" algn="ctr"/>
            <a:t>₹83.43▲</a:t>
          </a:fld>
          <a:endParaRPr lang="en-US" sz="1500" b="1" i="0" u="none" strike="noStrike">
            <a:solidFill>
              <a:schemeClr val="bg1"/>
            </a:solidFill>
            <a:latin typeface="Calibri"/>
            <a:ea typeface="Calibri"/>
            <a:cs typeface="Calibri"/>
          </a:endParaRPr>
        </a:p>
      </xdr:txBody>
    </xdr:sp>
    <xdr:clientData/>
  </xdr:oneCellAnchor>
  <xdr:twoCellAnchor editAs="oneCell">
    <xdr:from>
      <xdr:col>11</xdr:col>
      <xdr:colOff>197352</xdr:colOff>
      <xdr:row>3</xdr:row>
      <xdr:rowOff>6851</xdr:rowOff>
    </xdr:from>
    <xdr:to>
      <xdr:col>11</xdr:col>
      <xdr:colOff>483793</xdr:colOff>
      <xdr:row>5</xdr:row>
      <xdr:rowOff>45540</xdr:rowOff>
    </xdr:to>
    <xdr:pic>
      <xdr:nvPicPr>
        <xdr:cNvPr id="8" name="Graphic 7" descr="Coins with solid fill">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261641" y="1721351"/>
          <a:ext cx="286441" cy="399636"/>
        </a:xfrm>
        <a:prstGeom prst="rect">
          <a:avLst/>
        </a:prstGeom>
      </xdr:spPr>
    </xdr:pic>
    <xdr:clientData/>
  </xdr:twoCellAnchor>
  <xdr:twoCellAnchor>
    <xdr:from>
      <xdr:col>9</xdr:col>
      <xdr:colOff>902368</xdr:colOff>
      <xdr:row>96</xdr:row>
      <xdr:rowOff>10026</xdr:rowOff>
    </xdr:from>
    <xdr:to>
      <xdr:col>12</xdr:col>
      <xdr:colOff>122321</xdr:colOff>
      <xdr:row>113</xdr:row>
      <xdr:rowOff>145548</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120</xdr:row>
      <xdr:rowOff>0</xdr:rowOff>
    </xdr:from>
    <xdr:to>
      <xdr:col>5</xdr:col>
      <xdr:colOff>892342</xdr:colOff>
      <xdr:row>135</xdr:row>
      <xdr:rowOff>26570</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120</xdr:row>
      <xdr:rowOff>0</xdr:rowOff>
    </xdr:from>
    <xdr:to>
      <xdr:col>12</xdr:col>
      <xdr:colOff>50132</xdr:colOff>
      <xdr:row>135</xdr:row>
      <xdr:rowOff>26570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521368</xdr:colOff>
      <xdr:row>7</xdr:row>
      <xdr:rowOff>60158</xdr:rowOff>
    </xdr:from>
    <xdr:to>
      <xdr:col>1</xdr:col>
      <xdr:colOff>798863</xdr:colOff>
      <xdr:row>58</xdr:row>
      <xdr:rowOff>26904</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962526" y="2496553"/>
          <a:ext cx="277495" cy="11878009"/>
        </a:xfrm>
        <a:prstGeom prst="rect">
          <a:avLst/>
        </a:prstGeom>
        <a:solidFill>
          <a:schemeClr val="accent5"/>
        </a:solidFill>
        <a:ln>
          <a:solidFill>
            <a:schemeClr val="tx2">
              <a:lumMod val="60000"/>
              <a:lumOff val="40000"/>
            </a:schemeClr>
          </a:solid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AE" sz="1000" b="1">
            <a:solidFill>
              <a:schemeClr val="bg1"/>
            </a:solidFill>
            <a:latin typeface="+mn-lt"/>
            <a:ea typeface="+mn-ea"/>
            <a:cs typeface="Segoe UI Light" panose="020B0502040204020203" pitchFamily="34" charset="0"/>
          </a:endParaRPr>
        </a:p>
      </xdr:txBody>
    </xdr:sp>
    <xdr:clientData/>
  </xdr:twoCellAnchor>
  <xdr:oneCellAnchor>
    <xdr:from>
      <xdr:col>1</xdr:col>
      <xdr:colOff>581528</xdr:colOff>
      <xdr:row>37</xdr:row>
      <xdr:rowOff>7857</xdr:rowOff>
    </xdr:from>
    <xdr:ext cx="183647" cy="1676235"/>
    <xdr:sp macro="" textlink="">
      <xdr:nvSpPr>
        <xdr:cNvPr id="31" name="TextBox 30">
          <a:extLst>
            <a:ext uri="{FF2B5EF4-FFF2-40B4-BE49-F238E27FC236}">
              <a16:creationId xmlns:a16="http://schemas.microsoft.com/office/drawing/2014/main" id="{00000000-0008-0000-0000-00001F000000}"/>
            </a:ext>
          </a:extLst>
        </xdr:cNvPr>
        <xdr:cNvSpPr txBox="1"/>
      </xdr:nvSpPr>
      <xdr:spPr>
        <a:xfrm rot="16200000">
          <a:off x="276392" y="8604756"/>
          <a:ext cx="1676235" cy="183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500" b="1" i="0" u="none" strike="noStrike">
              <a:solidFill>
                <a:schemeClr val="bg1"/>
              </a:solidFill>
              <a:latin typeface="Calibri"/>
              <a:ea typeface="Calibri"/>
              <a:cs typeface="Calibri"/>
            </a:rPr>
            <a:t>STOCKS</a:t>
          </a:r>
        </a:p>
      </xdr:txBody>
    </xdr:sp>
    <xdr:clientData/>
  </xdr:oneCellAnchor>
  <xdr:twoCellAnchor>
    <xdr:from>
      <xdr:col>1</xdr:col>
      <xdr:colOff>524544</xdr:colOff>
      <xdr:row>58</xdr:row>
      <xdr:rowOff>161162</xdr:rowOff>
    </xdr:from>
    <xdr:to>
      <xdr:col>1</xdr:col>
      <xdr:colOff>792514</xdr:colOff>
      <xdr:row>69</xdr:row>
      <xdr:rowOff>50132</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965702" y="14508820"/>
          <a:ext cx="267970" cy="1874180"/>
        </a:xfrm>
        <a:prstGeom prst="rect">
          <a:avLst/>
        </a:prstGeom>
        <a:solidFill>
          <a:schemeClr val="accent5"/>
        </a:solidFill>
        <a:ln>
          <a:solidFill>
            <a:schemeClr val="tx2">
              <a:lumMod val="60000"/>
              <a:lumOff val="40000"/>
            </a:schemeClr>
          </a:solidFill>
        </a:ln>
        <a:effectLst>
          <a:outerShdw blurRad="127000" dist="88900" dir="5400000" sx="91000" sy="91000" algn="t" rotWithShape="0">
            <a:prstClr val="black">
              <a:alpha val="7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AE" sz="1000" b="1">
            <a:solidFill>
              <a:schemeClr val="bg1"/>
            </a:solidFill>
            <a:latin typeface="+mn-lt"/>
            <a:ea typeface="+mn-ea"/>
            <a:cs typeface="Segoe UI Light" panose="020B0502040204020203" pitchFamily="34" charset="0"/>
          </a:endParaRPr>
        </a:p>
      </xdr:txBody>
    </xdr:sp>
    <xdr:clientData/>
  </xdr:twoCellAnchor>
  <xdr:oneCellAnchor>
    <xdr:from>
      <xdr:col>1</xdr:col>
      <xdr:colOff>578350</xdr:colOff>
      <xdr:row>59</xdr:row>
      <xdr:rowOff>103437</xdr:rowOff>
    </xdr:from>
    <xdr:ext cx="143545" cy="1591009"/>
    <xdr:sp macro="" textlink="">
      <xdr:nvSpPr>
        <xdr:cNvPr id="35" name="TextBox 34">
          <a:extLst>
            <a:ext uri="{FF2B5EF4-FFF2-40B4-BE49-F238E27FC236}">
              <a16:creationId xmlns:a16="http://schemas.microsoft.com/office/drawing/2014/main" id="{00000000-0008-0000-0000-000023000000}"/>
            </a:ext>
          </a:extLst>
        </xdr:cNvPr>
        <xdr:cNvSpPr txBox="1"/>
      </xdr:nvSpPr>
      <xdr:spPr>
        <a:xfrm rot="16200000">
          <a:off x="295776" y="15355301"/>
          <a:ext cx="1591009" cy="143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500" b="1" i="0" u="none" strike="noStrike">
              <a:solidFill>
                <a:schemeClr val="bg1"/>
              </a:solidFill>
              <a:latin typeface="Calibri"/>
              <a:ea typeface="Calibri"/>
              <a:cs typeface="Calibri"/>
            </a:rPr>
            <a:t>MUTAL FUND </a:t>
          </a:r>
        </a:p>
      </xdr:txBody>
    </xdr:sp>
    <xdr:clientData/>
  </xdr:oneCellAnchor>
  <xdr:oneCellAnchor>
    <xdr:from>
      <xdr:col>11</xdr:col>
      <xdr:colOff>240631</xdr:colOff>
      <xdr:row>2</xdr:row>
      <xdr:rowOff>531393</xdr:rowOff>
    </xdr:from>
    <xdr:ext cx="1323473" cy="448009"/>
    <xdr:sp macro="" textlink="Analysis!F66">
      <xdr:nvSpPr>
        <xdr:cNvPr id="10" name="TextBox 9">
          <a:extLst>
            <a:ext uri="{FF2B5EF4-FFF2-40B4-BE49-F238E27FC236}">
              <a16:creationId xmlns:a16="http://schemas.microsoft.com/office/drawing/2014/main" id="{00000000-0008-0000-0000-00000A000000}"/>
            </a:ext>
          </a:extLst>
        </xdr:cNvPr>
        <xdr:cNvSpPr txBox="1"/>
      </xdr:nvSpPr>
      <xdr:spPr>
        <a:xfrm>
          <a:off x="13405184" y="1383630"/>
          <a:ext cx="1323473" cy="448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B33E235-1979-4BA5-B82F-7D2561204A44}" type="TxLink">
            <a:rPr lang="en-US" sz="1000" b="1" i="0" u="none" strike="noStrike">
              <a:solidFill>
                <a:schemeClr val="bg1"/>
              </a:solidFill>
              <a:latin typeface="Calibri"/>
              <a:ea typeface="Calibri"/>
              <a:cs typeface="Calibri"/>
            </a:rPr>
            <a:pPr marL="0" indent="0" algn="ctr"/>
            <a:t>USD $/ RUPEES ₹</a:t>
          </a:fld>
          <a:endParaRPr lang="en-US" sz="1000" b="1" i="0" u="none" strike="noStrike">
            <a:solidFill>
              <a:schemeClr val="bg1"/>
            </a:solidFill>
            <a:latin typeface="Calibri"/>
            <a:ea typeface="Calibri"/>
            <a:cs typeface="Calibri"/>
          </a:endParaRPr>
        </a:p>
      </xdr:txBody>
    </xdr:sp>
    <xdr:clientData/>
  </xdr:oneCellAnchor>
  <xdr:twoCellAnchor>
    <xdr:from>
      <xdr:col>3</xdr:col>
      <xdr:colOff>244307</xdr:colOff>
      <xdr:row>0</xdr:row>
      <xdr:rowOff>116641</xdr:rowOff>
    </xdr:from>
    <xdr:to>
      <xdr:col>5</xdr:col>
      <xdr:colOff>849061</xdr:colOff>
      <xdr:row>0</xdr:row>
      <xdr:rowOff>588379</xdr:rowOff>
    </xdr:to>
    <xdr:sp macro="" textlink="">
      <xdr:nvSpPr>
        <xdr:cNvPr id="18" name="Rectangle: Rounded Corners 17">
          <a:hlinkClick xmlns:r="http://schemas.openxmlformats.org/officeDocument/2006/relationships" r:id="rId19"/>
          <a:extLst>
            <a:ext uri="{FF2B5EF4-FFF2-40B4-BE49-F238E27FC236}">
              <a16:creationId xmlns:a16="http://schemas.microsoft.com/office/drawing/2014/main" id="{00000000-0008-0000-0000-000012000000}"/>
            </a:ext>
          </a:extLst>
        </xdr:cNvPr>
        <xdr:cNvSpPr/>
      </xdr:nvSpPr>
      <xdr:spPr>
        <a:xfrm>
          <a:off x="5678570" y="116641"/>
          <a:ext cx="2018465" cy="471738"/>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ADD</a:t>
          </a:r>
        </a:p>
      </xdr:txBody>
    </xdr:sp>
    <xdr:clientData/>
  </xdr:twoCellAnchor>
  <xdr:twoCellAnchor>
    <xdr:from>
      <xdr:col>6</xdr:col>
      <xdr:colOff>240631</xdr:colOff>
      <xdr:row>0</xdr:row>
      <xdr:rowOff>110290</xdr:rowOff>
    </xdr:from>
    <xdr:to>
      <xdr:col>8</xdr:col>
      <xdr:colOff>156745</xdr:colOff>
      <xdr:row>0</xdr:row>
      <xdr:rowOff>578853</xdr:rowOff>
    </xdr:to>
    <xdr:sp macro="" textlink="">
      <xdr:nvSpPr>
        <xdr:cNvPr id="21" name="Rectangle: Rounded Corners 20">
          <a:hlinkClick xmlns:r="http://schemas.openxmlformats.org/officeDocument/2006/relationships" r:id="rId20"/>
          <a:extLst>
            <a:ext uri="{FF2B5EF4-FFF2-40B4-BE49-F238E27FC236}">
              <a16:creationId xmlns:a16="http://schemas.microsoft.com/office/drawing/2014/main" id="{00000000-0008-0000-0000-000015000000}"/>
            </a:ext>
          </a:extLst>
        </xdr:cNvPr>
        <xdr:cNvSpPr/>
      </xdr:nvSpPr>
      <xdr:spPr>
        <a:xfrm>
          <a:off x="7990973" y="110290"/>
          <a:ext cx="2021640" cy="46856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STOCKS</a:t>
          </a:r>
        </a:p>
      </xdr:txBody>
    </xdr:sp>
    <xdr:clientData/>
  </xdr:twoCellAnchor>
  <xdr:twoCellAnchor>
    <xdr:from>
      <xdr:col>8</xdr:col>
      <xdr:colOff>437983</xdr:colOff>
      <xdr:row>0</xdr:row>
      <xdr:rowOff>107115</xdr:rowOff>
    </xdr:from>
    <xdr:to>
      <xdr:col>10</xdr:col>
      <xdr:colOff>220078</xdr:colOff>
      <xdr:row>0</xdr:row>
      <xdr:rowOff>582028</xdr:rowOff>
    </xdr:to>
    <xdr:sp macro="" textlink="">
      <xdr:nvSpPr>
        <xdr:cNvPr id="24" name="Rectangle: Rounded Corners 23">
          <a:hlinkClick xmlns:r="http://schemas.openxmlformats.org/officeDocument/2006/relationships" r:id="rId21"/>
          <a:extLst>
            <a:ext uri="{FF2B5EF4-FFF2-40B4-BE49-F238E27FC236}">
              <a16:creationId xmlns:a16="http://schemas.microsoft.com/office/drawing/2014/main" id="{00000000-0008-0000-0000-000018000000}"/>
            </a:ext>
          </a:extLst>
        </xdr:cNvPr>
        <xdr:cNvSpPr/>
      </xdr:nvSpPr>
      <xdr:spPr>
        <a:xfrm>
          <a:off x="10293851" y="107115"/>
          <a:ext cx="2027990" cy="47491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MUTAL</a:t>
          </a:r>
          <a:r>
            <a:rPr lang="en-AE" sz="2000" b="0" cap="none" spc="0" baseline="0">
              <a:ln>
                <a:noFill/>
              </a:ln>
              <a:solidFill>
                <a:schemeClr val="bg1"/>
              </a:solidFill>
              <a:effectLst/>
            </a:rPr>
            <a:t> FUNDS</a:t>
          </a:r>
          <a:endParaRPr lang="en-AE" sz="2000" b="0" cap="none" spc="0">
            <a:ln>
              <a:noFill/>
            </a:ln>
            <a:solidFill>
              <a:schemeClr val="bg1"/>
            </a:solidFill>
            <a:effectLst/>
          </a:endParaRPr>
        </a:p>
      </xdr:txBody>
    </xdr:sp>
    <xdr:clientData/>
  </xdr:twoCellAnchor>
  <xdr:twoCellAnchor editAs="oneCell">
    <xdr:from>
      <xdr:col>11</xdr:col>
      <xdr:colOff>608430</xdr:colOff>
      <xdr:row>0</xdr:row>
      <xdr:rowOff>0</xdr:rowOff>
    </xdr:from>
    <xdr:to>
      <xdr:col>11</xdr:col>
      <xdr:colOff>1687597</xdr:colOff>
      <xdr:row>1</xdr:row>
      <xdr:rowOff>20053</xdr:rowOff>
    </xdr:to>
    <xdr:pic>
      <xdr:nvPicPr>
        <xdr:cNvPr id="33" name="Picture 32">
          <a:hlinkClick xmlns:r="http://schemas.openxmlformats.org/officeDocument/2006/relationships" r:id="rId2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3813088" y="0"/>
          <a:ext cx="1082342" cy="691816"/>
        </a:xfrm>
        <a:prstGeom prst="rect">
          <a:avLst/>
        </a:prstGeom>
      </xdr:spPr>
    </xdr:pic>
    <xdr:clientData/>
  </xdr:twoCellAnchor>
  <xdr:twoCellAnchor>
    <xdr:from>
      <xdr:col>6</xdr:col>
      <xdr:colOff>401054</xdr:colOff>
      <xdr:row>73</xdr:row>
      <xdr:rowOff>40105</xdr:rowOff>
    </xdr:from>
    <xdr:to>
      <xdr:col>8</xdr:col>
      <xdr:colOff>1132975</xdr:colOff>
      <xdr:row>74</xdr:row>
      <xdr:rowOff>130342</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8151396" y="14387763"/>
          <a:ext cx="2837447" cy="27071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solidFill>
                <a:sysClr val="windowText" lastClr="000000"/>
              </a:solidFill>
            </a:rPr>
            <a:t>Market Cap Allocation   </a:t>
          </a:r>
        </a:p>
      </xdr:txBody>
    </xdr:sp>
    <xdr:clientData/>
  </xdr:twoCellAnchor>
  <xdr:twoCellAnchor>
    <xdr:from>
      <xdr:col>9</xdr:col>
      <xdr:colOff>812132</xdr:colOff>
      <xdr:row>73</xdr:row>
      <xdr:rowOff>50131</xdr:rowOff>
    </xdr:from>
    <xdr:to>
      <xdr:col>11</xdr:col>
      <xdr:colOff>1450139</xdr:colOff>
      <xdr:row>74</xdr:row>
      <xdr:rowOff>137193</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11811000" y="14397789"/>
          <a:ext cx="2843797" cy="2675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solidFill>
                <a:sysClr val="windowText" lastClr="000000"/>
              </a:solidFill>
            </a:rPr>
            <a:t>Top</a:t>
          </a:r>
          <a:r>
            <a:rPr lang="en-AE" sz="1100" b="1" baseline="0">
              <a:solidFill>
                <a:sysClr val="windowText" lastClr="000000"/>
              </a:solidFill>
            </a:rPr>
            <a:t> 5 Investments</a:t>
          </a:r>
          <a:r>
            <a:rPr lang="en-AE" sz="1100" b="1">
              <a:solidFill>
                <a:sysClr val="windowText" lastClr="000000"/>
              </a:solidFill>
            </a:rPr>
            <a:t>   </a:t>
          </a:r>
        </a:p>
      </xdr:txBody>
    </xdr:sp>
    <xdr:clientData/>
  </xdr:twoCellAnchor>
  <xdr:twoCellAnchor>
    <xdr:from>
      <xdr:col>6</xdr:col>
      <xdr:colOff>711869</xdr:colOff>
      <xdr:row>93</xdr:row>
      <xdr:rowOff>160420</xdr:rowOff>
    </xdr:from>
    <xdr:to>
      <xdr:col>9</xdr:col>
      <xdr:colOff>307140</xdr:colOff>
      <xdr:row>95</xdr:row>
      <xdr:rowOff>73359</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8462211" y="18117552"/>
          <a:ext cx="2843797" cy="27388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solidFill>
                <a:sysClr val="windowText" lastClr="000000"/>
              </a:solidFill>
            </a:rPr>
            <a:t>Profit</a:t>
          </a:r>
          <a:r>
            <a:rPr lang="en-AE" sz="1100" b="1" baseline="0">
              <a:solidFill>
                <a:sysClr val="windowText" lastClr="000000"/>
              </a:solidFill>
            </a:rPr>
            <a:t> and Loss Stocks vs Mutal Fund</a:t>
          </a:r>
          <a:r>
            <a:rPr lang="en-AE" sz="1100" b="1">
              <a:solidFill>
                <a:sysClr val="windowText" lastClr="000000"/>
              </a:solidFill>
            </a:rPr>
            <a:t>   </a:t>
          </a:r>
        </a:p>
      </xdr:txBody>
    </xdr:sp>
    <xdr:clientData/>
  </xdr:twoCellAnchor>
  <xdr:twoCellAnchor>
    <xdr:from>
      <xdr:col>10</xdr:col>
      <xdr:colOff>0</xdr:colOff>
      <xdr:row>94</xdr:row>
      <xdr:rowOff>0</xdr:rowOff>
    </xdr:from>
    <xdr:to>
      <xdr:col>11</xdr:col>
      <xdr:colOff>1737727</xdr:colOff>
      <xdr:row>95</xdr:row>
      <xdr:rowOff>90237</xdr:rowOff>
    </xdr:to>
    <xdr:sp macro="" textlink="">
      <xdr:nvSpPr>
        <xdr:cNvPr id="39" name="Rectangle 38">
          <a:extLst>
            <a:ext uri="{FF2B5EF4-FFF2-40B4-BE49-F238E27FC236}">
              <a16:creationId xmlns:a16="http://schemas.microsoft.com/office/drawing/2014/main" id="{00000000-0008-0000-0000-000027000000}"/>
            </a:ext>
          </a:extLst>
        </xdr:cNvPr>
        <xdr:cNvSpPr/>
      </xdr:nvSpPr>
      <xdr:spPr>
        <a:xfrm>
          <a:off x="12101763" y="18137605"/>
          <a:ext cx="2840622" cy="27071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solidFill>
                <a:sysClr val="windowText" lastClr="000000"/>
              </a:solidFill>
            </a:rPr>
            <a:t>Total</a:t>
          </a:r>
          <a:r>
            <a:rPr lang="en-AE" sz="1100" b="1" baseline="0">
              <a:solidFill>
                <a:sysClr val="windowText" lastClr="000000"/>
              </a:solidFill>
            </a:rPr>
            <a:t> Investment as per Market Cap</a:t>
          </a:r>
          <a:r>
            <a:rPr lang="en-AE" sz="1100" b="1">
              <a:solidFill>
                <a:sysClr val="windowText" lastClr="000000"/>
              </a:solidFill>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4317832</xdr:colOff>
      <xdr:row>0</xdr:row>
      <xdr:rowOff>88066</xdr:rowOff>
    </xdr:from>
    <xdr:to>
      <xdr:col>4</xdr:col>
      <xdr:colOff>293436</xdr:colOff>
      <xdr:row>0</xdr:row>
      <xdr:rowOff>559804</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4927432" y="88066"/>
          <a:ext cx="2319254" cy="471738"/>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ADD</a:t>
          </a:r>
        </a:p>
      </xdr:txBody>
    </xdr:sp>
    <xdr:clientData/>
  </xdr:twoCellAnchor>
  <xdr:twoCellAnchor>
    <xdr:from>
      <xdr:col>4</xdr:col>
      <xdr:colOff>551781</xdr:colOff>
      <xdr:row>0</xdr:row>
      <xdr:rowOff>97590</xdr:rowOff>
    </xdr:from>
    <xdr:to>
      <xdr:col>6</xdr:col>
      <xdr:colOff>550445</xdr:colOff>
      <xdr:row>0</xdr:row>
      <xdr:rowOff>572503</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00000000-0008-0000-0100-000006000000}"/>
            </a:ext>
          </a:extLst>
        </xdr:cNvPr>
        <xdr:cNvSpPr/>
      </xdr:nvSpPr>
      <xdr:spPr>
        <a:xfrm>
          <a:off x="7505031" y="97590"/>
          <a:ext cx="1808414" cy="47491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TRACKER</a:t>
          </a:r>
        </a:p>
      </xdr:txBody>
    </xdr:sp>
    <xdr:clientData/>
  </xdr:twoCellAnchor>
  <xdr:twoCellAnchor>
    <xdr:from>
      <xdr:col>6</xdr:col>
      <xdr:colOff>904708</xdr:colOff>
      <xdr:row>0</xdr:row>
      <xdr:rowOff>94415</xdr:rowOff>
    </xdr:from>
    <xdr:to>
      <xdr:col>8</xdr:col>
      <xdr:colOff>645528</xdr:colOff>
      <xdr:row>0</xdr:row>
      <xdr:rowOff>569328</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00000000-0008-0000-0100-000007000000}"/>
            </a:ext>
          </a:extLst>
        </xdr:cNvPr>
        <xdr:cNvSpPr/>
      </xdr:nvSpPr>
      <xdr:spPr>
        <a:xfrm>
          <a:off x="9667708" y="94415"/>
          <a:ext cx="1626770" cy="47491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MUTAL</a:t>
          </a:r>
          <a:r>
            <a:rPr lang="en-AE" sz="2000" b="0" cap="none" spc="0" baseline="0">
              <a:ln>
                <a:noFill/>
              </a:ln>
              <a:solidFill>
                <a:schemeClr val="bg1"/>
              </a:solidFill>
              <a:effectLst/>
            </a:rPr>
            <a:t> FUNDS</a:t>
          </a:r>
          <a:endParaRPr lang="en-AE" sz="2000" b="0" cap="none" spc="0">
            <a:ln>
              <a:noFill/>
            </a:ln>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2565232</xdr:colOff>
      <xdr:row>0</xdr:row>
      <xdr:rowOff>107116</xdr:rowOff>
    </xdr:from>
    <xdr:to>
      <xdr:col>4</xdr:col>
      <xdr:colOff>264861</xdr:colOff>
      <xdr:row>0</xdr:row>
      <xdr:rowOff>578854</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3174832" y="107116"/>
          <a:ext cx="2185904" cy="471738"/>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ADD</a:t>
          </a:r>
        </a:p>
      </xdr:txBody>
    </xdr:sp>
    <xdr:clientData/>
  </xdr:twoCellAnchor>
  <xdr:twoCellAnchor>
    <xdr:from>
      <xdr:col>4</xdr:col>
      <xdr:colOff>761331</xdr:colOff>
      <xdr:row>0</xdr:row>
      <xdr:rowOff>116640</xdr:rowOff>
    </xdr:from>
    <xdr:to>
      <xdr:col>6</xdr:col>
      <xdr:colOff>721895</xdr:colOff>
      <xdr:row>0</xdr:row>
      <xdr:rowOff>591553</xdr:rowOff>
    </xdr:to>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5857206" y="116640"/>
          <a:ext cx="1770314" cy="47491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TRACKER</a:t>
          </a:r>
        </a:p>
      </xdr:txBody>
    </xdr:sp>
    <xdr:clientData/>
  </xdr:twoCellAnchor>
  <xdr:twoCellAnchor>
    <xdr:from>
      <xdr:col>7</xdr:col>
      <xdr:colOff>66508</xdr:colOff>
      <xdr:row>0</xdr:row>
      <xdr:rowOff>113465</xdr:rowOff>
    </xdr:from>
    <xdr:to>
      <xdr:col>8</xdr:col>
      <xdr:colOff>531228</xdr:colOff>
      <xdr:row>0</xdr:row>
      <xdr:rowOff>588378</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00000000-0008-0000-0200-00000A000000}"/>
            </a:ext>
          </a:extLst>
        </xdr:cNvPr>
        <xdr:cNvSpPr/>
      </xdr:nvSpPr>
      <xdr:spPr>
        <a:xfrm>
          <a:off x="7972258" y="113465"/>
          <a:ext cx="1312445" cy="474913"/>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STOCK</a:t>
          </a:r>
        </a:p>
      </xdr:txBody>
    </xdr:sp>
    <xdr:clientData/>
  </xdr:twoCellAnchor>
  <xdr:twoCellAnchor editAs="oneCell">
    <xdr:from>
      <xdr:col>9</xdr:col>
      <xdr:colOff>0</xdr:colOff>
      <xdr:row>0</xdr:row>
      <xdr:rowOff>0</xdr:rowOff>
    </xdr:from>
    <xdr:to>
      <xdr:col>10</xdr:col>
      <xdr:colOff>469567</xdr:colOff>
      <xdr:row>1</xdr:row>
      <xdr:rowOff>28241</xdr:rowOff>
    </xdr:to>
    <xdr:pic>
      <xdr:nvPicPr>
        <xdr:cNvPr id="11" name="Picture 10">
          <a:hlinkClick xmlns:r="http://schemas.openxmlformats.org/officeDocument/2006/relationships" r:id="rId4"/>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677400" y="0"/>
          <a:ext cx="1075992" cy="691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546100</xdr:colOff>
          <xdr:row>9</xdr:row>
          <xdr:rowOff>152400</xdr:rowOff>
        </xdr:from>
        <xdr:to>
          <xdr:col>1</xdr:col>
          <xdr:colOff>2717800</xdr:colOff>
          <xdr:row>12</xdr:row>
          <xdr:rowOff>146050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E" sz="1100" b="0" i="0" u="none" strike="noStrike" baseline="0">
                  <a:solidFill>
                    <a:srgbClr val="000000"/>
                  </a:solidFill>
                  <a:latin typeface="Calibri"/>
                  <a:ea typeface="Calibri"/>
                  <a:cs typeface="Calibri"/>
                </a:rPr>
                <a:t>ADD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800100</xdr:colOff>
          <xdr:row>9</xdr:row>
          <xdr:rowOff>165100</xdr:rowOff>
        </xdr:from>
        <xdr:to>
          <xdr:col>3</xdr:col>
          <xdr:colOff>1689100</xdr:colOff>
          <xdr:row>12</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E" sz="1100" b="0" i="0" u="none" strike="noStrike" baseline="0">
                  <a:solidFill>
                    <a:srgbClr val="000000"/>
                  </a:solidFill>
                  <a:latin typeface="Calibri"/>
                  <a:ea typeface="Calibri"/>
                  <a:cs typeface="Calibri"/>
                </a:rPr>
                <a:t>ADD MUTAL FUND</a:t>
              </a:r>
            </a:p>
          </xdr:txBody>
        </xdr:sp>
        <xdr:clientData fPrintsWithSheet="0"/>
      </xdr:twoCellAnchor>
    </mc:Choice>
    <mc:Fallback/>
  </mc:AlternateContent>
  <xdr:twoCellAnchor>
    <xdr:from>
      <xdr:col>1</xdr:col>
      <xdr:colOff>3340100</xdr:colOff>
      <xdr:row>0</xdr:row>
      <xdr:rowOff>111125</xdr:rowOff>
    </xdr:from>
    <xdr:to>
      <xdr:col>3</xdr:col>
      <xdr:colOff>1198479</xdr:colOff>
      <xdr:row>0</xdr:row>
      <xdr:rowOff>582863</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3949700" y="111125"/>
          <a:ext cx="2325604" cy="471738"/>
        </a:xfrm>
        <a:prstGeom prst="roundRect">
          <a:avLst/>
        </a:prstGeom>
        <a:scene3d>
          <a:camera prst="orthographicFront"/>
          <a:lightRig rig="threePt" dir="t"/>
        </a:scene3d>
        <a:sp3d>
          <a:bevelT/>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E" sz="2000" b="0" cap="none" spc="0">
              <a:ln>
                <a:noFill/>
              </a:ln>
              <a:solidFill>
                <a:schemeClr val="bg1"/>
              </a:solidFill>
              <a:effectLst/>
            </a:rPr>
            <a:t>TRACKER</a:t>
          </a:r>
        </a:p>
      </xdr:txBody>
    </xdr:sp>
    <xdr:clientData/>
  </xdr:twoCellAnchor>
  <xdr:twoCellAnchor editAs="oneCell">
    <xdr:from>
      <xdr:col>4</xdr:col>
      <xdr:colOff>142875</xdr:colOff>
      <xdr:row>0</xdr:row>
      <xdr:rowOff>0</xdr:rowOff>
    </xdr:from>
    <xdr:to>
      <xdr:col>6</xdr:col>
      <xdr:colOff>2842</xdr:colOff>
      <xdr:row>1</xdr:row>
      <xdr:rowOff>31416</xdr:rowOff>
    </xdr:to>
    <xdr:pic>
      <xdr:nvPicPr>
        <xdr:cNvPr id="4" name="Picture 3">
          <a:hlinkClick xmlns:r="http://schemas.openxmlformats.org/officeDocument/2006/relationships" r:id="rId2"/>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39025" y="0"/>
          <a:ext cx="1079167" cy="69499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ith C Sachidanandan" refreshedDate="45408.786172800923" createdVersion="8" refreshedVersion="8" minRefreshableVersion="3" recordCount="70" xr:uid="{3234679B-78D5-4931-9D6D-39A6BBB12F73}">
  <cacheSource type="worksheet">
    <worksheetSource name="Stock_Purchase"/>
  </cacheSource>
  <cacheFields count="9">
    <cacheField name="Instrument" numFmtId="0">
      <sharedItems/>
    </cacheField>
    <cacheField name="Qty." numFmtId="0">
      <sharedItems containsSemiMixedTypes="0" containsString="0" containsNumber="1" containsInteger="1" minValue="1" maxValue="1510"/>
    </cacheField>
    <cacheField name="Percentage" numFmtId="10">
      <sharedItems containsSemiMixedTypes="0" containsString="0" containsNumber="1" minValue="-0.60246360582306824" maxValue="2.0889880952380957"/>
    </cacheField>
    <cacheField name="Avg. cost" numFmtId="164">
      <sharedItems containsSemiMixedTypes="0" containsString="0" containsNumber="1" minValue="6.37" maxValue="7767.45"/>
    </cacheField>
    <cacheField name="LTP" numFmtId="164">
      <sharedItems containsSemiMixedTypes="0" containsString="0" containsNumber="1" minValue="4" maxValue="8580.15"/>
    </cacheField>
    <cacheField name="Total Invt" numFmtId="164">
      <sharedItems containsSemiMixedTypes="0" containsString="0" containsNumber="1" minValue="997.5" maxValue="267787.5"/>
    </cacheField>
    <cacheField name="Cur. val" numFmtId="164">
      <sharedItems containsSemiMixedTypes="0" containsString="0" containsNumber="1" minValue="1272.5" maxValue="282779.89999999997"/>
    </cacheField>
    <cacheField name="P&amp;L" numFmtId="164">
      <sharedItems containsSemiMixedTypes="0" containsString="0" containsNumber="1" minValue="-31698.959999999995" maxValue="108573.92"/>
    </cacheField>
    <cacheField name="Market Cap" numFmtId="0">
      <sharedItems containsBlank="1" count="4">
        <s v="Midcap"/>
        <s v="Smallcap"/>
        <s v="Largecap"/>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th C Sachidanandan" refreshedDate="45410.769783333337" backgroundQuery="1" createdVersion="8" refreshedVersion="8" minRefreshableVersion="3" recordCount="0" supportSubquery="1" supportAdvancedDrill="1" xr:uid="{16360B4A-0C74-48EA-901B-0B5F86B746E4}">
  <cacheSource type="external" connectionId="1"/>
  <cacheFields count="4">
    <cacheField name="[Stock].[Market Cap].[Market Cap]" caption="Market Cap" numFmtId="0" hierarchy="9" level="1">
      <sharedItems count="3">
        <s v="Largecap"/>
        <s v="Midcap"/>
        <s v="Smallcap"/>
      </sharedItems>
    </cacheField>
    <cacheField name="[Stock].[Instrument].[Instrument]" caption="Instrument" numFmtId="0" level="1">
      <sharedItems count="66">
        <s v="ADITYA BIRLA CAPITAL LIMITED (XNSE:ABCAPITAL)"/>
        <s v="AFFLE (INDIA) LIMITED (XNSE:AFFLE)"/>
        <s v="ALPA LABORATORIES LIMITED (XNSE:ALPA)"/>
        <s v="ARCHIES LIMITED (XNSE:ARCHIES)"/>
        <s v="ASIAN PAINTS LIMITED (XNSE:ASIANPAINT)"/>
        <s v="AVENUE SUPERMARTS LIMITED (XNSE:DMART)"/>
        <s v="BLISS GVS PHARMA LIMITED (XNSE:BLISSGVS)"/>
        <s v="C.E. INFO SYSTEMS LIMITED (XNSE:MAPMYINDIA)"/>
        <s v="CENTRAL DEPOSITORY SERVICES (INDIA) LIMITED (XNSE:CDSL)"/>
        <s v="CLEAN SCIENCE AND TECHNOLOGY LIMITED (XNSE:CLEAN)"/>
        <s v="COMPUTER AGE MANAGEMENT SERVICES LIMITED (XNSE:CAMS)"/>
        <s v="CRAVATEX LIMITED (XBOM:509472)"/>
        <s v="DABUR INDIA LIMITED (XNSE:DABUR)"/>
        <s v="DEEPAK NITRITE LIMITED (XNSE:DEEPAKNTR)"/>
        <s v="DIXON TECHNOLOGIES (INDIA) LIMITED (XNSE:DIXON)"/>
        <s v="ELECON ENGINEERING COMPANY LIMITED (XNSE:ELECON)"/>
        <s v="ELGI RUBBER COMPANY LIMITED (XNSE:ELGIRUBCO)"/>
        <s v="Federal-Mogul Goetze (India) Limited (XNSE:FMGOETZE)"/>
        <s v="GENSOL ENGINEERING LIMITED (XNSE:GENSOL)"/>
        <s v="HAPPIEST MINDS TECHNOLOGIES LIMITED (XNSE:HAPPSTMNDS)"/>
        <s v="HBL POWER SYSTEMS LIMITED (XNSE:HBLPOWER)"/>
        <s v="HCL TECHNOLOGIES LIMITED (XNSE:HCLTECH)"/>
        <s v="HDFC BANK LIMITED (XNSE:HDFCBANK)"/>
        <s v="HFCL LIMITED (XNSE:HFCL)"/>
        <s v="HINDUSTAN UNILEVER LIMITED (XNSE:HINDUNILVR)"/>
        <s v="HPL ELECTRIC &amp; POWER LIMITED (XNSE:HPL)"/>
        <s v="IDFC FIRST BANK LIMITED (XNSE:IDFCFIRSTB)"/>
        <s v="IDFC Limited (XNSE:IDFC)"/>
        <s v="INDIAN RAILWAY CATERING AND TOURISM CORPORATION LIMITED (XNSE:IRCTC)"/>
        <s v="ITC LIMITED (XNSE:ITC)"/>
        <s v="JIO FINANCIAL SERVICES LIMITED (XNSE:JIOFIN)"/>
        <s v="Jubilant FoodWorks Limited (XNSE:JUBLFOOD)"/>
        <s v="JUBILANT INGREVIA LIMITED (XNSE:JUBLINGREA)"/>
        <s v="KPIT TECHNOLOGIES LIMITED (XNSE:KPITTECH)"/>
        <s v="LAURUS LABS LIMITED (XNSE:LAURUSLABS)"/>
        <s v="LIBAS CONSUMER PRODUCTS LIMITED (XNSE:LIBAS)"/>
        <s v="MANGALORE CHEMICALS AND FERTILISERS LIMITED (XNSE:MANGCHEFER)"/>
        <s v="MTAR TECHNOLOGIES LIMITED (XNSE:MTARTECH)"/>
        <s v="MUTHOOT CAPITAL SERVICES LIMITED (XNSE:MUTHOOTCAP)"/>
        <s v="NATH BIO-GENES (INDIA) LIMITED (XNSE:NATHBIOGEN)"/>
        <s v="NAVIN FLUORINE INTERNATIONAL LIMITED (XNSE:NAVINFLUOR)"/>
        <s v="PARAS DEFENCE AND SPACE TECHNOLOGIES LIMITED (XNSE:PARAS)"/>
        <s v="PIDILITE INDUSTRIES LIMITED (XNSE:PIDILITIND)"/>
        <s v="PRAJ INDUSTRIES LIMITED (XNSE:PRAJIND)"/>
        <s v="RAILTEL CORPORATION OF INDIA LIMITED (XNSE:RAILTEL)"/>
        <s v="RAJESH EXPORTS LIMITED (XNSE:RAJESHEXPO)"/>
        <s v="RELAXO FOOTWEARS LIMITED (XNSE:RELAXO)"/>
        <s v="RELIANCE INDUSTRIES LIMITED (XNSE:RELIANCE)"/>
        <s v="SHRIRAM PISTONS &amp; RINGS LIMITED (XNSE:SHRIPISTON)"/>
        <s v="SONA BLW PRECISION FORGINGS LIMITED (XNSE:SONACOMS)"/>
        <s v="SUBEX LIMITED (XNSE:SUBEXLTD)"/>
        <s v="TAMILNADU NEWSPRINT &amp; PAPERS LIMITED (XNSE:TNPL)"/>
        <s v="TANLA PLATFORMS LIMITED (XNSE:TANLA)"/>
        <s v="TATA CHEMICALS LIMITED (XNSE:TATACHEM)"/>
        <s v="TATA CONSULTANCY SERVICES LIMITED (XNSE:TCS)"/>
        <s v="TATA CONSUMER PRODUCTS LIMITED (XNSE:TATACONSUM)"/>
        <s v="TATA ELXSI LIMITED (XNSE:TATAELXSI)"/>
        <s v="TATA MOTORS LIMITED (XNSE:TATAMOTORS)"/>
        <s v="TATA STEEL LIMITED (XNSE:TATASTEEL)"/>
        <s v="TD POWER SYSTEMS LIMITED (XNSE:TDPOWERSYS)"/>
        <s v="THE TATA POWER COMPANY LIMITED (XNSE:TATAPOWER)"/>
        <s v="THE UNITED NILGIRI TEA ESTATES COMPANY LIMITED (XNSE:UNITEDTEA)"/>
        <s v="TITAN COMPANY LIMITED (XNSE:TITAN)"/>
        <s v="TV18 Broadcast Limited (XNSE:TV18BRDCST)"/>
        <s v="VIKAS ECOTECH LIMITED (XNSE:VIKASECO)"/>
        <s v="VOLTAS LIMITED (XNSE:VOLTAS)"/>
      </sharedItems>
    </cacheField>
    <cacheField name="[Measures].[Sum of Total Invt]" caption="Sum of Total Invt" numFmtId="0" hierarchy="15" level="32767"/>
    <cacheField name="[Stock].[Symbol].[Symbol]" caption="Symbol" numFmtId="0" hierarchy="1" level="1">
      <sharedItems count="5">
        <s v="HPL"/>
        <s v="NAVINFLUOR"/>
        <s v="PIDILITIND"/>
        <s v="TANLA"/>
        <s v="TATAELXSI"/>
      </sharedItems>
    </cacheField>
  </cacheFields>
  <cacheHierarchies count="17">
    <cacheHierarchy uniqueName="[Stock].[Instrument]" caption="Instrument" attribute="1" defaultMemberUniqueName="[Stock].[Instrument].[All]" allUniqueName="[Stock].[Instrument].[All]" dimensionUniqueName="[Stock]" displayFolder="" count="2" memberValueDatatype="130" unbalanced="0">
      <fieldsUsage count="2">
        <fieldUsage x="-1"/>
        <fieldUsage x="1"/>
      </fieldsUsage>
    </cacheHierarchy>
    <cacheHierarchy uniqueName="[Stock].[Symbol]" caption="Symbol" attribute="1" defaultMemberUniqueName="[Stock].[Symbol].[All]" allUniqueName="[Stock].[Symbol].[All]" dimensionUniqueName="[Stock]" displayFolder="" count="2" memberValueDatatype="130" unbalanced="0">
      <fieldsUsage count="2">
        <fieldUsage x="-1"/>
        <fieldUsage x="3"/>
      </fieldsUsage>
    </cacheHierarchy>
    <cacheHierarchy uniqueName="[Stock].[Qty.]" caption="Qty." attribute="1" defaultMemberUniqueName="[Stock].[Qty.].[All]" allUniqueName="[Stock].[Qty.].[All]" dimensionUniqueName="[Stock]" displayFolder="" count="0" memberValueDatatype="20" unbalanced="0"/>
    <cacheHierarchy uniqueName="[Stock].[Percentage]" caption="Percentage" attribute="1" defaultMemberUniqueName="[Stock].[Percentage].[All]" allUniqueName="[Stock].[Percentage].[All]" dimensionUniqueName="[Stock]" displayFolder="" count="0" memberValueDatatype="5" unbalanced="0"/>
    <cacheHierarchy uniqueName="[Stock].[Avg. cost]" caption="Avg. cost" attribute="1" defaultMemberUniqueName="[Stock].[Avg. cost].[All]" allUniqueName="[Stock].[Avg. cost].[All]" dimensionUniqueName="[Stock]" displayFolder="" count="0" memberValueDatatype="20" unbalanced="0"/>
    <cacheHierarchy uniqueName="[Stock].[LTP]" caption="LTP" attribute="1" defaultMemberUniqueName="[Stock].[LTP].[All]" allUniqueName="[Stock].[LTP].[All]" dimensionUniqueName="[Stock]" displayFolder="" count="0" memberValueDatatype="5" unbalanced="0"/>
    <cacheHierarchy uniqueName="[Stock].[Total Invt]" caption="Total Invt" attribute="1" defaultMemberUniqueName="[Stock].[Total Invt].[All]" allUniqueName="[Stock].[Total Invt].[All]" dimensionUniqueName="[Stock]" displayFolder="" count="0" memberValueDatatype="20" unbalanced="0"/>
    <cacheHierarchy uniqueName="[Stock].[Cur. val]" caption="Cur. val" attribute="1" defaultMemberUniqueName="[Stock].[Cur. val].[All]" allUniqueName="[Stock].[Cur. val].[All]" dimensionUniqueName="[Stock]" displayFolder="" count="0" memberValueDatatype="5" unbalanced="0"/>
    <cacheHierarchy uniqueName="[Stock].[P&amp;L]" caption="P&amp;L" attribute="1" defaultMemberUniqueName="[Stock].[P&amp;L].[All]" allUniqueName="[Stock].[P&amp;L].[All]" dimensionUniqueName="[Stock]" displayFolder="" count="0" memberValueDatatype="5" unbalanced="0"/>
    <cacheHierarchy uniqueName="[Stock].[Market Cap]" caption="Market Cap" attribute="1" defaultMemberUniqueName="[Stock].[Market Cap].[All]" allUniqueName="[Stock].[Market Cap].[All]" dimensionUniqueName="[Stock]" displayFolder="" count="2" memberValueDatatype="130" unbalanced="0">
      <fieldsUsage count="2">
        <fieldUsage x="-1"/>
        <fieldUsage x="0"/>
      </fieldsUsage>
    </cacheHierarchy>
    <cacheHierarchy uniqueName="[Measures].[__XL_Count Stock]" caption="__XL_Count Stock" measure="1" displayFolder="" measureGroup="Stock" count="0" hidden="1"/>
    <cacheHierarchy uniqueName="[Measures].[__No measures defined]" caption="__No measures defined" measure="1" displayFolder="" count="0" hidden="1"/>
    <cacheHierarchy uniqueName="[Measures].[Count of Market Cap]" caption="Count of Market Cap" measure="1" displayFolder="" measureGroup="Stock" count="0" hidden="1">
      <extLst>
        <ext xmlns:x15="http://schemas.microsoft.com/office/spreadsheetml/2010/11/main" uri="{B97F6D7D-B522-45F9-BDA1-12C45D357490}">
          <x15:cacheHierarchy aggregatedColumn="9"/>
        </ext>
      </extLst>
    </cacheHierarchy>
    <cacheHierarchy uniqueName="[Measures].[Sum of Cur. val]" caption="Sum of Cur. val" measure="1" displayFolder="" measureGroup="Stock" count="0" hidden="1">
      <extLst>
        <ext xmlns:x15="http://schemas.microsoft.com/office/spreadsheetml/2010/11/main" uri="{B97F6D7D-B522-45F9-BDA1-12C45D357490}">
          <x15:cacheHierarchy aggregatedColumn="7"/>
        </ext>
      </extLst>
    </cacheHierarchy>
    <cacheHierarchy uniqueName="[Measures].[Count of Instrument]" caption="Count of Instrument" measure="1" displayFolder="" measureGroup="Stock" count="0" hidden="1">
      <extLst>
        <ext xmlns:x15="http://schemas.microsoft.com/office/spreadsheetml/2010/11/main" uri="{B97F6D7D-B522-45F9-BDA1-12C45D357490}">
          <x15:cacheHierarchy aggregatedColumn="0"/>
        </ext>
      </extLst>
    </cacheHierarchy>
    <cacheHierarchy uniqueName="[Measures].[Sum of Total Invt]" caption="Sum of Total Invt" measure="1" displayFolder="" measureGroup="Stock" count="0" oneField="1" hidden="1">
      <fieldsUsage count="1">
        <fieldUsage x="2"/>
      </fieldsUsage>
      <extLst>
        <ext xmlns:x15="http://schemas.microsoft.com/office/spreadsheetml/2010/11/main" uri="{B97F6D7D-B522-45F9-BDA1-12C45D357490}">
          <x15:cacheHierarchy aggregatedColumn="6"/>
        </ext>
      </extLst>
    </cacheHierarchy>
    <cacheHierarchy uniqueName="[Measures].[Distinct Count of Total Invt]" caption="Distinct Count of Total Invt" measure="1" displayFolder="" measureGroup="Stock" count="0" hidden="1">
      <extLst>
        <ext xmlns:x15="http://schemas.microsoft.com/office/spreadsheetml/2010/11/main" uri="{B97F6D7D-B522-45F9-BDA1-12C45D357490}">
          <x15:cacheHierarchy aggregatedColumn="6"/>
        </ext>
      </extLst>
    </cacheHierarchy>
  </cacheHierarchies>
  <kpis count="0"/>
  <dimensions count="2">
    <dimension measure="1" name="Measures" uniqueName="[Measures]" caption="Measures"/>
    <dimension name="Stock" uniqueName="[Stock]" caption="Stock"/>
  </dimensions>
  <measureGroups count="1">
    <measureGroup name="Stock" caption="Stock"/>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th C Sachidanandan" refreshedDate="45410.769784837961" backgroundQuery="1" createdVersion="8" refreshedVersion="8" minRefreshableVersion="3" recordCount="0" supportSubquery="1" supportAdvancedDrill="1" xr:uid="{0436DCC4-4B6C-4281-87C6-8BD55A7F2FE6}">
  <cacheSource type="external" connectionId="1"/>
  <cacheFields count="2">
    <cacheField name="[Stock].[Market Cap].[Market Cap]" caption="Market Cap" numFmtId="0" hierarchy="9" level="1">
      <sharedItems count="3">
        <s v="Largecap"/>
        <s v="Midcap"/>
        <s v="Smallcap"/>
      </sharedItems>
    </cacheField>
    <cacheField name="[Measures].[Sum of Total Invt]" caption="Sum of Total Invt" numFmtId="0" hierarchy="15" level="32767"/>
  </cacheFields>
  <cacheHierarchies count="17">
    <cacheHierarchy uniqueName="[Stock].[Instrument]" caption="Instrument" attribute="1" defaultMemberUniqueName="[Stock].[Instrument].[All]" allUniqueName="[Stock].[Instrument].[All]" dimensionUniqueName="[Stock]" displayFolder="" count="0" memberValueDatatype="130" unbalanced="0"/>
    <cacheHierarchy uniqueName="[Stock].[Symbol]" caption="Symbol" attribute="1" defaultMemberUniqueName="[Stock].[Symbol].[All]" allUniqueName="[Stock].[Symbol].[All]" dimensionUniqueName="[Stock]" displayFolder="" count="0" memberValueDatatype="130" unbalanced="0"/>
    <cacheHierarchy uniqueName="[Stock].[Qty.]" caption="Qty." attribute="1" defaultMemberUniqueName="[Stock].[Qty.].[All]" allUniqueName="[Stock].[Qty.].[All]" dimensionUniqueName="[Stock]" displayFolder="" count="0" memberValueDatatype="20" unbalanced="0"/>
    <cacheHierarchy uniqueName="[Stock].[Percentage]" caption="Percentage" attribute="1" defaultMemberUniqueName="[Stock].[Percentage].[All]" allUniqueName="[Stock].[Percentage].[All]" dimensionUniqueName="[Stock]" displayFolder="" count="0" memberValueDatatype="5" unbalanced="0"/>
    <cacheHierarchy uniqueName="[Stock].[Avg. cost]" caption="Avg. cost" attribute="1" defaultMemberUniqueName="[Stock].[Avg. cost].[All]" allUniqueName="[Stock].[Avg. cost].[All]" dimensionUniqueName="[Stock]" displayFolder="" count="0" memberValueDatatype="20" unbalanced="0"/>
    <cacheHierarchy uniqueName="[Stock].[LTP]" caption="LTP" attribute="1" defaultMemberUniqueName="[Stock].[LTP].[All]" allUniqueName="[Stock].[LTP].[All]" dimensionUniqueName="[Stock]" displayFolder="" count="0" memberValueDatatype="5" unbalanced="0"/>
    <cacheHierarchy uniqueName="[Stock].[Total Invt]" caption="Total Invt" attribute="1" defaultMemberUniqueName="[Stock].[Total Invt].[All]" allUniqueName="[Stock].[Total Invt].[All]" dimensionUniqueName="[Stock]" displayFolder="" count="0" memberValueDatatype="20" unbalanced="0"/>
    <cacheHierarchy uniqueName="[Stock].[Cur. val]" caption="Cur. val" attribute="1" defaultMemberUniqueName="[Stock].[Cur. val].[All]" allUniqueName="[Stock].[Cur. val].[All]" dimensionUniqueName="[Stock]" displayFolder="" count="0" memberValueDatatype="5" unbalanced="0"/>
    <cacheHierarchy uniqueName="[Stock].[P&amp;L]" caption="P&amp;L" attribute="1" defaultMemberUniqueName="[Stock].[P&amp;L].[All]" allUniqueName="[Stock].[P&amp;L].[All]" dimensionUniqueName="[Stock]" displayFolder="" count="0" memberValueDatatype="5" unbalanced="0"/>
    <cacheHierarchy uniqueName="[Stock].[Market Cap]" caption="Market Cap" attribute="1" defaultMemberUniqueName="[Stock].[Market Cap].[All]" allUniqueName="[Stock].[Market Cap].[All]" dimensionUniqueName="[Stock]" displayFolder="" count="2" memberValueDatatype="130" unbalanced="0">
      <fieldsUsage count="2">
        <fieldUsage x="-1"/>
        <fieldUsage x="0"/>
      </fieldsUsage>
    </cacheHierarchy>
    <cacheHierarchy uniqueName="[Measures].[__XL_Count Stock]" caption="__XL_Count Stock" measure="1" displayFolder="" measureGroup="Stock" count="0" hidden="1"/>
    <cacheHierarchy uniqueName="[Measures].[__No measures defined]" caption="__No measures defined" measure="1" displayFolder="" count="0" hidden="1"/>
    <cacheHierarchy uniqueName="[Measures].[Count of Market Cap]" caption="Count of Market Cap" measure="1" displayFolder="" measureGroup="Stock" count="0" hidden="1">
      <extLst>
        <ext xmlns:x15="http://schemas.microsoft.com/office/spreadsheetml/2010/11/main" uri="{B97F6D7D-B522-45F9-BDA1-12C45D357490}">
          <x15:cacheHierarchy aggregatedColumn="9"/>
        </ext>
      </extLst>
    </cacheHierarchy>
    <cacheHierarchy uniqueName="[Measures].[Sum of Cur. val]" caption="Sum of Cur. val" measure="1" displayFolder="" measureGroup="Stock" count="0" hidden="1">
      <extLst>
        <ext xmlns:x15="http://schemas.microsoft.com/office/spreadsheetml/2010/11/main" uri="{B97F6D7D-B522-45F9-BDA1-12C45D357490}">
          <x15:cacheHierarchy aggregatedColumn="7"/>
        </ext>
      </extLst>
    </cacheHierarchy>
    <cacheHierarchy uniqueName="[Measures].[Count of Instrument]" caption="Count of Instrument" measure="1" displayFolder="" measureGroup="Stock" count="0" hidden="1">
      <extLst>
        <ext xmlns:x15="http://schemas.microsoft.com/office/spreadsheetml/2010/11/main" uri="{B97F6D7D-B522-45F9-BDA1-12C45D357490}">
          <x15:cacheHierarchy aggregatedColumn="0"/>
        </ext>
      </extLst>
    </cacheHierarchy>
    <cacheHierarchy uniqueName="[Measures].[Sum of Total Invt]" caption="Sum of Total Invt" measure="1" displayFolder="" measureGroup="Stock" count="0" oneField="1" hidden="1">
      <fieldsUsage count="1">
        <fieldUsage x="1"/>
      </fieldsUsage>
      <extLst>
        <ext xmlns:x15="http://schemas.microsoft.com/office/spreadsheetml/2010/11/main" uri="{B97F6D7D-B522-45F9-BDA1-12C45D357490}">
          <x15:cacheHierarchy aggregatedColumn="6"/>
        </ext>
      </extLst>
    </cacheHierarchy>
    <cacheHierarchy uniqueName="[Measures].[Distinct Count of Total Invt]" caption="Distinct Count of Total Invt" measure="1" displayFolder="" measureGroup="Stock" count="0" hidden="1">
      <extLst>
        <ext xmlns:x15="http://schemas.microsoft.com/office/spreadsheetml/2010/11/main" uri="{B97F6D7D-B522-45F9-BDA1-12C45D357490}">
          <x15:cacheHierarchy aggregatedColumn="6"/>
        </ext>
      </extLst>
    </cacheHierarchy>
  </cacheHierarchies>
  <kpis count="0"/>
  <dimensions count="2">
    <dimension measure="1" name="Measures" uniqueName="[Measures]" caption="Measures"/>
    <dimension name="Stock" uniqueName="[Stock]" caption="Stock"/>
  </dimensions>
  <measureGroups count="1">
    <measureGroup name="Stock" caption="Stock"/>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s v="ADITYA BIRLA CAPITAL LIMITED (XNSE:ABCAPITAL)"/>
    <n v="130"/>
    <n v="0.99396551724137927"/>
    <n v="116"/>
    <n v="231.3"/>
    <n v="15080"/>
    <n v="30069"/>
    <n v="14989"/>
    <x v="0"/>
  </r>
  <r>
    <s v="AFFLE (INDIA) LIMITED (XNSE:AFFLE)"/>
    <n v="6"/>
    <n v="2.3992589161648994E-2"/>
    <n v="1079.5"/>
    <n v="1105.4000000000001"/>
    <n v="6477"/>
    <n v="6632.4000000000005"/>
    <n v="155.40000000000055"/>
    <x v="1"/>
  </r>
  <r>
    <s v="ASIAN PAINTS LIMITED (XNSE:ASIANPAINT)"/>
    <n v="30"/>
    <n v="-9.3235009994930909E-2"/>
    <n v="3136.59"/>
    <n v="2844.15"/>
    <n v="94097.700000000012"/>
    <n v="85324.5"/>
    <n v="-8773.2000000000116"/>
    <x v="2"/>
  </r>
  <r>
    <s v="COMPUTER AGE MANAGEMENT SERVICES LIMITED (XNSE:CAMS)"/>
    <n v="24"/>
    <n v="8.3277027027027023E-2"/>
    <n v="2960"/>
    <n v="3206.5"/>
    <n v="71040"/>
    <n v="76956"/>
    <n v="5916"/>
    <x v="1"/>
  </r>
  <r>
    <s v="CENTRAL DEPOSITORY SERVICES (INDIA) LIMITED (XNSE:CDSL)"/>
    <n v="6"/>
    <n v="0.7014120234721809"/>
    <n v="1245.73"/>
    <n v="2119.5"/>
    <n v="7474.38"/>
    <n v="12717"/>
    <n v="5242.62"/>
    <x v="1"/>
  </r>
  <r>
    <s v="CLEAN SCIENCE AND TECHNOLOGY LIMITED (XNSE:CLEAN)"/>
    <n v="8"/>
    <n v="-5.7330557151062542E-2"/>
    <n v="1392.8"/>
    <n v="1312.95"/>
    <n v="11142.4"/>
    <n v="10503.6"/>
    <n v="-638.79999999999927"/>
    <x v="1"/>
  </r>
  <r>
    <s v="DABUR INDIA LIMITED (XNSE:DABUR)"/>
    <n v="140"/>
    <n v="-0.10135767376988394"/>
    <n v="566.41"/>
    <n v="509"/>
    <n v="79297.399999999994"/>
    <n v="71260"/>
    <n v="-8037.3999999999942"/>
    <x v="2"/>
  </r>
  <r>
    <s v="DEEPAK NITRITE LIMITED (XNSE:DEEPAKNTR)"/>
    <n v="3"/>
    <n v="9.4103356890459441E-2"/>
    <n v="2264"/>
    <n v="2477.0500000000002"/>
    <n v="6792"/>
    <n v="7431.1500000000005"/>
    <n v="639.15000000000055"/>
    <x v="1"/>
  </r>
  <r>
    <s v="DIXON TECHNOLOGIES (INDIA) LIMITED (XNSE:DIXON)"/>
    <n v="6"/>
    <n v="0.81572030777825744"/>
    <n v="4725.4799999999996"/>
    <n v="8580.15"/>
    <n v="28352.879999999997"/>
    <n v="51480.899999999994"/>
    <n v="23128.019999999997"/>
    <x v="0"/>
  </r>
  <r>
    <s v="AVENUE SUPERMARTS LIMITED (XNSE:DMART)"/>
    <n v="7"/>
    <n v="0.26454961798139742"/>
    <n v="3600.61"/>
    <n v="4553.1499999999996"/>
    <n v="25204.27"/>
    <n v="31872.049999999996"/>
    <n v="6667.7799999999952"/>
    <x v="2"/>
  </r>
  <r>
    <s v="ELECON ENGINEERING COMPANY LIMITED (XNSE:ELECON)"/>
    <n v="10"/>
    <n v="0.14103343465045592"/>
    <n v="987"/>
    <n v="1126.2"/>
    <n v="9870"/>
    <n v="11262"/>
    <n v="1392"/>
    <x v="1"/>
  </r>
  <r>
    <s v="GENSOL ENGINEERING LIMITED (XNSE:GENSOL)"/>
    <n v="8"/>
    <n v="-0.16218017057569295"/>
    <n v="1125.5999999999999"/>
    <n v="943.05"/>
    <n v="9004.7999999999993"/>
    <n v="7544.4"/>
    <n v="-1460.3999999999996"/>
    <x v="1"/>
  </r>
  <r>
    <s v="HAPPIEST MINDS TECHNOLOGIES LIMITED (XNSE:HAPPSTMNDS)"/>
    <n v="6"/>
    <n v="-0.29222044244339579"/>
    <n v="1154.95"/>
    <n v="817.45"/>
    <n v="6929.7000000000007"/>
    <n v="4904.7000000000007"/>
    <n v="-2025"/>
    <x v="1"/>
  </r>
  <r>
    <s v="HBL POWER SYSTEMS LIMITED (XNSE:HBLPOWER)"/>
    <n v="38"/>
    <n v="2.0889880952380957"/>
    <n v="168"/>
    <n v="518.95000000000005"/>
    <n v="6384"/>
    <n v="19720.100000000002"/>
    <n v="13336.100000000002"/>
    <x v="1"/>
  </r>
  <r>
    <s v="HCL TECHNOLOGIES LIMITED (XNSE:HCLTECH)"/>
    <n v="56"/>
    <n v="0.31508034941511315"/>
    <n v="1120.73"/>
    <n v="1473.85"/>
    <n v="62760.880000000005"/>
    <n v="82535.599999999991"/>
    <n v="19774.719999999987"/>
    <x v="2"/>
  </r>
  <r>
    <s v="HDFC BANK LIMITED (XNSE:HDFCBANK)"/>
    <n v="23"/>
    <n v="-2.7629290912603771E-2"/>
    <n v="1552.7"/>
    <n v="1509.8"/>
    <n v="35712.1"/>
    <n v="34725.4"/>
    <n v="-986.69999999999709"/>
    <x v="2"/>
  </r>
  <r>
    <s v="HFCL LIMITED (XNSE:HFCL)"/>
    <n v="150"/>
    <n v="0.19750000000000001"/>
    <n v="80"/>
    <n v="95.8"/>
    <n v="12000"/>
    <n v="14370"/>
    <n v="2370"/>
    <x v="1"/>
  </r>
  <r>
    <s v="HINDUSTAN UNILEVER LIMITED (XNSE:HINDUNILVR)"/>
    <n v="23"/>
    <n v="-0.10852231251153116"/>
    <n v="2493.2199999999998"/>
    <n v="2222.65"/>
    <n v="57344.06"/>
    <n v="51120.950000000004"/>
    <n v="-6223.1099999999933"/>
    <x v="2"/>
  </r>
  <r>
    <s v="HPL ELECTRIC &amp; POWER LIMITED (XNSE:HPL)"/>
    <n v="32"/>
    <n v="0.17776776228954069"/>
    <n v="310.63"/>
    <n v="365.85"/>
    <n v="9940.16"/>
    <n v="11707.2"/>
    <n v="1767.0400000000009"/>
    <x v="1"/>
  </r>
  <r>
    <s v="IDFC Limited (XNSE:IDFC)"/>
    <n v="10"/>
    <n v="0.27568922305764409"/>
    <n v="99.75"/>
    <n v="127.25"/>
    <n v="997.5"/>
    <n v="1272.5"/>
    <n v="275"/>
    <x v="1"/>
  </r>
  <r>
    <s v="IDFC FIRST BANK LIMITED (XNSE:IDFCFIRSTB)"/>
    <n v="810"/>
    <n v="-4.1807909604519772E-2"/>
    <n v="88.5"/>
    <n v="84.8"/>
    <n v="71685"/>
    <n v="68688"/>
    <n v="-2997"/>
    <x v="0"/>
  </r>
  <r>
    <s v="INDIAN RAILWAY CATERING AND TOURISM CORPORATION LIMITED (XNSE:IRCTC)"/>
    <n v="9"/>
    <n v="0.21601797627225225"/>
    <n v="858.91"/>
    <n v="1044.45"/>
    <n v="7730.19"/>
    <n v="9400.0500000000011"/>
    <n v="1669.8600000000015"/>
    <x v="0"/>
  </r>
  <r>
    <s v="ITC LIMITED (XNSE:ITC)"/>
    <n v="200"/>
    <n v="0.21731913127680177"/>
    <n v="361.45"/>
    <n v="440"/>
    <n v="72290"/>
    <n v="88000"/>
    <n v="15710"/>
    <x v="2"/>
  </r>
  <r>
    <s v="JIO FINANCIAL SERVICES LIMITED (XNSE:JIOFIN)"/>
    <n v="100"/>
    <n v="0.75824428887251294"/>
    <n v="217.12"/>
    <n v="381.75"/>
    <n v="21712"/>
    <n v="38175"/>
    <n v="16463"/>
    <x v="2"/>
  </r>
  <r>
    <s v="Jubilant FoodWorks Limited (XNSE:JUBLFOOD)"/>
    <n v="10"/>
    <n v="-0.36464931140682205"/>
    <n v="688.36"/>
    <n v="437.35"/>
    <n v="6883.6"/>
    <n v="4373.5"/>
    <n v="-2510.1000000000004"/>
    <x v="0"/>
  </r>
  <r>
    <s v="KPIT TECHNOLOGIES LIMITED (XNSE:KPITTECH)"/>
    <n v="6"/>
    <n v="0.23093568318690208"/>
    <n v="1150.71"/>
    <n v="1416.45"/>
    <n v="6904.26"/>
    <n v="8498.7000000000007"/>
    <n v="1594.4400000000005"/>
    <x v="0"/>
  </r>
  <r>
    <s v="LAURUS LABS LIMITED (XNSE:LAURUSLABS)"/>
    <n v="14"/>
    <n v="-0.16188740769157001"/>
    <n v="521.35"/>
    <n v="436.95"/>
    <n v="7298.9000000000005"/>
    <n v="6117.3"/>
    <n v="-1181.6000000000004"/>
    <x v="0"/>
  </r>
  <r>
    <s v="LIBAS CONSUMER PRODUCTS LIMITED (XNSE:LIBAS)"/>
    <n v="982"/>
    <n v="-0.60246360582306824"/>
    <n v="53.58"/>
    <n v="21.3"/>
    <n v="52615.56"/>
    <n v="20916.600000000002"/>
    <n v="-31698.959999999995"/>
    <x v="1"/>
  </r>
  <r>
    <s v="C.E. INFO SYSTEMS LIMITED (XNSE:MAPMYINDIA)"/>
    <n v="6"/>
    <n v="0.23685660001361528"/>
    <n v="1615.83"/>
    <n v="1998.55"/>
    <n v="9694.98"/>
    <n v="11991.3"/>
    <n v="2296.3199999999997"/>
    <x v="1"/>
  </r>
  <r>
    <s v="MTAR TECHNOLOGIES LIMITED (XNSE:MTARTECH)"/>
    <n v="6"/>
    <n v="-0.1811433265386839"/>
    <n v="2300.83"/>
    <n v="1884.05"/>
    <n v="13804.98"/>
    <n v="11304.3"/>
    <n v="-2500.6800000000003"/>
    <x v="1"/>
  </r>
  <r>
    <s v="NAVIN FLUORINE INTERNATIONAL LIMITED (XNSE:NAVINFLUOR)"/>
    <n v="2"/>
    <n v="-0.22461960150402366"/>
    <n v="4268.55"/>
    <n v="3309.75"/>
    <n v="8537.1"/>
    <n v="6619.5"/>
    <n v="-1917.6000000000004"/>
    <x v="0"/>
  </r>
  <r>
    <s v="PIDILITE INDUSTRIES LIMITED (XNSE:PIDILITIND)"/>
    <n v="31"/>
    <n v="0.21064146746388374"/>
    <n v="2463.5700000000002"/>
    <n v="2982.5"/>
    <n v="76370.67"/>
    <n v="92457.5"/>
    <n v="16086.830000000002"/>
    <x v="2"/>
  </r>
  <r>
    <s v="PRAJ INDUSTRIES LIMITED (XNSE:PRAJIND)"/>
    <n v="90"/>
    <n v="7.1948493982079309E-2"/>
    <n v="487.71"/>
    <n v="522.79999999999995"/>
    <n v="43893.9"/>
    <n v="47051.999999999993"/>
    <n v="3158.0999999999913"/>
    <x v="1"/>
  </r>
  <r>
    <s v="RAILTEL CORPORATION OF INDIA LIMITED (XNSE:RAILTEL)"/>
    <n v="26"/>
    <n v="9.7783217734258202E-2"/>
    <n v="367.65"/>
    <n v="403.6"/>
    <n v="9558.9"/>
    <n v="10493.6"/>
    <n v="934.70000000000073"/>
    <x v="1"/>
  </r>
  <r>
    <s v="RELAXO FOOTWEARS LIMITED (XNSE:RELAXO)"/>
    <n v="6"/>
    <n v="-0.34155808150817862"/>
    <n v="1262.45"/>
    <n v="831.25"/>
    <n v="7574.7000000000007"/>
    <n v="4987.5"/>
    <n v="-2587.2000000000007"/>
    <x v="0"/>
  </r>
  <r>
    <s v="RELIANCE INDUSTRIES LIMITED (XNSE:RELIANCE)"/>
    <n v="24"/>
    <n v="0.21433915889530283"/>
    <n v="2392.33"/>
    <n v="2905.1"/>
    <n v="57415.92"/>
    <n v="69722.399999999994"/>
    <n v="12306.479999999996"/>
    <x v="2"/>
  </r>
  <r>
    <s v="SHRIRAM PISTONS &amp; RINGS LIMITED (XNSE:SHRIPISTON)"/>
    <n v="6"/>
    <n v="0.21294254207777147"/>
    <n v="1723"/>
    <n v="2089.9"/>
    <n v="10338"/>
    <n v="12539.400000000001"/>
    <n v="2201.4000000000015"/>
    <x v="1"/>
  </r>
  <r>
    <s v="SONA BLW PRECISION FORGINGS LIMITED (XNSE:SONACOMS)"/>
    <n v="11"/>
    <n v="-1.5877839398313304E-2"/>
    <n v="658.15"/>
    <n v="647.70000000000005"/>
    <n v="7239.65"/>
    <n v="7124.7000000000007"/>
    <n v="-114.94999999999891"/>
    <x v="0"/>
  </r>
  <r>
    <s v="SUBEX LIMITED (XNSE:SUBEXLTD)"/>
    <n v="780"/>
    <n v="-0.50190961171228521"/>
    <n v="62.84"/>
    <n v="31.3"/>
    <n v="49015.200000000004"/>
    <n v="24414"/>
    <n v="-24601.200000000004"/>
    <x v="1"/>
  </r>
  <r>
    <s v="TANLA PLATFORMS LIMITED (XNSE:TANLA)"/>
    <n v="4"/>
    <n v="-0.47486993943616074"/>
    <n v="1779.94"/>
    <n v="934.7"/>
    <n v="7119.76"/>
    <n v="3738.8"/>
    <n v="-3380.96"/>
    <x v="1"/>
  </r>
  <r>
    <s v="TATA CHEMICALS LIMITED (XNSE:TATACHEM)"/>
    <n v="31"/>
    <n v="0.12526326346404565"/>
    <n v="997.1"/>
    <n v="1122"/>
    <n v="30910.100000000002"/>
    <n v="34782"/>
    <n v="3871.8999999999978"/>
    <x v="0"/>
  </r>
  <r>
    <s v="TATA CONSUMER PRODUCTS LIMITED (XNSE:TATACONSUM)"/>
    <n v="58"/>
    <n v="0.3999060508341164"/>
    <n v="787.66"/>
    <n v="1102.6500000000001"/>
    <n v="45684.28"/>
    <n v="63953.700000000004"/>
    <n v="18269.420000000006"/>
    <x v="2"/>
  </r>
  <r>
    <s v="TATA ELXSI LIMITED (XNSE:TATAELXSI)"/>
    <n v="1"/>
    <n v="-8.5452754765077341E-2"/>
    <n v="7767.45"/>
    <n v="7103.7"/>
    <n v="7767.45"/>
    <n v="7103.7"/>
    <n v="-663.75"/>
    <x v="0"/>
  </r>
  <r>
    <s v="TATA MOTORS LIMITED (XNSE:TATAMOTORS)"/>
    <n v="208"/>
    <n v="1.0931498816778706"/>
    <n v="477.51"/>
    <n v="999.5"/>
    <n v="99322.08"/>
    <n v="207896"/>
    <n v="108573.92"/>
    <x v="2"/>
  </r>
  <r>
    <s v="THE TATA POWER COMPANY LIMITED (XNSE:TATAPOWER)"/>
    <n v="145"/>
    <n v="0.94246843322070084"/>
    <n v="224.92"/>
    <n v="436.9"/>
    <n v="32613.399999999998"/>
    <n v="63350.5"/>
    <n v="30737.100000000002"/>
    <x v="2"/>
  </r>
  <r>
    <s v="TATA STEEL LIMITED (XNSE:TATASTEEL)"/>
    <n v="282"/>
    <n v="0.43438013669002523"/>
    <n v="115.59"/>
    <n v="165.8"/>
    <n v="32596.38"/>
    <n v="46755.600000000006"/>
    <n v="14159.220000000005"/>
    <x v="2"/>
  </r>
  <r>
    <s v="TATA CONSULTANCY SERVICES LIMITED (XNSE:TCS)"/>
    <n v="74"/>
    <n v="5.5986183074265845E-2"/>
    <n v="3618.75"/>
    <n v="3821.35"/>
    <n v="267787.5"/>
    <n v="282779.89999999997"/>
    <n v="14992.399999999965"/>
    <x v="2"/>
  </r>
  <r>
    <s v="TD POWER SYSTEMS LIMITED (XNSE:TDPOWERSYS)"/>
    <n v="38"/>
    <n v="0.26326236015878729"/>
    <n v="277.10000000000002"/>
    <n v="350.05"/>
    <n v="10529.800000000001"/>
    <n v="13301.9"/>
    <n v="2772.0999999999985"/>
    <x v="1"/>
  </r>
  <r>
    <s v="TITAN COMPANY LIMITED (XNSE:TITAN)"/>
    <n v="16"/>
    <n v="0.36207335468697177"/>
    <n v="2631.87"/>
    <n v="3584.8"/>
    <n v="42109.919999999998"/>
    <n v="57356.800000000003"/>
    <n v="15246.880000000005"/>
    <x v="2"/>
  </r>
  <r>
    <s v="VOLTAS LIMITED (XNSE:VOLTAS)"/>
    <n v="46"/>
    <n v="0.53179951563651662"/>
    <n v="949.7"/>
    <n v="1454.75"/>
    <n v="43686.200000000004"/>
    <n v="66918.5"/>
    <n v="23232.299999999996"/>
    <x v="0"/>
  </r>
  <r>
    <s v="JUBILANT INGREVIA LIMITED (XNSE:JUBLINGREA)"/>
    <n v="100"/>
    <n v="-0.2383818589025756"/>
    <n v="714.4"/>
    <n v="544.1"/>
    <n v="71440"/>
    <n v="54410"/>
    <n v="-17030"/>
    <x v="1"/>
  </r>
  <r>
    <s v="SUBEX LIMITED (XNSE:SUBEXLTD)"/>
    <n v="1000"/>
    <n v="-0.44542877391920621"/>
    <n v="56.44"/>
    <n v="31.3"/>
    <n v="56440"/>
    <n v="31300"/>
    <n v="-25140"/>
    <x v="1"/>
  </r>
  <r>
    <s v="VIKAS ECOTECH LIMITED (XNSE:VIKASECO)"/>
    <n v="1500"/>
    <n v="-0.37205651491365777"/>
    <n v="6.37"/>
    <n v="4"/>
    <n v="9555"/>
    <n v="6000"/>
    <n v="-3555"/>
    <x v="1"/>
  </r>
  <r>
    <s v="TV18 Broadcast Limited (XNSE:TV18BRDCST)"/>
    <n v="150"/>
    <n v="-0.36506849315068496"/>
    <n v="73"/>
    <n v="46.35"/>
    <n v="10950"/>
    <n v="6952.5"/>
    <n v="-3997.5"/>
    <x v="1"/>
  </r>
  <r>
    <s v="TAMILNADU NEWSPRINT &amp; PAPERS LIMITED (XNSE:TNPL)"/>
    <n v="70"/>
    <n v="3.2441661923733635E-2"/>
    <n v="263.55"/>
    <n v="272.10000000000002"/>
    <n v="18448.5"/>
    <n v="19047"/>
    <n v="598.5"/>
    <x v="1"/>
  </r>
  <r>
    <s v="MANGALORE CHEMICALS AND FERTILISERS LIMITED (XNSE:MANGCHEFER)"/>
    <n v="175"/>
    <n v="7.2158749248346366E-3"/>
    <n v="116.41"/>
    <n v="117.25"/>
    <n v="20371.75"/>
    <n v="20518.75"/>
    <n v="147"/>
    <x v="1"/>
  </r>
  <r>
    <s v="Federal-Mogul Goetze (India) Limited (XNSE:FMGOETZE)"/>
    <n v="650"/>
    <n v="2.1429540214295526E-2"/>
    <n v="368.65"/>
    <n v="376.55"/>
    <n v="239622.49999999997"/>
    <n v="244757.5"/>
    <n v="5135.0000000000291"/>
    <x v="1"/>
  </r>
  <r>
    <s v="BLISS GVS PHARMA LIMITED (XNSE:BLISSGVS)"/>
    <n v="170"/>
    <n v="3.3540575916230718E-3"/>
    <n v="122.24"/>
    <n v="122.65"/>
    <n v="20780.8"/>
    <n v="20850.5"/>
    <n v="69.700000000000728"/>
    <x v="1"/>
  </r>
  <r>
    <s v="CRAVATEX LIMITED (XBOM:509472)"/>
    <n v="145"/>
    <n v="-1.5945739567892467E-3"/>
    <n v="445.26"/>
    <n v="444.55"/>
    <n v="64562.7"/>
    <n v="64459.75"/>
    <n v="-102.94999999999709"/>
    <x v="1"/>
  </r>
  <r>
    <s v="ELGI RUBBER COMPANY LIMITED (XNSE:ELGIRUBCO)"/>
    <n v="900"/>
    <n v="1.2437810945273632E-3"/>
    <n v="56.28"/>
    <n v="56.35"/>
    <n v="50652"/>
    <n v="50715"/>
    <n v="63"/>
    <x v="1"/>
  </r>
  <r>
    <s v="MUTHOOT CAPITAL SERVICES LIMITED (XNSE:MUTHOOTCAP)"/>
    <n v="250"/>
    <n v="-0.2145174677431525"/>
    <n v="397.59"/>
    <n v="312.3"/>
    <n v="99397.5"/>
    <n v="78075"/>
    <n v="-21322.5"/>
    <x v="1"/>
  </r>
  <r>
    <s v="RAJESH EXPORTS LIMITED (XNSE:RAJESHEXPO)"/>
    <n v="550"/>
    <n v="-0.11639185257032007"/>
    <n v="360.85"/>
    <n v="318.85000000000002"/>
    <n v="198467.5"/>
    <n v="175367.5"/>
    <n v="-23100"/>
    <x v="1"/>
  </r>
  <r>
    <s v="NATH BIO-GENES (INDIA) LIMITED (XNSE:NATHBIOGEN)"/>
    <n v="445"/>
    <n v="-8.1732046400425154E-2"/>
    <n v="225.86"/>
    <n v="207.4"/>
    <n v="100507.70000000001"/>
    <n v="92293"/>
    <n v="-8214.7000000000116"/>
    <x v="1"/>
  </r>
  <r>
    <s v="ARCHIES LIMITED (XNSE:ARCHIES)"/>
    <n v="1510"/>
    <n v="-9.5952023988005994E-2"/>
    <n v="33.35"/>
    <n v="30.15"/>
    <n v="50358.5"/>
    <n v="45526.5"/>
    <n v="-4832"/>
    <x v="1"/>
  </r>
  <r>
    <s v="THE UNITED NILGIRI TEA ESTATES COMPANY LIMITED (XNSE:UNITEDTEA)"/>
    <n v="80"/>
    <n v="3.047337278106509E-2"/>
    <n v="338"/>
    <n v="348.3"/>
    <n v="27040"/>
    <n v="27864"/>
    <n v="824"/>
    <x v="1"/>
  </r>
  <r>
    <s v="ALPA LABORATORIES LIMITED (XNSE:ALPA)"/>
    <n v="630"/>
    <n v="-0.11386593204775022"/>
    <n v="108.9"/>
    <n v="96.5"/>
    <n v="68607"/>
    <n v="60795"/>
    <n v="-7812"/>
    <x v="1"/>
  </r>
  <r>
    <s v="IDFC FIRST BANK LIMITED (XNSE:IDFCFIRSTB)"/>
    <n v="66"/>
    <n v="-7.1193866374589271E-2"/>
    <n v="91.3"/>
    <n v="84.8"/>
    <n v="6025.8"/>
    <n v="5596.8"/>
    <n v="-429"/>
    <x v="0"/>
  </r>
  <r>
    <s v="ITC LIMITED (XNSE:ITC)"/>
    <n v="243"/>
    <n v="0.46349575918842512"/>
    <n v="300.64999999999998"/>
    <n v="440"/>
    <n v="73057.95"/>
    <n v="106920"/>
    <n v="33862.050000000003"/>
    <x v="2"/>
  </r>
  <r>
    <s v="TATA CONSULTANCY SERVICES LIMITED (XNSE:TCS)"/>
    <n v="10"/>
    <n v="0.12392647058823529"/>
    <n v="3400"/>
    <n v="3821.35"/>
    <n v="34000"/>
    <n v="38213.5"/>
    <n v="4213.5"/>
    <x v="2"/>
  </r>
  <r>
    <s v="PARAS DEFENCE AND SPACE TECHNOLOGIES LIMITED (XNSE:PARAS)"/>
    <n v="28"/>
    <n v="-2.7628032345012425E-3"/>
    <n v="742"/>
    <n v="739.95"/>
    <n v="20776"/>
    <n v="20718.600000000002"/>
    <n v="-57.39999999999781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740EC2-2D2A-4AFF-8AC1-DB68144FC387}" name="PivotTable1" cacheId="2" applyNumberFormats="0" applyBorderFormats="0" applyFontFormats="0" applyPatternFormats="0" applyAlignmentFormats="0" applyWidthHeightFormats="1" dataCaption="Values" tag="6c689094-321d-4a66-b587-052a60d7ee94" updatedVersion="8" minRefreshableVersion="3" useAutoFormatting="1" subtotalHiddenItems="1" rowGrandTotals="0" colGrandTotals="0" itemPrintTitles="1" createdVersion="8" indent="0" outline="1" outlineData="1" multipleFieldFilters="0" chartFormat="25">
  <location ref="A3:B6" firstHeaderRow="1" firstDataRow="1" firstDataCol="1"/>
  <pivotFields count="2">
    <pivotField axis="axisRow" allDrilled="1" subtotalTop="0" showAll="0" dataSourceSort="1" defaultSubtotal="0" defaultAttributeDrillState="1">
      <items count="3">
        <item s="1" x="0"/>
        <item s="1" x="1"/>
        <item s="1" x="2"/>
      </items>
    </pivotField>
    <pivotField dataField="1" subtotalTop="0" showAll="0" defaultSubtotal="0"/>
  </pivotFields>
  <rowFields count="1">
    <field x="0"/>
  </rowFields>
  <rowItems count="3">
    <i>
      <x/>
    </i>
    <i>
      <x v="1"/>
    </i>
    <i>
      <x v="2"/>
    </i>
  </rowItems>
  <colItems count="1">
    <i/>
  </colItems>
  <dataFields count="1">
    <dataField name="Sum of Total Invt" fld="1" baseField="0" baseItem="0" numFmtId="168"/>
  </dataFields>
  <formats count="2">
    <format dxfId="1">
      <pivotArea collapsedLevelsAreSubtotals="1" fieldPosition="0">
        <references count="1">
          <reference field="0" count="1">
            <x v="0"/>
          </reference>
        </references>
      </pivotArea>
    </format>
    <format dxfId="0">
      <pivotArea outline="0" collapsedLevelsAreSubtotals="1" fieldPosition="0"/>
    </format>
  </formats>
  <chartFormats count="16">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0" count="1" selected="0">
            <x v="0"/>
          </reference>
        </references>
      </pivotArea>
    </chartFormat>
    <chartFormat chart="1" format="6">
      <pivotArea type="data" outline="0" fieldPosition="0">
        <references count="2">
          <reference field="4294967294" count="1" selected="0">
            <x v="0"/>
          </reference>
          <reference field="0" count="1" selected="0">
            <x v="1"/>
          </reference>
        </references>
      </pivotArea>
    </chartFormat>
    <chartFormat chart="1" format="7">
      <pivotArea type="data" outline="0" fieldPosition="0">
        <references count="2">
          <reference field="4294967294" count="1" selected="0">
            <x v="0"/>
          </reference>
          <reference field="0"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0" count="1" selected="0">
            <x v="0"/>
          </reference>
        </references>
      </pivotArea>
    </chartFormat>
    <chartFormat chart="2" format="10">
      <pivotArea type="data" outline="0" fieldPosition="0">
        <references count="2">
          <reference field="4294967294" count="1" selected="0">
            <x v="0"/>
          </reference>
          <reference field="0" count="1" selected="0">
            <x v="1"/>
          </reference>
        </references>
      </pivotArea>
    </chartFormat>
    <chartFormat chart="2" format="11">
      <pivotArea type="data" outline="0" fieldPosition="0">
        <references count="2">
          <reference field="4294967294" count="1" selected="0">
            <x v="0"/>
          </reference>
          <reference field="0" count="1" selected="0">
            <x v="2"/>
          </reference>
        </references>
      </pivotArea>
    </chartFormat>
    <chartFormat chart="9" format="32" series="1">
      <pivotArea type="data" outline="0" fieldPosition="0">
        <references count="1">
          <reference field="4294967294" count="1" selected="0">
            <x v="0"/>
          </reference>
        </references>
      </pivotArea>
    </chartFormat>
    <chartFormat chart="9" format="33">
      <pivotArea type="data" outline="0" fieldPosition="0">
        <references count="2">
          <reference field="4294967294" count="1" selected="0">
            <x v="0"/>
          </reference>
          <reference field="0" count="1" selected="0">
            <x v="0"/>
          </reference>
        </references>
      </pivotArea>
    </chartFormat>
    <chartFormat chart="9" format="34">
      <pivotArea type="data" outline="0" fieldPosition="0">
        <references count="2">
          <reference field="4294967294" count="1" selected="0">
            <x v="0"/>
          </reference>
          <reference field="0" count="1" selected="0">
            <x v="1"/>
          </reference>
        </references>
      </pivotArea>
    </chartFormat>
    <chartFormat chart="9" format="35">
      <pivotArea type="data" outline="0" fieldPosition="0">
        <references count="2">
          <reference field="4294967294" count="1" selected="0">
            <x v="0"/>
          </reference>
          <reference field="0" count="1" selected="0">
            <x v="2"/>
          </reference>
        </references>
      </pivotArea>
    </chartFormat>
    <chartFormat chart="10" format="36" series="1">
      <pivotArea type="data" outline="0" fieldPosition="0">
        <references count="1">
          <reference field="4294967294" count="1" selected="0">
            <x v="0"/>
          </reference>
        </references>
      </pivotArea>
    </chartFormat>
    <chartFormat chart="10" format="37">
      <pivotArea type="data" outline="0" fieldPosition="0">
        <references count="2">
          <reference field="4294967294" count="1" selected="0">
            <x v="0"/>
          </reference>
          <reference field="0" count="1" selected="0">
            <x v="0"/>
          </reference>
        </references>
      </pivotArea>
    </chartFormat>
    <chartFormat chart="10" format="38">
      <pivotArea type="data" outline="0" fieldPosition="0">
        <references count="2">
          <reference field="4294967294" count="1" selected="0">
            <x v="0"/>
          </reference>
          <reference field="0" count="1" selected="0">
            <x v="1"/>
          </reference>
        </references>
      </pivotArea>
    </chartFormat>
    <chartFormat chart="10" format="39">
      <pivotArea type="data" outline="0" fieldPosition="0">
        <references count="2">
          <reference field="4294967294" count="1" selected="0">
            <x v="0"/>
          </reference>
          <reference field="0" count="1" selected="0">
            <x v="2"/>
          </reference>
        </references>
      </pivotArea>
    </chartFormat>
  </chart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ite Holdings.xlsx!Stock">
        <x15:activeTabTopLevelEntity name="[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A3C3E9-CCD6-4D56-92F3-9D26C1DE55C3}"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2">
  <location ref="A84:C87" firstHeaderRow="0" firstDataRow="1" firstDataCol="1"/>
  <pivotFields count="9">
    <pivotField compact="0" outline="0" showAll="0" defaultSubtotal="0"/>
    <pivotField compact="0" outline="0" showAll="0" defaultSubtotal="0"/>
    <pivotField compact="0" numFmtId="10" outline="0" showAll="0" defaultSubtotal="0"/>
    <pivotField compact="0" outline="0" showAll="0" defaultSubtotal="0"/>
    <pivotField compact="0" outline="0" showAll="0" defaultSubtotal="0"/>
    <pivotField dataField="1" compact="0" numFmtId="164" outline="0" showAll="0" defaultSubtotal="0"/>
    <pivotField compact="0" numFmtId="164" outline="0" showAll="0" defaultSubtotal="0"/>
    <pivotField dataField="1" compact="0" numFmtId="164" outline="0" showAll="0" defaultSubtotal="0"/>
    <pivotField axis="axisRow" compact="0" outline="0" showAll="0" defaultSubtotal="0">
      <items count="4">
        <item x="2"/>
        <item x="0"/>
        <item x="1"/>
        <item m="1" x="3"/>
      </items>
    </pivotField>
  </pivotFields>
  <rowFields count="1">
    <field x="8"/>
  </rowFields>
  <rowItems count="3">
    <i>
      <x/>
    </i>
    <i>
      <x v="1"/>
    </i>
    <i>
      <x v="2"/>
    </i>
  </rowItems>
  <colFields count="1">
    <field x="-2"/>
  </colFields>
  <colItems count="2">
    <i>
      <x/>
    </i>
    <i i="1">
      <x v="1"/>
    </i>
  </colItems>
  <dataFields count="2">
    <dataField name="Sum of Total Invt" fld="5" baseField="0" baseItem="0"/>
    <dataField name="Sum of P&amp;L" fld="7" baseField="0" baseItem="0"/>
  </dataFields>
  <formats count="1">
    <format dxfId="2">
      <pivotArea outline="0" collapsedLevelsAreSubtotals="1" fieldPosition="0"/>
    </format>
  </formats>
  <chartFormats count="6">
    <chartFormat chart="2" format="21" series="1">
      <pivotArea type="data" outline="0" fieldPosition="0">
        <references count="1">
          <reference field="4294967294" count="1" selected="0">
            <x v="0"/>
          </reference>
        </references>
      </pivotArea>
    </chartFormat>
    <chartFormat chart="2" format="22" series="1">
      <pivotArea type="data" outline="0" fieldPosition="0">
        <references count="1">
          <reference field="4294967294" count="1" selected="0">
            <x v="1"/>
          </reference>
        </references>
      </pivotArea>
    </chartFormat>
    <chartFormat chart="8" format="23" series="1">
      <pivotArea type="data" outline="0" fieldPosition="0">
        <references count="1">
          <reference field="4294967294" count="1" selected="0">
            <x v="0"/>
          </reference>
        </references>
      </pivotArea>
    </chartFormat>
    <chartFormat chart="8" format="24" series="1">
      <pivotArea type="data" outline="0" fieldPosition="0">
        <references count="1">
          <reference field="4294967294" count="1" selected="0">
            <x v="1"/>
          </reference>
        </references>
      </pivotArea>
    </chartFormat>
    <chartFormat chart="15" format="29" series="1">
      <pivotArea type="data" outline="0" fieldPosition="0">
        <references count="1">
          <reference field="4294967294" count="1" selected="0">
            <x v="0"/>
          </reference>
        </references>
      </pivotArea>
    </chartFormat>
    <chartFormat chart="15" format="3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E18186-B0EB-4FA3-888C-9831B465FF94}" name="PivotTable2" cacheId="1" applyNumberFormats="0" applyBorderFormats="0" applyFontFormats="0" applyPatternFormats="0" applyAlignmentFormats="0" applyWidthHeightFormats="1" dataCaption="Values" tag="dbbe946c-11a8-4261-910a-d8de0581bb63" updatedVersion="8" minRefreshableVersion="3" useAutoFormatting="1" subtotalHiddenItems="1" rowGrandTotals="0" colGrandTotals="0" itemPrintTitles="1" createdVersion="8" indent="0" outline="1" outlineData="1" multipleFieldFilters="0" chartFormat="28">
  <location ref="A11:B16" firstHeaderRow="1" firstDataRow="1" firstDataCol="1"/>
  <pivotFields count="4">
    <pivotField allDrilled="1" subtotalTop="0" showAll="0" dataSourceSort="1" defaultSubtotal="0" defaultAttributeDrillState="1">
      <items count="3">
        <item s="1" x="0"/>
        <item s="1" x="1"/>
        <item s="1" x="2"/>
      </items>
    </pivotField>
    <pivotField allDrilled="1" subtotalTop="0" showAll="0" sortType="ascending" dataSourceSort="1" defaultSubtotal="0" defaultAttributeDrillState="1">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5">
    <i>
      <x v="3"/>
    </i>
    <i>
      <x v="2"/>
    </i>
    <i>
      <x v="4"/>
    </i>
    <i>
      <x v="1"/>
    </i>
    <i>
      <x/>
    </i>
  </rowItems>
  <colItems count="1">
    <i/>
  </colItems>
  <dataFields count="1">
    <dataField name="Sum of Total Invt" fld="2" baseField="0" baseItem="0"/>
  </dataFields>
  <chartFormats count="3">
    <chartFormat chart="2"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22" format="11"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Distinct Count of Total Invt"/>
  </pivotHierarchies>
  <pivotTableStyleInfo name="PivotStyleLight16" showRowHeaders="1" showColHeaders="1" showRowStripes="0" showColStripes="0" showLastColumn="1"/>
  <filters count="1">
    <filter fld="3" type="count" id="3" iMeasureHier="15">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ite Holdings.xlsx!Stock">
        <x15:activeTabTopLevelEntity name="[Stock]"/>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62">
  <a r="1" c="248">
    <v t="i">2</v>
    <v t="i">3</v>
    <v t="i">4</v>
    <v t="i">5</v>
    <v t="i">8</v>
    <v t="i">9</v>
    <v t="i">10</v>
    <v t="i">11</v>
    <v t="i">12</v>
    <v t="i">15</v>
    <v t="i">16</v>
    <v t="i">17</v>
    <v t="i">18</v>
    <v t="i">19</v>
    <v t="i">22</v>
    <v t="i">23</v>
    <v t="i">24</v>
    <v t="i">25</v>
    <v t="i">26</v>
    <v t="i">29</v>
    <v t="i">30</v>
    <v t="i">31</v>
    <v t="i">32</v>
    <v t="i">33</v>
    <v t="i">36</v>
    <v t="i">37</v>
    <v t="i">38</v>
    <v t="i">39</v>
    <v t="i">40</v>
    <v t="i">43</v>
    <v t="i">44</v>
    <v t="i">45</v>
    <v t="i">46</v>
    <v t="i">47</v>
    <v t="i">50</v>
    <v t="i">51</v>
    <v t="i">52</v>
    <v t="i">53</v>
    <v t="i">54</v>
    <v t="i">57</v>
    <v t="i">58</v>
    <v t="i">59</v>
    <v t="i">61</v>
    <v t="i">64</v>
    <v t="i">65</v>
    <v t="i">66</v>
    <v t="i">67</v>
    <v t="i">68</v>
    <v t="i">71</v>
    <v t="i">72</v>
    <v t="i">73</v>
    <v t="i">74</v>
    <v t="i">75</v>
    <v t="i">78</v>
    <v t="i">79</v>
    <v t="i">80</v>
    <v t="i">81</v>
    <v t="i">82</v>
    <v t="i">85</v>
    <v t="i">86</v>
    <v t="i">87</v>
    <v t="i">88</v>
    <v t="i">89</v>
    <v t="i">92</v>
    <v t="i">93</v>
    <v t="i">94</v>
    <v t="i">95</v>
    <v t="i">96</v>
    <v t="i">99</v>
    <v t="i">100</v>
    <v t="i">101</v>
    <v t="i">102</v>
    <v t="i">103</v>
    <v t="i">106</v>
    <v t="i">108</v>
    <v t="i">109</v>
    <v t="i">110</v>
    <v t="i">113</v>
    <v t="i">114</v>
    <v t="i">115</v>
    <v t="i">116</v>
    <v t="i">117</v>
    <v t="i">120</v>
    <v t="i">121</v>
    <v t="i">122</v>
    <v t="i">123</v>
    <v t="i">124</v>
    <v t="i">127</v>
    <v t="i">128</v>
    <v t="i">129</v>
    <v t="i">130</v>
    <v t="i">131</v>
    <v t="i">134</v>
    <v t="i">135</v>
    <v t="i">136</v>
    <v t="i">137</v>
    <v t="i">138</v>
    <v t="i">141</v>
    <v t="i">143</v>
    <v t="i">144</v>
    <v t="i">145</v>
    <v t="i">148</v>
    <v t="i">149</v>
    <v t="i">150</v>
    <v t="i">151</v>
    <v t="i">152</v>
    <v t="i">156</v>
    <v t="i">157</v>
    <v t="i">158</v>
    <v t="i">159</v>
    <v t="i">162</v>
    <v t="i">163</v>
    <v t="i">164</v>
    <v t="i">165</v>
    <v t="i">166</v>
    <v t="i">169</v>
    <v t="i">170</v>
    <v t="i">171</v>
    <v t="i">172</v>
    <v t="i">173</v>
    <v t="i">176</v>
    <v t="i">178</v>
    <v t="i">179</v>
    <v t="i">180</v>
    <v t="i">183</v>
    <v t="i">184</v>
    <v t="i">185</v>
    <v t="i">186</v>
    <v t="i">187</v>
    <v t="i">190</v>
    <v t="i">191</v>
    <v t="i">192</v>
    <v t="i">193</v>
    <v t="i">194</v>
    <v t="i">196</v>
    <v t="i">197</v>
    <v t="i">199</v>
    <v t="i">200</v>
    <v t="i">201</v>
    <v t="i">204</v>
    <v t="i">205</v>
    <v t="i">206</v>
    <v t="i">207</v>
    <v t="i">208</v>
    <v t="i">212</v>
    <v t="i">213</v>
    <v t="i">214</v>
    <v t="i">215</v>
    <v t="i">218</v>
    <v t="i">219</v>
    <v t="i">220</v>
    <v t="i">221</v>
    <v t="i">222</v>
    <v t="i">225</v>
    <v t="i">226</v>
    <v t="i">227</v>
    <v t="i">228</v>
    <v t="i">229</v>
    <v t="i">232</v>
    <v t="i">233</v>
    <v t="i">234</v>
    <v t="i">235</v>
    <v t="i">236</v>
    <v t="i">240</v>
    <v t="i">241</v>
    <v t="i">242</v>
    <v t="i">243</v>
    <v t="i">246</v>
    <v t="i">247</v>
    <v t="i">248</v>
    <v t="i">249</v>
    <v t="i">250</v>
    <v t="i">253</v>
    <v t="i">254</v>
    <v t="i">255</v>
    <v t="i">256</v>
    <v t="i">257</v>
    <v t="i">260</v>
    <v t="i">261</v>
    <v t="i">262</v>
    <v t="i">263</v>
    <v t="i">264</v>
    <v t="i">265</v>
    <v t="i">268</v>
    <v t="i">269</v>
    <v t="i">270</v>
    <v t="i">274</v>
    <v t="i">275</v>
    <v t="i">276</v>
    <v t="i">277</v>
    <v t="i">278</v>
    <v t="i">281</v>
    <v t="i">282</v>
    <v t="i">283</v>
    <v t="i">284</v>
    <v t="i">285</v>
    <v t="i">288</v>
    <v t="i">289</v>
    <v t="i">290</v>
    <v t="i">291</v>
    <v t="i">292</v>
    <v t="i">295</v>
    <v t="i">296</v>
    <v t="i">297</v>
    <v t="i">298</v>
    <v t="i">299</v>
    <v t="i">302</v>
    <v t="i">303</v>
    <v t="i">304</v>
    <v t="i">305</v>
    <v t="i">306</v>
    <v t="i">307</v>
    <v t="i">309</v>
    <v t="i">310</v>
    <v t="i">311</v>
    <v t="i">312</v>
    <v t="i">316</v>
    <v t="i">317</v>
    <v t="i">318</v>
    <v t="i">319</v>
    <v t="i">320</v>
    <v t="i">323</v>
    <v t="i">324</v>
    <v t="i">325</v>
    <v t="i">326</v>
    <v t="i">327</v>
    <v t="i">331</v>
    <v t="i">332</v>
    <v t="i">333</v>
    <v t="i">337</v>
    <v t="i">338</v>
    <v t="i">339</v>
    <v t="i">340</v>
    <v t="i">341</v>
    <v t="i">344</v>
    <v t="i">345</v>
    <v t="i">346</v>
    <v t="i">348</v>
    <v t="i">351</v>
    <v t="i">352</v>
    <v t="i">354</v>
    <v t="i">355</v>
    <v t="i">358</v>
    <v t="i">359</v>
    <v t="i">360</v>
    <v t="i">361</v>
    <v t="i">362</v>
    <v t="i">365</v>
  </a>
  <a r="1" c="248">
    <v>4800.3999999999996</v>
    <v>4799.5</v>
    <v>4816.2</v>
    <v>4784.1000000000004</v>
    <v>4788.3999999999996</v>
    <v>4799</v>
    <v>4764.55</v>
    <v>4724.3500000000004</v>
    <v>4748</v>
    <v>4695.3999999999996</v>
    <v>4680</v>
    <v>4652.45</v>
    <v>4619.8999999999996</v>
    <v>4556.05</v>
    <v>4591.5</v>
    <v>4559.3500000000004</v>
    <v>4601.5</v>
    <v>4602.8</v>
    <v>4620.8500000000004</v>
    <v>4640.8</v>
    <v>4672.75</v>
    <v>4665.1000000000004</v>
    <v>4592.25</v>
    <v>4615.55</v>
    <v>4645.8</v>
    <v>4627.3999999999996</v>
    <v>4705.8</v>
    <v>4581.25</v>
    <v>4458.8</v>
    <v>4409.1499999999996</v>
    <v>4570.3500000000004</v>
    <v>4627.8999999999996</v>
    <v>4632.1499999999996</v>
    <v>4653.75</v>
    <v>4641.8</v>
    <v>4617.3</v>
    <v>4669.3999999999996</v>
    <v>4553.95</v>
    <v>4458.5</v>
    <v>4457.3</v>
    <v>4422.8999999999996</v>
    <v>4486.7</v>
    <v>4502</v>
    <v>4472.2</v>
    <v>4552.7</v>
    <v>4615</v>
    <v>4616.25</v>
    <v>4532.25</v>
    <v>4462.75</v>
    <v>4269.05</v>
    <v>4293.05</v>
    <v>4332.6499999999996</v>
    <v>4403.05</v>
    <v>4435.3</v>
    <v>4384.2</v>
    <v>4417.8999999999996</v>
    <v>4474.95</v>
    <v>4386.6499999999996</v>
    <v>4422.5</v>
    <v>4308.3999999999996</v>
    <v>4307.3999999999996</v>
    <v>4265.55</v>
    <v>4271.3</v>
    <v>4264.75</v>
    <v>4554.3500000000004</v>
    <v>4588.3500000000004</v>
    <v>4503.6499999999996</v>
    <v>4505.8500000000004</v>
    <v>4404.7</v>
    <v>4477.3500000000004</v>
    <v>4461.6000000000004</v>
    <v>4409.8500000000004</v>
    <v>4470.8500000000004</v>
    <v>4482.45</v>
    <v>4491.55</v>
    <v>4445.3</v>
    <v>4414.8</v>
    <v>4462.6499999999996</v>
    <v>4489.7</v>
    <v>4513.75</v>
    <v>4544.55</v>
    <v>4507.45</v>
    <v>4509.45</v>
    <v>4624.8999999999996</v>
    <v>4626.95</v>
    <v>4604.8500000000004</v>
    <v>4599.1499999999996</v>
    <v>4556.8500000000004</v>
    <v>4605.3500000000004</v>
    <v>4686.1000000000004</v>
    <v>4686.3500000000004</v>
    <v>4662.45</v>
    <v>4685.05</v>
    <v>4506</v>
    <v>4476.1000000000004</v>
    <v>4540.3999999999996</v>
    <v>4543.55</v>
    <v>4489.1499999999996</v>
    <v>4515.3500000000004</v>
    <v>4493.8</v>
    <v>4469.3500000000004</v>
    <v>4451.05</v>
    <v>4440.95</v>
    <v>4444.8500000000004</v>
    <v>4357.6499999999996</v>
    <v>3766.7</v>
    <v>3820.35</v>
    <v>3825.15</v>
    <v>3695.6</v>
    <v>3718.65</v>
    <v>3719.9</v>
    <v>3703.2</v>
    <v>3702.3</v>
    <v>3719.1</v>
    <v>3691.55</v>
    <v>3695.15</v>
    <v>3696.8</v>
    <v>3675.4</v>
    <v>3648.3</v>
    <v>3606.4</v>
    <v>3530.25</v>
    <v>3476.3</v>
    <v>3429.8</v>
    <v>3431.95</v>
    <v>3424.15</v>
    <v>3438.25</v>
    <v>3479.75</v>
    <v>3477.05</v>
    <v>3538.85</v>
    <v>3636.05</v>
    <v>3604.65</v>
    <v>3603.15</v>
    <v>3597.25</v>
    <v>3609.45</v>
    <v>3624.5</v>
    <v>3638.1</v>
    <v>3645.6</v>
    <v>3649.75</v>
    <v>3620.05</v>
    <v>3606.8</v>
    <v>3626.75</v>
    <v>3610.45</v>
    <v>3708.1</v>
    <v>3732.75</v>
    <v>3692.7</v>
    <v>3703.75</v>
    <v>3701.1</v>
    <v>3729.9</v>
    <v>3740.1</v>
    <v>3803.45</v>
    <v>3794.45</v>
    <v>3795.9</v>
    <v>3802.9</v>
    <v>3801</v>
    <v>3769.4</v>
    <v>3789.85</v>
    <v>3862.65</v>
    <v>3870.75</v>
    <v>3881.8</v>
    <v>3867.4</v>
    <v>3721.3</v>
    <v>3743.9</v>
    <v>3763.5</v>
    <v>3797.85</v>
    <v>3851</v>
    <v>3840.55</v>
    <v>3853.2</v>
    <v>3857.55</v>
    <v>3856.85</v>
    <v>3867.85</v>
    <v>3796.2</v>
    <v>3822.65</v>
    <v>3609.7</v>
    <v>3500.85</v>
    <v>3491.05</v>
    <v>3531.4</v>
    <v>3534.85</v>
    <v>3536.2</v>
    <v>3489.75</v>
    <v>3445.95</v>
    <v>3402.5</v>
    <v>3411</v>
    <v>3442.4</v>
    <v>3362.35</v>
    <v>3420.3</v>
    <v>3344.55</v>
    <v>3324.1</v>
    <v>3308.05</v>
    <v>3417.5</v>
    <v>3322.6</v>
    <v>3325.2</v>
    <v>3235.15</v>
    <v>3261.5</v>
    <v>3093.2</v>
    <v>3073.4</v>
    <v>3028.4</v>
    <v>3073.95</v>
    <v>3103.5</v>
    <v>3102.85</v>
    <v>3126.1</v>
    <v>3174.25</v>
    <v>3172.35</v>
    <v>3203.5</v>
    <v>3164.95</v>
    <v>3194.3</v>
    <v>3150.7</v>
    <v>3108.9</v>
    <v>3120.55</v>
    <v>3017.7</v>
    <v>3021.1</v>
    <v>3053.65</v>
    <v>3069</v>
    <v>3050.2</v>
    <v>3043.45</v>
    <v>3025.55</v>
    <v>3059.8</v>
    <v>3049.85</v>
    <v>3018.95</v>
    <v>2924.25</v>
    <v>2998.05</v>
    <v>3001.15</v>
    <v>3011.45</v>
    <v>2997.45</v>
    <v>2966.55</v>
    <v>3086.05</v>
    <v>3092.95</v>
    <v>3127.95</v>
    <v>3136.05</v>
    <v>3114.3</v>
    <v>3130.7</v>
    <v>3150.9</v>
    <v>3145.55</v>
    <v>3132.95</v>
    <v>3147.6</v>
    <v>3096.4</v>
    <v>3057.6</v>
    <v>3245.7</v>
    <v>3296.65</v>
    <v>3244.75</v>
    <v>3229.5</v>
    <v>3228.85</v>
    <v>3222.65</v>
    <v>3278.6</v>
    <v>3374.15</v>
    <v>3283.5</v>
    <v>3306.85</v>
    <v>3309.75</v>
    <v>3424.85</v>
  </a>
  <a r="1" c="62">
    <v t="i">0</v>
    <v t="i">1</v>
    <v t="i">2</v>
    <v t="i">3</v>
    <v t="i">4</v>
    <v t="i">7</v>
    <v t="i">8</v>
    <v t="i">9</v>
    <v t="i">10</v>
    <v t="i">11</v>
    <v t="i">14</v>
    <v t="i">15</v>
    <v t="i">16</v>
    <v t="i">17</v>
    <v t="i">18</v>
    <v t="i">21</v>
    <v t="i">22</v>
    <v t="i">23</v>
    <v t="i">24</v>
    <v t="i">25</v>
    <v t="i">28</v>
    <v t="i">29</v>
    <v t="i">30</v>
    <v t="i">31</v>
    <v t="i">32</v>
    <v t="i">33</v>
    <v t="i">35</v>
    <v t="i">36</v>
    <v t="i">37</v>
    <v t="i">38</v>
    <v t="i">42</v>
    <v t="i">43</v>
    <v t="i">44</v>
    <v t="i">45</v>
    <v t="i">46</v>
    <v t="i">49</v>
    <v t="i">50</v>
    <v t="i">51</v>
    <v t="i">52</v>
    <v t="i">53</v>
    <v t="i">57</v>
    <v t="i">58</v>
    <v t="i">59</v>
    <v t="i">63</v>
    <v t="i">64</v>
    <v t="i">65</v>
    <v t="i">66</v>
    <v t="i">67</v>
    <v t="i">70</v>
    <v t="i">71</v>
    <v t="i">72</v>
    <v t="i">74</v>
    <v t="i">77</v>
    <v t="i">78</v>
    <v t="i">80</v>
    <v t="i">81</v>
    <v t="i">84</v>
    <v t="i">85</v>
    <v t="i">86</v>
    <v t="i">87</v>
    <v t="i">88</v>
    <v t="i">91</v>
  </a>
  <a r="1" c="62">
    <v>981.8</v>
    <v>964.05</v>
    <v>977.2</v>
    <v>963.3</v>
    <v>967.5</v>
    <v>946.65</v>
    <v>965.25</v>
    <v>954.75</v>
    <v>944.35</v>
    <v>939.15</v>
    <v>900.1</v>
    <v>910.45</v>
    <v>929.2</v>
    <v>951.5</v>
    <v>940.65</v>
    <v>946.95</v>
    <v>951.9</v>
    <v>925.75</v>
    <v>935.65</v>
    <v>964.85</v>
    <v>968.4</v>
    <v>952.75</v>
    <v>924.05</v>
    <v>927.4</v>
    <v>929.3</v>
    <v>933.7</v>
    <v>938</v>
    <v>935.8</v>
    <v>929.05</v>
    <v>937.2</v>
    <v>938.6</v>
    <v>920.95</v>
    <v>880.65</v>
    <v>898.75</v>
    <v>912.5</v>
    <v>918.9</v>
    <v>906.4</v>
    <v>901.9</v>
    <v>934.75</v>
    <v>928.7</v>
    <v>928.75</v>
    <v>929.95</v>
    <v>929.7</v>
    <v>970.15</v>
    <v>1003.8</v>
    <v>1014.65</v>
    <v>998.15</v>
    <v>1002.95</v>
    <v>1014.8</v>
    <v>1010.45</v>
    <v>1023</v>
    <v>1057.6500000000001</v>
    <v>1029.5</v>
    <v>1016.45</v>
    <v>992.95</v>
    <v>992</v>
    <v>1000.05</v>
    <v>1016.3</v>
    <v>1025.3499999999999</v>
    <v>1027.8</v>
    <v>1044.45</v>
    <v>1045.25</v>
  </a>
  <a r="1" c="248">
    <v>626.95000000000005</v>
    <v>627.70000000000005</v>
    <v>631.6</v>
    <v>625.4</v>
    <v>628.1</v>
    <v>622.6</v>
    <v>624.29999999999995</v>
    <v>626.6</v>
    <v>628.45000000000005</v>
    <v>632.35</v>
    <v>626.15</v>
    <v>622.75</v>
    <v>614.85</v>
    <v>610.35</v>
    <v>623.5</v>
    <v>624.35</v>
    <v>618.9</v>
    <v>618.54999999999995</v>
    <v>624.35</v>
    <v>645.75</v>
    <v>643.75</v>
    <v>649.5</v>
    <v>649.5</v>
    <v>645.45000000000005</v>
    <v>643.65</v>
    <v>643</v>
    <v>652.9</v>
    <v>644</v>
    <v>640.15</v>
    <v>645.9</v>
    <v>647.6</v>
    <v>643.5</v>
    <v>643</v>
    <v>665</v>
    <v>667.85</v>
    <v>664.05</v>
    <v>662.35</v>
    <v>644.9</v>
    <v>627.79999999999995</v>
    <v>632.45000000000005</v>
    <v>630.6</v>
    <v>628.79999999999995</v>
    <v>635.1</v>
    <v>633.1</v>
    <v>628.70000000000005</v>
    <v>630.6</v>
    <v>632.29999999999995</v>
    <v>630.65</v>
    <v>615.9</v>
    <v>619</v>
    <v>620.70000000000005</v>
    <v>617.75</v>
    <v>622.85</v>
    <v>625.54999999999995</v>
    <v>622.85</v>
    <v>625.5</v>
    <v>625.15</v>
    <v>623.1</v>
    <v>620.29999999999995</v>
    <v>619.45000000000005</v>
    <v>620</v>
    <v>619.5</v>
    <v>630.65</v>
    <v>640.65</v>
    <v>642.75</v>
    <v>637.75</v>
    <v>660.2</v>
    <v>653.54999999999995</v>
    <v>653.79999999999995</v>
    <v>642.6</v>
    <v>648.65</v>
    <v>646.45000000000005</v>
    <v>662.5</v>
    <v>649.65</v>
    <v>641.35</v>
    <v>649.1</v>
    <v>643.4</v>
    <v>650.5</v>
    <v>651.70000000000005</v>
    <v>649.65</v>
    <v>659.6</v>
    <v>658.25</v>
    <v>678.1</v>
    <v>672.5</v>
    <v>672.55</v>
    <v>672</v>
    <v>688.35</v>
    <v>703.25</v>
    <v>701.9</v>
    <v>708.5</v>
    <v>707.25</v>
    <v>725.55</v>
    <v>717.4</v>
    <v>688.2</v>
    <v>687</v>
    <v>696.4</v>
    <v>695.65</v>
    <v>689.35</v>
    <v>678.55</v>
    <v>671.3</v>
    <v>663.35</v>
    <v>689.2</v>
    <v>681.55</v>
    <v>682</v>
    <v>672.1</v>
    <v>680.85</v>
    <v>703.55</v>
    <v>704.05</v>
    <v>719.45</v>
    <v>719.8</v>
    <v>702.85</v>
    <v>705.7</v>
    <v>704.6</v>
    <v>700.25</v>
    <v>704.15</v>
    <v>703.35</v>
    <v>714.6</v>
    <v>703.85</v>
    <v>699.65</v>
    <v>692.1</v>
    <v>666.2</v>
    <v>658.05</v>
    <v>645.04999999999995</v>
    <v>659.35</v>
    <v>663.3</v>
    <v>665.35</v>
    <v>652.85</v>
    <v>655.29999999999995</v>
    <v>663.6</v>
    <v>671.5</v>
    <v>681.1</v>
    <v>676.9</v>
    <v>670.55</v>
    <v>672.45</v>
    <v>677.15</v>
    <v>671</v>
    <v>677.35</v>
    <v>679.65</v>
    <v>707.35</v>
    <v>701.3</v>
    <v>708.95</v>
    <v>700</v>
    <v>700</v>
    <v>692.8</v>
    <v>696.8</v>
    <v>700.5</v>
    <v>705.75</v>
    <v>701.3</v>
    <v>720.85</v>
    <v>715.1</v>
    <v>740.5</v>
    <v>757.8</v>
    <v>749.55</v>
    <v>762.1</v>
    <v>770.6</v>
    <v>777.95</v>
    <v>791.05</v>
    <v>780.85</v>
    <v>879.15</v>
    <v>882.1</v>
    <v>815.15</v>
    <v>868.25</v>
    <v>860.9</v>
    <v>869.8</v>
    <v>867.5</v>
    <v>864.15</v>
    <v>887.5</v>
    <v>891.85</v>
    <v>886.2</v>
    <v>899.25</v>
    <v>901.55</v>
    <v>905.9</v>
    <v>916.55</v>
    <v>918.8</v>
    <v>941.7</v>
    <v>940.3</v>
    <v>951.2</v>
    <v>967.4</v>
    <v>949.65</v>
    <v>934.7</v>
    <v>927.25</v>
    <v>983.8</v>
    <v>1027</v>
    <v>935.35</v>
    <v>970.6</v>
    <v>970.3</v>
    <v>981.8</v>
    <v>964.05</v>
    <v>977.2</v>
    <v>963.3</v>
    <v>967.5</v>
    <v>946.65</v>
    <v>965.25</v>
    <v>954.75</v>
    <v>944.35</v>
    <v>939.15</v>
    <v>900.1</v>
    <v>910.45</v>
    <v>929.2</v>
    <v>951.5</v>
    <v>940.65</v>
    <v>946.95</v>
    <v>951.9</v>
    <v>925.75</v>
    <v>935.65</v>
    <v>964.85</v>
    <v>968.4</v>
    <v>952.75</v>
    <v>924.05</v>
    <v>927.4</v>
    <v>929.3</v>
    <v>933.7</v>
    <v>938</v>
    <v>935.8</v>
    <v>929.05</v>
    <v>937.2</v>
    <v>938.6</v>
    <v>920.95</v>
    <v>880.65</v>
    <v>898.75</v>
    <v>912.5</v>
    <v>918.9</v>
    <v>906.4</v>
    <v>901.9</v>
    <v>934.75</v>
    <v>928.7</v>
    <v>928.75</v>
    <v>929.95</v>
    <v>929.7</v>
    <v>970.15</v>
    <v>1003.8</v>
    <v>1014.65</v>
    <v>998.15</v>
    <v>1002.95</v>
    <v>1014.8</v>
    <v>1010.45</v>
    <v>1023</v>
    <v>1057.6500000000001</v>
    <v>1029.5</v>
    <v>1016.45</v>
    <v>992.95</v>
    <v>992</v>
    <v>1000.05</v>
    <v>1016.3</v>
    <v>1025.3499999999999</v>
    <v>1027.8</v>
    <v>1044.45</v>
    <v>1045.25</v>
  </a>
  <a r="1" c="248">
    <v>2663.85</v>
    <v>2654.05</v>
    <v>2670.4</v>
    <v>2732.9</v>
    <v>2751.25</v>
    <v>2748.4</v>
    <v>2745.45</v>
    <v>2757.85</v>
    <v>2773.2</v>
    <v>2779.55</v>
    <v>2790.25</v>
    <v>2762.4</v>
    <v>2721.85</v>
    <v>2701.65</v>
    <v>2712.55</v>
    <v>2683.45</v>
    <v>2707.25</v>
    <v>2707.95</v>
    <v>2742.15</v>
    <v>2812.25</v>
    <v>2802.5</v>
    <v>2823.25</v>
    <v>2827.25</v>
    <v>2861.65</v>
    <v>2855.7</v>
    <v>2881.45</v>
    <v>2906.95</v>
    <v>2877</v>
    <v>2876.25</v>
    <v>2852.6</v>
    <v>2912.5</v>
    <v>2907.05</v>
    <v>2908</v>
    <v>2954.3</v>
    <v>2968.6</v>
    <v>2974</v>
    <v>2971.1</v>
    <v>2970.25</v>
    <v>2939.15</v>
    <v>2972.6</v>
    <v>2975.7</v>
    <v>3028.1</v>
    <v>3047.65</v>
    <v>3038.3</v>
    <v>3074.65</v>
    <v>3099.85</v>
    <v>3106.4</v>
    <v>3144</v>
    <v>3045.55</v>
    <v>3087.6</v>
    <v>3096.5</v>
    <v>3084.75</v>
    <v>3055.55</v>
    <v>3033.45</v>
    <v>2996.45</v>
    <v>2995.65</v>
    <v>2989.3</v>
    <v>2976.3</v>
    <v>2979.2</v>
    <v>3029</v>
    <v>3008.35</v>
    <v>3002.1</v>
    <v>2987</v>
    <v>3004.05</v>
    <v>3001.9</v>
    <v>2977.15</v>
    <v>2902.1</v>
    <v>2904.4</v>
    <v>2904.6</v>
    <v>2921.25</v>
    <v>2955.9</v>
    <v>2988.55</v>
    <v>3017.25</v>
    <v>3010.65</v>
    <v>3011.1</v>
    <v>3071.75</v>
    <v>3050.45</v>
    <v>3078.3</v>
    <v>3075.6</v>
    <v>3070</v>
    <v>3061.2</v>
    <v>3067.2</v>
    <v>3048.55</v>
    <v>3079.4</v>
    <v>3082.2</v>
    <v>3104.45</v>
    <v>3116.8</v>
    <v>3100.3</v>
    <v>3136.15</v>
    <v>3176.05</v>
    <v>3172.8</v>
    <v>3199.1</v>
    <v>3213.3</v>
    <v>3185.8</v>
    <v>3263.2</v>
    <v>3261.35</v>
    <v>3248.6</v>
    <v>3339.5</v>
    <v>3306.65</v>
    <v>3304.5</v>
    <v>3274.5</v>
    <v>3283.95</v>
    <v>3262.6</v>
    <v>3214.55</v>
    <v>3157.25</v>
    <v>3148.8</v>
    <v>3196.25</v>
    <v>3166.65</v>
    <v>3216.5</v>
    <v>3309.75</v>
    <v>3267.5</v>
    <v>3269.2</v>
    <v>3280.5</v>
    <v>3285</v>
    <v>3283.75</v>
    <v>3301.4</v>
    <v>3308.45</v>
    <v>3282.75</v>
    <v>3284.65</v>
    <v>3266.2</v>
    <v>3219.75</v>
    <v>3187.85</v>
    <v>3100.8</v>
    <v>3120.7</v>
    <v>3116.45</v>
    <v>3189.65</v>
    <v>3173.4</v>
    <v>3201.5</v>
    <v>3274.5</v>
    <v>3267.05</v>
    <v>3270.2</v>
    <v>3311.85</v>
    <v>3283.75</v>
    <v>3256.35</v>
    <v>3280.6</v>
    <v>3264.75</v>
    <v>3295.95</v>
    <v>3335.95</v>
    <v>3338.85</v>
    <v>3345.85</v>
    <v>3394.45</v>
    <v>3429.85</v>
    <v>3408.4</v>
    <v>3396.95</v>
    <v>3442.4</v>
    <v>3429.3</v>
    <v>3490.6</v>
    <v>3489.5</v>
    <v>3488.4</v>
    <v>3545.3</v>
    <v>3546.9</v>
    <v>3585.4</v>
    <v>3634.65</v>
    <v>3630.5</v>
    <v>3571.4</v>
    <v>3602.35</v>
    <v>3591.4</v>
    <v>3600.55</v>
    <v>3619.6</v>
    <v>3610.45</v>
    <v>3554.1</v>
    <v>3580</v>
    <v>3627.35</v>
    <v>3656.7</v>
    <v>3689.25</v>
    <v>3715.1</v>
    <v>3675.45</v>
    <v>3677.15</v>
    <v>3698.25</v>
    <v>3693.05</v>
    <v>3719.7</v>
    <v>3712.55</v>
    <v>3706.05</v>
    <v>3694</v>
    <v>3714.45</v>
    <v>3698.6</v>
    <v>3726</v>
    <v>3758.85</v>
    <v>3820.3</v>
    <v>3830.05</v>
    <v>3734.7</v>
    <v>3810.6</v>
    <v>3784.7</v>
    <v>3739.65</v>
    <v>3767.85</v>
    <v>3770.2</v>
    <v>3866.65</v>
    <v>3735.75</v>
    <v>3697.55</v>
    <v>3627.45</v>
    <v>3612.4</v>
    <v>3552.05</v>
    <v>3559.15</v>
    <v>3576.5</v>
    <v>3549.1</v>
    <v>3591.6</v>
    <v>3585.25</v>
    <v>3559.95</v>
    <v>3585.55</v>
    <v>3622.05</v>
    <v>3655.4</v>
    <v>3695.05</v>
    <v>3686.7</v>
    <v>3656.35</v>
    <v>3652.05</v>
    <v>3691.95</v>
    <v>3622.5</v>
    <v>3653.85</v>
    <v>3594.7</v>
    <v>3624.4</v>
    <v>3765.9</v>
    <v>3764.1</v>
    <v>3732.4</v>
    <v>3750.75</v>
    <v>3810.75</v>
    <v>3786.9</v>
    <v>3750.15</v>
    <v>3748.8</v>
    <v>3625.7</v>
    <v>3640.15</v>
    <v>3633.2</v>
    <v>3579.7</v>
    <v>3583.4</v>
    <v>3590.5</v>
    <v>3627.55</v>
    <v>3706.7</v>
    <v>3698.2</v>
    <v>3759.4</v>
    <v>3801.8</v>
    <v>3738.4</v>
    <v>3755.95</v>
    <v>3712.5</v>
    <v>3782.75</v>
    <v>3754.45</v>
    <v>3748.9</v>
    <v>3679.35</v>
    <v>3711.2</v>
    <v>3619.3</v>
    <v>3600.6</v>
    <v>3645.9</v>
    <v>3525.1</v>
    <v>3563.05</v>
    <v>3596.75</v>
    <v>3633</v>
    <v>3609.75</v>
    <v>3571.1</v>
    <v>3584.8</v>
    <v>3604.85</v>
  </a>
  <a r="1" c="248">
    <v>828.25</v>
    <v>829.25</v>
    <v>828.95</v>
    <v>871.45</v>
    <v>855.6</v>
    <v>854.8</v>
    <v>848.1</v>
    <v>848.65</v>
    <v>855.55</v>
    <v>864.3</v>
    <v>868.15</v>
    <v>868.7</v>
    <v>875.85</v>
    <v>875</v>
    <v>903.25</v>
    <v>890.8</v>
    <v>878.5</v>
    <v>881.9</v>
    <v>888.45</v>
    <v>889.75</v>
    <v>895.95</v>
    <v>920.5</v>
    <v>918.85</v>
    <v>928.9</v>
    <v>928.45</v>
    <v>912.65</v>
    <v>919.6</v>
    <v>913.45</v>
    <v>907.4</v>
    <v>917.9</v>
    <v>914.05</v>
    <v>916.6</v>
    <v>917.1</v>
    <v>908</v>
    <v>916.4</v>
    <v>945.2</v>
    <v>1005.1</v>
    <v>982.35</v>
    <v>955.5</v>
    <v>951.65</v>
    <v>956.8</v>
    <v>951.1</v>
    <v>978.5</v>
    <v>984</v>
    <v>987.65</v>
    <v>996.15</v>
    <v>985.25</v>
    <v>981.15</v>
    <v>957.4</v>
    <v>994.6</v>
    <v>980.8</v>
    <v>962.55</v>
    <v>973.5</v>
    <v>995.45</v>
    <v>935.7</v>
    <v>943.7</v>
    <v>942</v>
    <v>934.6</v>
    <v>931.5</v>
    <v>922.9</v>
    <v>923.85</v>
    <v>926.45</v>
    <v>925</v>
    <v>924.85</v>
    <v>930.85</v>
    <v>922.55</v>
    <v>916.7</v>
    <v>919.25</v>
    <v>931.25</v>
    <v>926.5</v>
    <v>923.85</v>
    <v>912.45</v>
    <v>904.25</v>
    <v>893</v>
    <v>898.65</v>
    <v>897</v>
    <v>891.55</v>
    <v>899.2</v>
    <v>911.45</v>
    <v>917.05</v>
    <v>916.9</v>
    <v>912.05</v>
    <v>898.3</v>
    <v>902.35</v>
    <v>908.75</v>
    <v>928.25</v>
    <v>924.7</v>
    <v>916.6</v>
    <v>918</v>
    <v>919.85</v>
    <v>919.65</v>
    <v>939.5</v>
    <v>955.7</v>
    <v>933</v>
    <v>915</v>
    <v>930.4</v>
    <v>941.95</v>
    <v>930.05</v>
    <v>924.1</v>
    <v>922.95</v>
    <v>911.6</v>
    <v>906.7</v>
    <v>903.7</v>
    <v>910.7</v>
    <v>872.95</v>
    <v>874.8</v>
    <v>855.95</v>
    <v>852.75</v>
    <v>856.5</v>
    <v>856.8</v>
    <v>839.5</v>
    <v>847.15</v>
    <v>857.45</v>
    <v>847.4</v>
    <v>845.65</v>
    <v>858.05</v>
    <v>860.7</v>
    <v>836.6</v>
    <v>832.15</v>
    <v>829.15</v>
    <v>811.35</v>
    <v>816.55</v>
    <v>813.55</v>
    <v>832</v>
    <v>829.05</v>
    <v>819.3</v>
    <v>811.5</v>
    <v>811</v>
    <v>817.1</v>
    <v>824.85</v>
    <v>840.95</v>
    <v>834.75</v>
    <v>829.45</v>
    <v>825.85</v>
    <v>841.05</v>
    <v>834.6</v>
    <v>840.25</v>
    <v>853.7</v>
    <v>848.25</v>
    <v>848.65</v>
    <v>844.15</v>
    <v>845.1</v>
    <v>836.75</v>
    <v>832.35</v>
    <v>831.35</v>
    <v>834.15</v>
    <v>836.65</v>
    <v>837.8</v>
    <v>839.1</v>
    <v>837.5</v>
    <v>840.35</v>
    <v>867.2</v>
    <v>882.7</v>
    <v>879.1</v>
    <v>904.3</v>
    <v>894.65</v>
    <v>913.2</v>
    <v>935.2</v>
    <v>936.4</v>
    <v>925.7</v>
    <v>884.85</v>
    <v>914.3</v>
    <v>916.65</v>
    <v>908.8</v>
    <v>902.8</v>
    <v>897.9</v>
    <v>896.05</v>
    <v>903.65</v>
    <v>909.5</v>
    <v>903.75</v>
    <v>900.7</v>
    <v>903.8</v>
    <v>890.75</v>
    <v>895.15</v>
    <v>892.65</v>
    <v>889.85</v>
    <v>922.5</v>
    <v>945.3</v>
    <v>934.9</v>
    <v>925.7</v>
    <v>883.95</v>
    <v>889.6</v>
    <v>884.4</v>
    <v>856.3</v>
    <v>867.75</v>
    <v>866.55</v>
    <v>856.2</v>
    <v>857.4</v>
    <v>876.05</v>
    <v>864.2</v>
    <v>873.9</v>
    <v>855.8</v>
    <v>869.1</v>
    <v>862.3</v>
    <v>852.8</v>
    <v>841.95</v>
    <v>829.85</v>
    <v>835.6</v>
    <v>827.35</v>
    <v>836.4</v>
    <v>836.5</v>
    <v>838.4</v>
    <v>834.1</v>
    <v>826</v>
    <v>822.5</v>
    <v>848.65</v>
    <v>834.75</v>
    <v>872.65</v>
    <v>849.05</v>
    <v>846.95</v>
    <v>848.25</v>
    <v>856</v>
    <v>839.9</v>
    <v>827.9</v>
    <v>824.55</v>
    <v>831.4</v>
    <v>823.3</v>
    <v>805.9</v>
    <v>785.15</v>
    <v>801.85</v>
    <v>792.6</v>
    <v>787.15</v>
    <v>783.7</v>
    <v>775.6</v>
    <v>779.65</v>
    <v>777.6</v>
    <v>765.55</v>
    <v>752</v>
    <v>744.4</v>
    <v>796.5</v>
    <v>806.8</v>
    <v>818.45</v>
    <v>821.75</v>
    <v>824.35</v>
    <v>816.65</v>
    <v>821.6</v>
    <v>818.85</v>
    <v>821.95</v>
    <v>801.05</v>
    <v>813.05</v>
    <v>808.9</v>
    <v>812.35</v>
    <v>809.35</v>
    <v>811.15</v>
    <v>819.05</v>
    <v>819.85</v>
    <v>817.45</v>
    <v>814.3</v>
  </a>
  <a r="1" c="205">
    <v t="i">64</v>
    <v t="i">65</v>
    <v t="i">66</v>
    <v t="i">67</v>
    <v t="i">68</v>
    <v t="i">71</v>
    <v t="i">72</v>
    <v t="i">73</v>
    <v t="i">74</v>
    <v t="i">75</v>
    <v t="i">78</v>
    <v t="i">79</v>
    <v t="i">80</v>
    <v t="i">81</v>
    <v t="i">82</v>
    <v t="i">85</v>
    <v t="i">86</v>
    <v t="i">87</v>
    <v t="i">88</v>
    <v t="i">89</v>
    <v t="i">92</v>
    <v t="i">93</v>
    <v t="i">94</v>
    <v t="i">95</v>
    <v t="i">96</v>
    <v t="i">99</v>
    <v t="i">100</v>
    <v t="i">101</v>
    <v t="i">102</v>
    <v t="i">103</v>
    <v t="i">106</v>
    <v t="i">108</v>
    <v t="i">109</v>
    <v t="i">110</v>
    <v t="i">113</v>
    <v t="i">114</v>
    <v t="i">115</v>
    <v t="i">116</v>
    <v t="i">117</v>
    <v t="i">120</v>
    <v t="i">121</v>
    <v t="i">122</v>
    <v t="i">123</v>
    <v t="i">124</v>
    <v t="i">127</v>
    <v t="i">128</v>
    <v t="i">129</v>
    <v t="i">130</v>
    <v t="i">131</v>
    <v t="i">134</v>
    <v t="i">135</v>
    <v t="i">136</v>
    <v t="i">137</v>
    <v t="i">138</v>
    <v t="i">141</v>
    <v t="i">143</v>
    <v t="i">144</v>
    <v t="i">145</v>
    <v t="i">148</v>
    <v t="i">149</v>
    <v t="i">150</v>
    <v t="i">151</v>
    <v t="i">152</v>
    <v t="i">156</v>
    <v t="i">157</v>
    <v t="i">158</v>
    <v t="i">159</v>
    <v t="i">162</v>
    <v t="i">163</v>
    <v t="i">164</v>
    <v t="i">165</v>
    <v t="i">166</v>
    <v t="i">169</v>
    <v t="i">170</v>
    <v t="i">171</v>
    <v t="i">172</v>
    <v t="i">173</v>
    <v t="i">176</v>
    <v t="i">178</v>
    <v t="i">179</v>
    <v t="i">180</v>
    <v t="i">183</v>
    <v t="i">184</v>
    <v t="i">185</v>
    <v t="i">186</v>
    <v t="i">187</v>
    <v t="i">190</v>
    <v t="i">191</v>
    <v t="i">192</v>
    <v t="i">193</v>
    <v t="i">194</v>
    <v t="i">196</v>
    <v t="i">197</v>
    <v t="i">199</v>
    <v t="i">200</v>
    <v t="i">201</v>
    <v t="i">204</v>
    <v t="i">205</v>
    <v t="i">206</v>
    <v t="i">207</v>
    <v t="i">208</v>
    <v t="i">212</v>
    <v t="i">213</v>
    <v t="i">214</v>
    <v t="i">215</v>
    <v t="i">218</v>
    <v t="i">219</v>
    <v t="i">220</v>
    <v t="i">221</v>
    <v t="i">222</v>
    <v t="i">225</v>
    <v t="i">226</v>
    <v t="i">227</v>
    <v t="i">228</v>
    <v t="i">229</v>
    <v t="i">232</v>
    <v t="i">233</v>
    <v t="i">234</v>
    <v t="i">235</v>
    <v t="i">236</v>
    <v t="i">240</v>
    <v t="i">241</v>
    <v t="i">242</v>
    <v t="i">243</v>
    <v t="i">246</v>
    <v t="i">247</v>
    <v t="i">248</v>
    <v t="i">249</v>
    <v t="i">250</v>
    <v t="i">253</v>
    <v t="i">254</v>
    <v t="i">255</v>
    <v t="i">256</v>
    <v t="i">257</v>
    <v t="i">260</v>
    <v t="i">261</v>
    <v t="i">262</v>
    <v t="i">263</v>
    <v t="i">264</v>
    <v t="i">265</v>
    <v t="i">268</v>
    <v t="i">269</v>
    <v t="i">270</v>
    <v t="i">274</v>
    <v t="i">275</v>
    <v t="i">276</v>
    <v t="i">277</v>
    <v t="i">278</v>
    <v t="i">281</v>
    <v t="i">282</v>
    <v t="i">283</v>
    <v t="i">284</v>
    <v t="i">285</v>
    <v t="i">288</v>
    <v t="i">289</v>
    <v t="i">290</v>
    <v t="i">291</v>
    <v t="i">292</v>
    <v t="i">295</v>
    <v t="i">296</v>
    <v t="i">297</v>
    <v t="i">298</v>
    <v t="i">299</v>
    <v t="i">302</v>
    <v t="i">303</v>
    <v t="i">304</v>
    <v t="i">305</v>
    <v t="i">306</v>
    <v t="i">307</v>
    <v t="i">309</v>
    <v t="i">310</v>
    <v t="i">311</v>
    <v t="i">312</v>
    <v t="i">316</v>
    <v t="i">317</v>
    <v t="i">318</v>
    <v t="i">319</v>
    <v t="i">320</v>
    <v t="i">323</v>
    <v t="i">324</v>
    <v t="i">325</v>
    <v t="i">326</v>
    <v t="i">327</v>
    <v t="i">331</v>
    <v t="i">332</v>
    <v t="i">333</v>
    <v t="i">337</v>
    <v t="i">338</v>
    <v t="i">339</v>
    <v t="i">340</v>
    <v t="i">341</v>
    <v t="i">344</v>
    <v t="i">345</v>
    <v t="i">346</v>
    <v t="i">348</v>
    <v t="i">351</v>
    <v t="i">352</v>
    <v t="i">354</v>
    <v t="i">355</v>
    <v t="i">358</v>
    <v t="i">359</v>
    <v t="i">360</v>
    <v t="i">361</v>
    <v t="i">362</v>
    <v t="i">365</v>
  </a>
  <a r="1" c="205">
    <v>452.47879999999998</v>
    <v>461.81200000000001</v>
    <v>468.81200000000001</v>
    <v>461.7287</v>
    <v>464.9787</v>
    <v>478.67849999999999</v>
    <v>459.29539999999997</v>
    <v>458.3954</v>
    <v>460.07870000000003</v>
    <v>457.99540000000002</v>
    <v>459.87869999999998</v>
    <v>459.67869999999999</v>
    <v>466.87869999999998</v>
    <v>469.66199999999998</v>
    <v>463.9787</v>
    <v>461.87869999999998</v>
    <v>484.96179999999998</v>
    <v>509.19490000000002</v>
    <v>528.22810000000004</v>
    <v>526.3614</v>
    <v>552.67780000000005</v>
    <v>564.31100000000004</v>
    <v>559.22770000000003</v>
    <v>555.01110000000006</v>
    <v>562.74440000000004</v>
    <v>560.49440000000004</v>
    <v>566.06100000000004</v>
    <v>581.17750000000001</v>
    <v>578.49419999999998</v>
    <v>580.71090000000004</v>
    <v>609.74390000000005</v>
    <v>597.29399999999998</v>
    <v>581.89419999999996</v>
    <v>569.77760000000001</v>
    <v>583.79420000000005</v>
    <v>579.62750000000005</v>
    <v>582.87750000000005</v>
    <v>580.72749999999996</v>
    <v>572.92759999999998</v>
    <v>559.2944</v>
    <v>587.01080000000002</v>
    <v>580.51089999999999</v>
    <v>609.52719999999999</v>
    <v>639.99360000000001</v>
    <v>645.66020000000003</v>
    <v>673.54330000000004</v>
    <v>673.95989999999995</v>
    <v>661.24339999999995</v>
    <v>652.14350000000002</v>
    <v>627.81039999999996</v>
    <v>613.66049999999996</v>
    <v>606.12729999999999</v>
    <v>616.04380000000003</v>
    <v>625.14369999999997</v>
    <v>622.99379999999996</v>
    <v>622.89380000000006</v>
    <v>630.84370000000001</v>
    <v>662.37670000000003</v>
    <v>662.09339999999997</v>
    <v>658.22680000000003</v>
    <v>662.12670000000003</v>
    <v>668.57659999999998</v>
    <v>671.06</v>
    <v>660.61009999999999</v>
    <v>649.71019999999999</v>
    <v>651.32680000000005</v>
    <v>676.25990000000002</v>
    <v>705.72630000000004</v>
    <v>734.39269999999999</v>
    <v>807.82529999999997</v>
    <v>805.32529999999997</v>
    <v>797.34199999999998</v>
    <v>801.97529999999995</v>
    <v>882.2</v>
    <v>916.9</v>
    <v>887.2</v>
    <v>862.7</v>
    <v>838.45</v>
    <v>881.75</v>
    <v>861.5</v>
    <v>870.95</v>
    <v>854.05</v>
    <v>867.7</v>
    <v>816.8</v>
    <v>810.95</v>
    <v>789.3</v>
    <v>797.25</v>
    <v>796.7</v>
    <v>820.85</v>
    <v>815.05</v>
    <v>802.5</v>
    <v>806.9</v>
    <v>804.35</v>
    <v>787.45</v>
    <v>802.35</v>
    <v>793.6</v>
    <v>787.9</v>
    <v>779.9</v>
    <v>775.9</v>
    <v>768.35</v>
    <v>760.1</v>
    <v>770.5</v>
    <v>776.65</v>
    <v>777.85</v>
    <v>764.9</v>
    <v>765.1</v>
    <v>753.65</v>
    <v>734</v>
    <v>736.15</v>
    <v>726.3</v>
    <v>746.7</v>
    <v>767.6</v>
    <v>805.9</v>
    <v>816.75</v>
    <v>795.05</v>
    <v>799.15</v>
    <v>792.05</v>
    <v>761.65</v>
    <v>769.65</v>
    <v>768.8</v>
    <v>767.05</v>
    <v>768.25</v>
    <v>806.6</v>
    <v>845.55</v>
    <v>849.65</v>
    <v>842.15</v>
    <v>837.35</v>
    <v>828.4</v>
    <v>818.9</v>
    <v>808.65</v>
    <v>834.6</v>
    <v>876.3</v>
    <v>874.7</v>
    <v>847.9</v>
    <v>833.3</v>
    <v>829.35</v>
    <v>822.3</v>
    <v>820.85</v>
    <v>831.5</v>
    <v>849.65</v>
    <v>891.35</v>
    <v>884.15</v>
    <v>865.05</v>
    <v>864.2</v>
    <v>892.35</v>
    <v>866.2</v>
    <v>909.5</v>
    <v>953.75</v>
    <v>993.35</v>
    <v>1043</v>
    <v>1147.3</v>
    <v>1162.5</v>
    <v>1111.95</v>
    <v>1153.75</v>
    <v>1124.2</v>
    <v>1152</v>
    <v>1267.2</v>
    <v>1282</v>
    <v>1264.0999999999999</v>
    <v>1331</v>
    <v>1298.8499999999999</v>
    <v>1268.05</v>
    <v>1216.4000000000001</v>
    <v>1238.4000000000001</v>
    <v>1190.5</v>
    <v>1196.05</v>
    <v>1171.9000000000001</v>
    <v>1160.45</v>
    <v>1102.45</v>
    <v>992.2</v>
    <v>1030.0999999999999</v>
    <v>1007.95</v>
    <v>1012.7</v>
    <v>919.75</v>
    <v>873.1</v>
    <v>829.45</v>
    <v>788.45</v>
    <v>761.25</v>
    <v>799.3</v>
    <v>839.25</v>
    <v>881.2</v>
    <v>879.55</v>
    <v>923.5</v>
    <v>959.25</v>
    <v>911.3</v>
    <v>881.25</v>
    <v>909.6</v>
    <v>903.1</v>
    <v>948.25</v>
    <v>995.65</v>
    <v>1008.7</v>
    <v>993.3</v>
    <v>988.7</v>
    <v>991.95</v>
    <v>979.9</v>
    <v>930.9</v>
    <v>920.1</v>
    <v>902.85</v>
    <v>884.35</v>
    <v>928.55</v>
    <v>974.95</v>
    <v>957.7</v>
    <v>961.25</v>
    <v>943.05</v>
    <v>921</v>
  </a>
  <a r="1" c="248">
    <v>167.95</v>
    <v>169.3</v>
    <v>173.35</v>
    <v>170.65</v>
    <v>174.3</v>
    <v>170.9</v>
    <v>170.9</v>
    <v>163.95</v>
    <v>163.25</v>
    <v>165.7</v>
    <v>165.05</v>
    <v>164.55</v>
    <v>164.8</v>
    <v>163.9</v>
    <v>166.2</v>
    <v>166.75</v>
    <v>164.75</v>
    <v>164.9</v>
    <v>165.25</v>
    <v>165.65</v>
    <v>171.1</v>
    <v>170.3</v>
    <v>171.85</v>
    <v>172.55</v>
    <v>168.5</v>
    <v>171.55</v>
    <v>173.45</v>
    <v>171.95</v>
    <v>173.95</v>
    <v>177.35</v>
    <v>177.65</v>
    <v>175.55</v>
    <v>174.2</v>
    <v>178</v>
    <v>179.45</v>
    <v>179.6</v>
    <v>180.1</v>
    <v>171.65</v>
    <v>175</v>
    <v>181.25</v>
    <v>192.3</v>
    <v>193.5</v>
    <v>196.3</v>
    <v>195.05</v>
    <v>193.75</v>
    <v>188.85</v>
    <v>189.05</v>
    <v>189.25</v>
    <v>185</v>
    <v>183.8</v>
    <v>188.45</v>
    <v>187.45</v>
    <v>189.1</v>
    <v>187.7</v>
    <v>183.1</v>
    <v>185.25</v>
    <v>186.05</v>
    <v>185.8</v>
    <v>188.85</v>
    <v>188.7</v>
    <v>191.55</v>
    <v>191.6</v>
    <v>193.95</v>
    <v>195.8</v>
    <v>196.15</v>
    <v>189.95</v>
    <v>193.1</v>
    <v>188.5</v>
    <v>185.55</v>
    <v>185.65</v>
    <v>186.65</v>
    <v>185.05</v>
    <v>183.55</v>
    <v>182.65</v>
    <v>181.9</v>
    <v>180.7</v>
    <v>181.45</v>
    <v>182.6</v>
    <v>185.85</v>
    <v>186.8</v>
    <v>184</v>
    <v>179.75</v>
    <v>180.95</v>
    <v>180.4</v>
    <v>181.2</v>
    <v>181.15</v>
    <v>184.1</v>
    <v>190.4</v>
    <v>191.4</v>
    <v>186.7</v>
    <v>187.8</v>
    <v>186.9</v>
    <v>190.5</v>
    <v>180.8</v>
    <v>181.55</v>
    <v>181.9</v>
    <v>184.55</v>
    <v>182.95</v>
    <v>180.15</v>
    <v>175.8</v>
    <v>175.05</v>
    <v>176.55</v>
    <v>174.55</v>
    <v>180.5</v>
    <v>175.95</v>
    <v>179.95</v>
    <v>180.7</v>
    <v>175.5</v>
    <v>175.75</v>
    <v>181.5</v>
    <v>175.1</v>
    <v>177.6</v>
    <v>178.75</v>
    <v>180.95</v>
    <v>180.6</v>
    <v>180.45</v>
    <v>182.7</v>
    <v>180.7</v>
    <v>183.8</v>
    <v>181.9</v>
    <v>172.55</v>
    <v>172.6</v>
    <v>170.3</v>
    <v>172.25</v>
    <v>172.05</v>
    <v>172.45</v>
    <v>170.1</v>
    <v>172.7</v>
    <v>173.1</v>
    <v>171</v>
    <v>174.05</v>
    <v>174.65</v>
    <v>173.95</v>
    <v>175.05</v>
    <v>175.6</v>
    <v>177.9</v>
    <v>181.7</v>
    <v>181.2</v>
    <v>170.95</v>
    <v>171.15</v>
    <v>171.65</v>
    <v>170.95</v>
    <v>171</v>
    <v>168.7</v>
    <v>170.1</v>
    <v>169.15</v>
    <v>168</v>
    <v>169.9</v>
    <v>172.55</v>
    <v>172.5</v>
    <v>173.05</v>
    <v>166.6</v>
    <v>163.19999999999999</v>
    <v>165.45</v>
    <v>163.75</v>
    <v>164.05</v>
    <v>166.3</v>
    <v>165.6</v>
    <v>165.9</v>
    <v>164.75</v>
    <v>156.94999999999999</v>
    <v>159.19999999999999</v>
    <v>159.69999999999999</v>
    <v>159.9</v>
    <v>161.75</v>
    <v>161.65</v>
    <v>166.4</v>
    <v>166.05</v>
    <v>170.6</v>
    <v>170.4</v>
    <v>174.1</v>
    <v>175.1</v>
    <v>175.4</v>
    <v>175.15</v>
    <v>173.3</v>
    <v>180.55</v>
    <v>179.35</v>
    <v>179.15</v>
    <v>179.1</v>
    <v>175.1</v>
    <v>175.1</v>
    <v>174.7</v>
    <v>174.1</v>
    <v>163.5</v>
    <v>165.8</v>
    <v>165.75</v>
    <v>168.3</v>
    <v>168.45</v>
    <v>171.1</v>
    <v>166.85</v>
    <v>180.35</v>
    <v>178.2</v>
    <v>180.15</v>
    <v>187.6</v>
    <v>186.95</v>
    <v>187.9</v>
    <v>180.4</v>
    <v>180.05</v>
    <v>182.5</v>
    <v>181.3</v>
    <v>186.05</v>
    <v>184.55</v>
    <v>183.95</v>
    <v>182.6</v>
    <v>184.5</v>
    <v>187.35</v>
    <v>189.35</v>
    <v>187.85</v>
    <v>181.75</v>
    <v>183.65</v>
    <v>187.1</v>
    <v>186.75</v>
    <v>190.95</v>
    <v>192</v>
    <v>180.95</v>
    <v>182.1</v>
    <v>179.85</v>
    <v>183.7</v>
    <v>171.4</v>
    <v>173.05</v>
    <v>173.8</v>
    <v>172.9</v>
    <v>170</v>
    <v>169.05</v>
    <v>173.45</v>
    <v>175.05</v>
    <v>177.1</v>
    <v>175.55</v>
    <v>175.4</v>
    <v>181.85</v>
    <v>201.05</v>
    <v>204.2</v>
    <v>205.55</v>
    <v>204.8</v>
    <v>203.15</v>
    <v>202.95</v>
    <v>202.9</v>
    <v>202.55</v>
    <v>205.55</v>
    <v>203.5</v>
    <v>201.95</v>
    <v>200.9</v>
    <v>202.7</v>
    <v>216.85</v>
    <v>216.3</v>
    <v>229.8</v>
    <v>231.3</v>
    <v>240.65</v>
  </a>
  <a r="1" c="248">
    <v>935</v>
    <v>924.2</v>
    <v>922.8</v>
    <v>928.9</v>
    <v>940.35</v>
    <v>944.7</v>
    <v>936.8</v>
    <v>925.55</v>
    <v>919.9</v>
    <v>921.4</v>
    <v>909.05</v>
    <v>901.4</v>
    <v>911.2</v>
    <v>915.1</v>
    <v>905.6</v>
    <v>908.45</v>
    <v>925.2</v>
    <v>937.95</v>
    <v>924.95</v>
    <v>942.3</v>
    <v>945.25</v>
    <v>959.15</v>
    <v>958.85</v>
    <v>963.35</v>
    <v>986.35</v>
    <v>987</v>
    <v>995.3</v>
    <v>1001.95</v>
    <v>1014.3</v>
    <v>1016.55</v>
    <v>988.8</v>
    <v>1003.25</v>
    <v>1031.75</v>
    <v>1034.3</v>
    <v>1024.2</v>
    <v>1081.2</v>
    <v>1119.5</v>
    <v>1117.8</v>
    <v>1083.9000000000001</v>
    <v>1095.7</v>
    <v>1105.9000000000001</v>
    <v>1088</v>
    <v>1096.3</v>
    <v>1073.8499999999999</v>
    <v>1062.95</v>
    <v>1072.3499999999999</v>
    <v>1067.45</v>
    <v>1056.75</v>
    <v>1032.0999999999999</v>
    <v>1070.1500000000001</v>
    <v>1057.25</v>
    <v>1065.8</v>
    <v>1086.3</v>
    <v>1086.55</v>
    <v>1071.7</v>
    <v>1075.3</v>
    <v>1064.25</v>
    <v>1047.3</v>
    <v>1050.6500000000001</v>
    <v>1036.3</v>
    <v>1076.7</v>
    <v>1066.2</v>
    <v>1046.8</v>
    <v>1073.75</v>
    <v>1138.8499999999999</v>
    <v>1119.0999999999999</v>
    <v>1098.95</v>
    <v>1109.3499999999999</v>
    <v>1110.55</v>
    <v>1111.4000000000001</v>
    <v>1121.0999999999999</v>
    <v>1100.3</v>
    <v>1071.0999999999999</v>
    <v>1067.5999999999999</v>
    <v>1091.8499999999999</v>
    <v>1079.95</v>
    <v>1082.8499999999999</v>
    <v>1074.7</v>
    <v>1083.05</v>
    <v>1084.05</v>
    <v>1100.25</v>
    <v>1090.6500000000001</v>
    <v>1090.05</v>
    <v>1087.9000000000001</v>
    <v>1080.55</v>
    <v>1078.25</v>
    <v>1077.8499999999999</v>
    <v>1081.1500000000001</v>
    <v>1095.45</v>
    <v>1125.3499999999999</v>
    <v>1116.4000000000001</v>
    <v>1159.0999999999999</v>
    <v>1153.6500000000001</v>
    <v>1102.25</v>
    <v>1118.8499999999999</v>
    <v>1113.8499999999999</v>
    <v>1109.9000000000001</v>
    <v>1105.0999999999999</v>
    <v>1094.0999999999999</v>
    <v>1088.25</v>
    <v>1080.9000000000001</v>
    <v>1064.8499999999999</v>
    <v>1076</v>
    <v>1092.25</v>
    <v>1100.3499999999999</v>
    <v>1106.9000000000001</v>
    <v>1115</v>
    <v>1100.0999999999999</v>
    <v>1090.9000000000001</v>
    <v>1092.95</v>
    <v>1067</v>
    <v>1057.25</v>
    <v>1075.8</v>
    <v>1080.5999999999999</v>
    <v>1077.3</v>
    <v>1060.8499999999999</v>
    <v>1072.3</v>
    <v>1064.55</v>
    <v>1071.2</v>
    <v>1072.2</v>
    <v>1036</v>
    <v>1025</v>
    <v>1016.25</v>
    <v>1043.3</v>
    <v>1062.8</v>
    <v>1051.3499999999999</v>
    <v>1041.1500000000001</v>
    <v>1068.3499999999999</v>
    <v>1062.9000000000001</v>
    <v>1074.7</v>
    <v>1068.25</v>
    <v>1045.25</v>
    <v>1025.75</v>
    <v>1017.6</v>
    <v>1033.8499999999999</v>
    <v>1018.8</v>
    <v>1026.05</v>
    <v>1025.45</v>
    <v>1035.8</v>
    <v>1041.2</v>
    <v>1055.3499999999999</v>
    <v>1067.4000000000001</v>
    <v>1084.5999999999999</v>
    <v>1096.4000000000001</v>
    <v>1112.55</v>
    <v>1122.05</v>
    <v>1115.2</v>
    <v>1135.4000000000001</v>
    <v>1133.05</v>
    <v>1126.05</v>
    <v>1129.55</v>
    <v>1139.5</v>
    <v>1127.5999999999999</v>
    <v>1187.45</v>
    <v>1197.6500000000001</v>
    <v>1194.95</v>
    <v>1204.0999999999999</v>
    <v>1213.2</v>
    <v>1245.8</v>
    <v>1254.2</v>
    <v>1190</v>
    <v>1220.3</v>
    <v>1216.95</v>
    <v>1225.0999999999999</v>
    <v>1217.7</v>
    <v>1252.45</v>
    <v>1306.0999999999999</v>
    <v>1320.1</v>
    <v>1309.5999999999999</v>
    <v>1309.5</v>
    <v>1312.95</v>
    <v>1306.3499999999999</v>
    <v>1273.55</v>
    <v>1269.55</v>
    <v>1271.6500000000001</v>
    <v>1282.55</v>
    <v>1293.9000000000001</v>
    <v>1304.2</v>
    <v>1290.05</v>
    <v>1285.7</v>
    <v>1255.7</v>
    <v>1265.25</v>
    <v>1234.3</v>
    <v>1187.2</v>
    <v>1224.8</v>
    <v>1219.6500000000001</v>
    <v>1199.75</v>
    <v>1191.6500000000001</v>
    <v>1241</v>
    <v>1214.2</v>
    <v>1230.5999999999999</v>
    <v>1195</v>
    <v>1184.25</v>
    <v>1183.5</v>
    <v>1156.45</v>
    <v>1114.25</v>
    <v>1115.95</v>
    <v>1136</v>
    <v>1137.9000000000001</v>
    <v>1183.2</v>
    <v>1161.9000000000001</v>
    <v>1160.05</v>
    <v>1145.8499999999999</v>
    <v>1126.7</v>
    <v>1138.3499999999999</v>
    <v>1136.6500000000001</v>
    <v>1129.3</v>
    <v>1120.25</v>
    <v>1104.45</v>
    <v>1118.1500000000001</v>
    <v>1115.3</v>
    <v>1125.0999999999999</v>
    <v>1117.55</v>
    <v>1089.95</v>
    <v>1077.5999999999999</v>
    <v>1095.0999999999999</v>
    <v>1057.95</v>
    <v>1048.0999999999999</v>
    <v>1022</v>
    <v>1033.6500000000001</v>
    <v>1022.7</v>
    <v>1027.2</v>
    <v>1013.6</v>
    <v>1025.6500000000001</v>
    <v>1060.5999999999999</v>
    <v>1090.55</v>
    <v>1059.9000000000001</v>
    <v>1051.3</v>
    <v>1041.7</v>
    <v>1078.9000000000001</v>
    <v>1092</v>
    <v>1107.0999999999999</v>
    <v>1095.8</v>
    <v>1096</v>
    <v>1082.4000000000001</v>
    <v>1079.7</v>
    <v>1092.25</v>
    <v>1070.25</v>
    <v>1066.5999999999999</v>
    <v>1079</v>
    <v>1082.3</v>
    <v>1067.2</v>
    <v>1061</v>
    <v>1066</v>
    <v>1075.2</v>
    <v>1065.95</v>
    <v>1105.4000000000001</v>
    <v>1105.75</v>
  </a>
  <a r="1" c="248">
    <v>2899.55</v>
    <v>2929.7</v>
    <v>2982.85</v>
    <v>3012.95</v>
    <v>3019.45</v>
    <v>3034.8</v>
    <v>3041.4</v>
    <v>3139.75</v>
    <v>3131.1</v>
    <v>3132</v>
    <v>3138.1</v>
    <v>3092.45</v>
    <v>3109.05</v>
    <v>3084.45</v>
    <v>3084.9</v>
    <v>3120.6</v>
    <v>3101.5</v>
    <v>3123.55</v>
    <v>3128.4</v>
    <v>3137.4</v>
    <v>3144.4</v>
    <v>3192.95</v>
    <v>3240.7</v>
    <v>3237.25</v>
    <v>3199.75</v>
    <v>3212.75</v>
    <v>3224.8</v>
    <v>3212.25</v>
    <v>3180.55</v>
    <v>3194.75</v>
    <v>3262.85</v>
    <v>3270.2</v>
    <v>3294.35</v>
    <v>3316.85</v>
    <v>3309.7</v>
    <v>3318.7</v>
    <v>3316.1</v>
    <v>3248.05</v>
    <v>3297.7</v>
    <v>3308.15</v>
    <v>3326</v>
    <v>3348.25</v>
    <v>3362.05</v>
    <v>3358.7</v>
    <v>3347.7</v>
    <v>3374.4</v>
    <v>3399.4</v>
    <v>3343.7</v>
    <v>3343.15</v>
    <v>3392.55</v>
    <v>3406.75</v>
    <v>3398.55</v>
    <v>3429.75</v>
    <v>3460.4</v>
    <v>3513.45</v>
    <v>3514.65</v>
    <v>3526</v>
    <v>3517.7</v>
    <v>3543.7</v>
    <v>3400.4</v>
    <v>3373</v>
    <v>3369.4</v>
    <v>3390.7</v>
    <v>3377.35</v>
    <v>3342.95</v>
    <v>3362.9</v>
    <v>3336.35</v>
    <v>3339.65</v>
    <v>3343</v>
    <v>3348.05</v>
    <v>3331</v>
    <v>3237.9</v>
    <v>3185.35</v>
    <v>3202.6</v>
    <v>3194.05</v>
    <v>3183.25</v>
    <v>3163.55</v>
    <v>3182.3</v>
    <v>3179.7</v>
    <v>3168.8</v>
    <v>3225.6</v>
    <v>3259.3</v>
    <v>3259.7</v>
    <v>3285.7</v>
    <v>3294.7</v>
    <v>3256.1</v>
    <v>3259.55</v>
    <v>3235.55</v>
    <v>3223.3</v>
    <v>3225.3</v>
    <v>3246.35</v>
    <v>3238.05</v>
    <v>3259.4</v>
    <v>3256.85</v>
    <v>3277.75</v>
    <v>3240.25</v>
    <v>3196.65</v>
    <v>3206.3</v>
    <v>3214.35</v>
    <v>3244.2</v>
    <v>3274.85</v>
    <v>3323.25</v>
    <v>3292.8</v>
    <v>3301.8</v>
    <v>3170.35</v>
    <v>3161.05</v>
    <v>3166.85</v>
    <v>3169.9</v>
    <v>3206.25</v>
    <v>3195.75</v>
    <v>3152.8</v>
    <v>3151.5</v>
    <v>3163.9</v>
    <v>3159.1</v>
    <v>3148.8</v>
    <v>3112.05</v>
    <v>3113.55</v>
    <v>3096.45</v>
    <v>3101.8</v>
    <v>3105.85</v>
    <v>3072</v>
    <v>3060.8</v>
    <v>2960.3</v>
    <v>2955.15</v>
    <v>2967.1</v>
    <v>2995.7</v>
    <v>2934.55</v>
    <v>2955.4</v>
    <v>2977.85</v>
    <v>3029.3</v>
    <v>3033.35</v>
    <v>3095.25</v>
    <v>3080.2</v>
    <v>3076.45</v>
    <v>3098.15</v>
    <v>3085.6</v>
    <v>3116.2</v>
    <v>3130.3</v>
    <v>3168.9</v>
    <v>3140.35</v>
    <v>3133.25</v>
    <v>3133</v>
    <v>3122.95</v>
    <v>3136.15</v>
    <v>3148.35</v>
    <v>3148.35</v>
    <v>3119.9</v>
    <v>3173.4</v>
    <v>3194.55</v>
    <v>3226.25</v>
    <v>3252.55</v>
    <v>3251.8</v>
    <v>3232</v>
    <v>3233</v>
    <v>3224.75</v>
    <v>3243.65</v>
    <v>3241.35</v>
    <v>3313.9</v>
    <v>3332.05</v>
    <v>3336.05</v>
    <v>3297.15</v>
    <v>3302.95</v>
    <v>3341.3</v>
    <v>3383.35</v>
    <v>3404.45</v>
    <v>3397.25</v>
    <v>3402.4</v>
    <v>3396.1</v>
    <v>3391.35</v>
    <v>3373.6</v>
    <v>3379.95</v>
    <v>3355.55</v>
    <v>3298.4</v>
    <v>3267.5</v>
    <v>3286.85</v>
    <v>3288.2</v>
    <v>3277.8</v>
    <v>3273.9</v>
    <v>3296.9</v>
    <v>3242.3</v>
    <v>3163.85</v>
    <v>3165.85</v>
    <v>3138.8</v>
    <v>3054.7</v>
    <v>2999.45</v>
    <v>2949.2</v>
    <v>2976.05</v>
    <v>2954.1</v>
    <v>2957.85</v>
    <v>2929.35</v>
    <v>2936.3</v>
    <v>2917.35</v>
    <v>2930.95</v>
    <v>2981.15</v>
    <v>2929.6</v>
    <v>2951.65</v>
    <v>2953.8</v>
    <v>2971.6</v>
    <v>2976.4</v>
    <v>3016.55</v>
    <v>3007.9</v>
    <v>2998.1</v>
    <v>3011.65</v>
    <v>3001.8</v>
    <v>3017.4</v>
    <v>2985.95</v>
    <v>2868.45</v>
    <v>2859.55</v>
    <v>2794.35</v>
    <v>2821.9</v>
    <v>2831.75</v>
    <v>2849.8</v>
    <v>2831.75</v>
    <v>2820.4</v>
    <v>2827.3</v>
    <v>2870.55</v>
    <v>2876.85</v>
    <v>2876.15</v>
    <v>2860.15</v>
    <v>2892.25</v>
    <v>2867.55</v>
    <v>2846.5</v>
    <v>2815.1</v>
    <v>2824.9</v>
    <v>2821.15</v>
    <v>2841.5</v>
    <v>2814.65</v>
    <v>2830.5</v>
    <v>2846.75</v>
    <v>2871</v>
    <v>2874.2</v>
    <v>2869.35</v>
    <v>2918.3</v>
    <v>2883.45</v>
    <v>2892</v>
    <v>2857.15</v>
    <v>2896.75</v>
    <v>2854.5</v>
    <v>2844.4</v>
    <v>2830</v>
    <v>2807.7</v>
    <v>2808.55</v>
    <v>2841.85</v>
    <v>2874.9</v>
    <v>2867.75</v>
    <v>2861.45</v>
    <v>2844.15</v>
    <v>2868.2</v>
  </a>
  <a r="1" c="62">
    <v>2896.1</v>
    <v>2815.25</v>
    <v>2853.25</v>
    <v>2853.3</v>
    <v>2915.4</v>
    <v>2878.05</v>
    <v>2855.6</v>
    <v>2884.3</v>
    <v>2900.25</v>
    <v>2921.5</v>
    <v>2904.7</v>
    <v>2930.2</v>
    <v>2962.75</v>
    <v>2941.2</v>
    <v>2921.15</v>
    <v>2948</v>
    <v>2942.05</v>
    <v>2935.4</v>
    <v>2963.5</v>
    <v>2987.25</v>
    <v>2974.65</v>
    <v>2971.3</v>
    <v>2911.25</v>
    <v>2921.6</v>
    <v>2984.25</v>
    <v>2982.15</v>
    <v>3014.8</v>
    <v>3000.4</v>
    <v>3006</v>
    <v>2957.85</v>
    <v>2933.2</v>
    <v>2950.85</v>
    <v>2864.35</v>
    <v>2862.95</v>
    <v>2836.45</v>
    <v>2878.95</v>
    <v>2850.5</v>
    <v>2887.5</v>
    <v>2901.95</v>
    <v>2910.05</v>
    <v>2883.15</v>
    <v>2985.7</v>
    <v>2971.7</v>
    <v>2969.55</v>
    <v>2973.9</v>
    <v>2943.2</v>
    <v>2925.85</v>
    <v>2920.2</v>
    <v>2971.95</v>
    <v>2927.3</v>
    <v>2959.15</v>
    <v>2934.3</v>
    <v>2929.65</v>
    <v>2931.5</v>
    <v>2928.65</v>
    <v>2940.25</v>
    <v>2959.7</v>
    <v>2918.65</v>
    <v>2900.35</v>
    <v>2919.95</v>
    <v>2905.1</v>
    <v>2930.05</v>
  </a>
  <a r="1" c="248">
    <v>2216.1316999999999</v>
    <v>2197.1120000000001</v>
    <v>2222.4413</v>
    <v>2216.7671999999998</v>
    <v>2244.1390999999999</v>
    <v>2251.0843</v>
    <v>2266.5632999999998</v>
    <v>2251.7651999999998</v>
    <v>2255.442</v>
    <v>2259.8905</v>
    <v>2227.7069000000001</v>
    <v>2214.5428999999999</v>
    <v>2209.7766000000001</v>
    <v>2216.9486999999999</v>
    <v>2228.7963</v>
    <v>2228.3878</v>
    <v>2215.4054000000001</v>
    <v>2215.1329999999998</v>
    <v>2275.5511000000001</v>
    <v>2288.3519000000001</v>
    <v>2287.7618000000002</v>
    <v>2242.3234000000002</v>
    <v>2236.2860999999998</v>
    <v>2228.9778999999999</v>
    <v>2248.9962</v>
    <v>2250.9027000000001</v>
    <v>2267.9704999999999</v>
    <v>2269.3321999999998</v>
    <v>2253.2631000000001</v>
    <v>2255.2604000000001</v>
    <v>2288.5789</v>
    <v>2316.7224999999999</v>
    <v>2317.3580000000002</v>
    <v>2339.9184</v>
    <v>2316.6770999999999</v>
    <v>2321.4888000000001</v>
    <v>2328.0254</v>
    <v>2301.8789999999999</v>
    <v>2283.0409</v>
    <v>2265.61</v>
    <v>2266.4270999999999</v>
    <v>2296.4319</v>
    <v>2315.27</v>
    <v>2374.6894000000002</v>
    <v>2350.2226000000001</v>
    <v>2346.3642</v>
    <v>2395.6156000000001</v>
    <v>2390.9400999999998</v>
    <v>2483.0425</v>
    <v>2509.9605000000001</v>
    <v>2512.7294999999999</v>
    <v>2490.2600000000002</v>
    <v>2488.1718999999998</v>
    <v>2539.0120999999999</v>
    <v>2560.5736999999999</v>
    <v>2580.0019000000002</v>
    <v>2619.85</v>
    <v>2538.75</v>
    <v>2487.4</v>
    <v>2485.8000000000002</v>
    <v>2526.1999999999998</v>
    <v>2502.6999999999998</v>
    <v>2527.85</v>
    <v>2549.25</v>
    <v>2513.1999999999998</v>
    <v>2486.35</v>
    <v>2475.9</v>
    <v>2509.5500000000002</v>
    <v>2523.85</v>
    <v>2508.65</v>
    <v>2525.1999999999998</v>
    <v>2536.4499999999998</v>
    <v>2547.15</v>
    <v>2577.25</v>
    <v>2575.15</v>
    <v>2538</v>
    <v>2556.8000000000002</v>
    <v>2520</v>
    <v>2519.4</v>
    <v>2522.1999999999998</v>
    <v>2479.8000000000002</v>
    <v>2468.35</v>
    <v>2443.75</v>
    <v>2420.35</v>
    <v>2418.0500000000002</v>
    <v>2407</v>
    <v>2412.65</v>
    <v>2410.6999999999998</v>
    <v>2423.6</v>
    <v>2428.6999999999998</v>
    <v>2432</v>
    <v>2448.1999999999998</v>
    <v>2474.6</v>
    <v>2438.85</v>
    <v>2451.0500000000002</v>
    <v>2453.3000000000002</v>
    <v>2457.85</v>
    <v>2436.4499999999998</v>
    <v>2382.15</v>
    <v>2364.8000000000002</v>
    <v>2354.9499999999998</v>
    <v>2340.4499999999998</v>
    <v>2342.5</v>
    <v>2368.9</v>
    <v>2334.1</v>
    <v>2345</v>
    <v>2318.15</v>
    <v>2314.15</v>
    <v>2314.1</v>
    <v>2318</v>
    <v>2298.25</v>
    <v>2308.4</v>
    <v>2345.0500000000002</v>
    <v>2349.4</v>
    <v>2349.3000000000002</v>
    <v>2344.0500000000002</v>
    <v>2355.25</v>
    <v>2324</v>
    <v>2306.15</v>
    <v>2299.1</v>
    <v>2263.1999999999998</v>
    <v>2257.9499999999998</v>
    <v>2226.5</v>
    <v>2265.8000000000002</v>
    <v>2312.5</v>
    <v>2287.9</v>
    <v>2297.4</v>
    <v>2320.1999999999998</v>
    <v>2319.6999999999998</v>
    <v>2339</v>
    <v>2323.8000000000002</v>
    <v>2335.9</v>
    <v>2310.5500000000002</v>
    <v>2314.9</v>
    <v>2330.65</v>
    <v>2314.6</v>
    <v>2356.4499999999998</v>
    <v>2360.6999999999998</v>
    <v>2355.5500000000002</v>
    <v>2349.35</v>
    <v>2378.9</v>
    <v>2388.1999999999998</v>
    <v>2395.5</v>
    <v>2393.9</v>
    <v>2394.4</v>
    <v>2400.6999999999998</v>
    <v>2377.4499999999998</v>
    <v>2394.3000000000002</v>
    <v>2420.1999999999998</v>
    <v>2437.75</v>
    <v>2461.1</v>
    <v>2457.0500000000002</v>
    <v>2455.75</v>
    <v>2459.35</v>
    <v>2424.0500000000002</v>
    <v>2433.9499999999998</v>
    <v>2464.15</v>
    <v>2495.6</v>
    <v>2521</v>
    <v>2558.1</v>
    <v>2527.15</v>
    <v>2562.5500000000002</v>
    <v>2565.0500000000002</v>
    <v>2578.0500000000002</v>
    <v>2586.85</v>
    <v>2605.5500000000002</v>
    <v>2584.9499999999998</v>
    <v>2590.25</v>
    <v>2611.6999999999998</v>
    <v>2583.3000000000002</v>
    <v>2596.65</v>
    <v>2607.6999999999998</v>
    <v>2587.35</v>
    <v>2580.5</v>
    <v>2650.1</v>
    <v>2719.8</v>
    <v>2741.45</v>
    <v>2788.25</v>
    <v>2749.25</v>
    <v>2723.15</v>
    <v>2735.9</v>
    <v>2734.9</v>
    <v>2713.3</v>
    <v>2657.15</v>
    <v>2687.75</v>
    <v>2706.15</v>
    <v>2896.1</v>
    <v>2815.25</v>
    <v>2853.25</v>
    <v>2853.3</v>
    <v>2915.4</v>
    <v>2878.05</v>
    <v>2855.6</v>
    <v>2884.3</v>
    <v>2900.25</v>
    <v>2921.5</v>
    <v>2904.7</v>
    <v>2930.2</v>
    <v>2962.75</v>
    <v>2941.2</v>
    <v>2921.15</v>
    <v>2948</v>
    <v>2942.05</v>
    <v>2935.4</v>
    <v>2963.5</v>
    <v>2987.25</v>
    <v>2974.65</v>
    <v>2971.3</v>
    <v>2911.25</v>
    <v>2921.6</v>
    <v>2984.25</v>
    <v>2982.15</v>
    <v>3014.8</v>
    <v>3000.4</v>
    <v>3006</v>
    <v>2957.85</v>
    <v>2933.2</v>
    <v>2950.85</v>
    <v>2864.35</v>
    <v>2862.95</v>
    <v>2836.45</v>
    <v>2878.95</v>
    <v>2850.5</v>
    <v>2887.5</v>
    <v>2901.95</v>
    <v>2910.05</v>
    <v>2883.15</v>
    <v>2985.7</v>
    <v>2971.7</v>
    <v>2969.55</v>
    <v>2973.9</v>
    <v>2943.2</v>
    <v>2925.85</v>
    <v>2920.2</v>
    <v>2971.95</v>
    <v>2927.3</v>
    <v>2959.15</v>
    <v>2934.3</v>
    <v>2929.65</v>
    <v>2931.5</v>
    <v>2928.65</v>
    <v>2940.25</v>
    <v>2959.7</v>
    <v>2918.65</v>
    <v>2900.35</v>
    <v>2919.95</v>
    <v>2905.1</v>
    <v>2930.05</v>
  </a>
  <a r="1" c="248">
    <v>357.25</v>
    <v>361.3</v>
    <v>363.3</v>
    <v>356.65</v>
    <v>363.4</v>
    <v>360.9</v>
    <v>360.6</v>
    <v>358.8</v>
    <v>355.7</v>
    <v>353.4</v>
    <v>347.35</v>
    <v>349.7</v>
    <v>359.1</v>
    <v>358.95</v>
    <v>359.75</v>
    <v>357.8</v>
    <v>355.95</v>
    <v>356.9</v>
    <v>374.3</v>
    <v>386.15</v>
    <v>387.45</v>
    <v>393.65</v>
    <v>387.75</v>
    <v>383.9</v>
    <v>384.4</v>
    <v>385</v>
    <v>390.8</v>
    <v>394.55</v>
    <v>395.2</v>
    <v>387.75</v>
    <v>390</v>
    <v>387.6</v>
    <v>388.65</v>
    <v>389.7</v>
    <v>393.3</v>
    <v>392.75</v>
    <v>386.35</v>
    <v>382.9</v>
    <v>375.45</v>
    <v>369.95</v>
    <v>370.15</v>
    <v>378.05</v>
    <v>377.6</v>
    <v>376.8</v>
    <v>370</v>
    <v>369.15</v>
    <v>370.6</v>
    <v>397.35</v>
    <v>409.25</v>
    <v>407.85</v>
    <v>409.15</v>
    <v>398.5</v>
    <v>406.65</v>
    <v>425.6</v>
    <v>421.7</v>
    <v>423.9</v>
    <v>416.15</v>
    <v>417</v>
    <v>423.3</v>
    <v>414.9</v>
    <v>404.8</v>
    <v>415.9</v>
    <v>416.9</v>
    <v>427.8</v>
    <v>431.85</v>
    <v>421.4</v>
    <v>428.75</v>
    <v>434.65</v>
    <v>444.6</v>
    <v>469.75</v>
    <v>476.3</v>
    <v>487.4</v>
    <v>474.85</v>
    <v>472.95</v>
    <v>466.55</v>
    <v>484.35</v>
    <v>478.05</v>
    <v>498.9</v>
    <v>489.85</v>
    <v>484.85</v>
    <v>485.95</v>
    <v>469.7</v>
    <v>476.55</v>
    <v>481.15</v>
    <v>482.1</v>
    <v>492.55</v>
    <v>494.9</v>
    <v>504.6</v>
    <v>527.35</v>
    <v>521.54999999999995</v>
    <v>513.4</v>
    <v>518.45000000000005</v>
    <v>591.65</v>
    <v>555.35</v>
    <v>565.79999999999995</v>
    <v>583.35</v>
    <v>587.35</v>
    <v>581.29999999999995</v>
    <v>575.04999999999995</v>
    <v>570.5</v>
    <v>568.79999999999995</v>
    <v>588.75</v>
    <v>586.5</v>
    <v>584.35</v>
    <v>582.70000000000005</v>
    <v>586.6</v>
    <v>599.1</v>
    <v>579.75</v>
    <v>571.04999999999995</v>
    <v>578.4</v>
    <v>573.9</v>
    <v>585.54999999999995</v>
    <v>593</v>
    <v>593.75</v>
    <v>591.9</v>
    <v>591.5</v>
    <v>590.1</v>
    <v>582.4</v>
    <v>574.6</v>
    <v>572.15</v>
    <v>538.4</v>
    <v>518.35</v>
    <v>517.35</v>
    <v>539.9</v>
    <v>531.15</v>
    <v>535.54999999999995</v>
    <v>534.1</v>
    <v>537.85</v>
    <v>547.35</v>
    <v>555.45000000000005</v>
    <v>557.79999999999995</v>
    <v>569.04999999999995</v>
    <v>561.20000000000005</v>
    <v>566.9</v>
    <v>568.29999999999995</v>
    <v>563.45000000000005</v>
    <v>565.25</v>
    <v>564.6</v>
    <v>585.79999999999995</v>
    <v>591.75</v>
    <v>585.79999999999995</v>
    <v>579.85</v>
    <v>615.9</v>
    <v>609.15</v>
    <v>621.6</v>
    <v>634</v>
    <v>644.6</v>
    <v>630.4</v>
    <v>637</v>
    <v>640.20000000000005</v>
    <v>639.9</v>
    <v>607.5</v>
    <v>545.04999999999995</v>
    <v>549.20000000000005</v>
    <v>545.70000000000005</v>
    <v>544.29999999999995</v>
    <v>532.20000000000005</v>
    <v>542.75</v>
    <v>569.85</v>
    <v>561.6</v>
    <v>536.70000000000005</v>
    <v>545.95000000000005</v>
    <v>562.04999999999995</v>
    <v>557.04999999999995</v>
    <v>546.6</v>
    <v>553.20000000000005</v>
    <v>556</v>
    <v>556.54999999999995</v>
    <v>547.9</v>
    <v>551.25</v>
    <v>552.65</v>
    <v>548.20000000000005</v>
    <v>540.35</v>
    <v>535.70000000000005</v>
    <v>538.65</v>
    <v>538.29999999999995</v>
    <v>534.1</v>
    <v>525.70000000000005</v>
    <v>529.70000000000005</v>
    <v>522.35</v>
    <v>518.1</v>
    <v>519.75</v>
    <v>516.4</v>
    <v>511.05</v>
    <v>517</v>
    <v>511.5</v>
    <v>512.54999999999995</v>
    <v>506.75</v>
    <v>498.1</v>
    <v>496.8</v>
    <v>477.25</v>
    <v>472.95</v>
    <v>508.05</v>
    <v>500.2</v>
    <v>508.25</v>
    <v>499.55</v>
    <v>483.1</v>
    <v>479.05</v>
    <v>497.7</v>
    <v>503.9</v>
    <v>499.7</v>
    <v>512.29999999999995</v>
    <v>511.25</v>
    <v>501.25</v>
    <v>508.95</v>
    <v>513.65</v>
    <v>513.6</v>
    <v>516.04999999999995</v>
    <v>503.7</v>
    <v>499.95</v>
    <v>504.2</v>
    <v>502.6</v>
    <v>507.1</v>
    <v>512.9</v>
    <v>503.75</v>
    <v>498.5</v>
    <v>485.05</v>
    <v>485.05</v>
    <v>455.05</v>
    <v>451.2</v>
    <v>459.75</v>
    <v>474.1</v>
    <v>473.7</v>
    <v>518.1</v>
    <v>527</v>
    <v>531.95000000000005</v>
    <v>531.15</v>
    <v>538.85</v>
    <v>532.95000000000005</v>
    <v>532.85</v>
    <v>539.04999999999995</v>
    <v>547.15</v>
    <v>547.54999999999995</v>
    <v>537.15</v>
    <v>526.54999999999995</v>
    <v>524.35</v>
    <v>519.95000000000005</v>
    <v>512.04999999999995</v>
    <v>503.4</v>
    <v>508.45</v>
    <v>502.3</v>
    <v>508.75</v>
    <v>515.65</v>
    <v>524.20000000000005</v>
    <v>519.45000000000005</v>
    <v>517.75</v>
    <v>522.79999999999995</v>
    <v>547.25</v>
  </a>
  <a r="1" c="248">
    <v>536.45000000000005</v>
    <v>537.95000000000005</v>
    <v>530.4</v>
    <v>505</v>
    <v>513.9</v>
    <v>517.9</v>
    <v>514.29999999999995</v>
    <v>520.20000000000005</v>
    <v>518.35</v>
    <v>533.04999999999995</v>
    <v>530.75</v>
    <v>523.95000000000005</v>
    <v>523.45000000000005</v>
    <v>519.1</v>
    <v>522.25</v>
    <v>525.75</v>
    <v>526.70000000000005</v>
    <v>530.15</v>
    <v>542.1</v>
    <v>548.35</v>
    <v>549.9</v>
    <v>555.4</v>
    <v>556.9</v>
    <v>557.20000000000005</v>
    <v>552.25</v>
    <v>547.5</v>
    <v>556.5</v>
    <v>552.1</v>
    <v>549.95000000000005</v>
    <v>553.6</v>
    <v>560.45000000000005</v>
    <v>562.35</v>
    <v>569.04999999999995</v>
    <v>570.9</v>
    <v>569.15</v>
    <v>572.1</v>
    <v>567.1</v>
    <v>562.65</v>
    <v>563.35</v>
    <v>569.54999999999995</v>
    <v>570.6</v>
    <v>574.1</v>
    <v>572.95000000000005</v>
    <v>582.25</v>
    <v>579.65</v>
    <v>592.45000000000005</v>
    <v>591.95000000000005</v>
    <v>572.20000000000005</v>
    <v>572.70000000000005</v>
    <v>581.65</v>
    <v>583.4</v>
    <v>577.70000000000005</v>
    <v>586.5</v>
    <v>582.25</v>
    <v>577</v>
    <v>574.54999999999995</v>
    <v>578.5</v>
    <v>565.20000000000005</v>
    <v>565.29999999999995</v>
    <v>568.35</v>
    <v>575</v>
    <v>573.79999999999995</v>
    <v>581.70000000000005</v>
    <v>575.6</v>
    <v>568.75</v>
    <v>565.65</v>
    <v>555.04999999999995</v>
    <v>569.70000000000005</v>
    <v>565.29999999999995</v>
    <v>562.4</v>
    <v>572.15</v>
    <v>571.54999999999995</v>
    <v>563.15</v>
    <v>564.85</v>
    <v>565.35</v>
    <v>561.20000000000005</v>
    <v>565.5</v>
    <v>567.75</v>
    <v>574.75</v>
    <v>567.29999999999995</v>
    <v>564.9</v>
    <v>558.04999999999995</v>
    <v>554.15</v>
    <v>550.15</v>
    <v>554.9</v>
    <v>553.1</v>
    <v>553.35</v>
    <v>557.9</v>
    <v>559.85</v>
    <v>561.54999999999995</v>
    <v>566</v>
    <v>567.1</v>
    <v>569.70000000000005</v>
    <v>565.70000000000005</v>
    <v>565.5</v>
    <v>567.45000000000005</v>
    <v>565.5</v>
    <v>565.65</v>
    <v>561.15</v>
    <v>560.15</v>
    <v>561.29999999999995</v>
    <v>554.29999999999995</v>
    <v>555.45000000000005</v>
    <v>561</v>
    <v>547.25</v>
    <v>551.6</v>
    <v>553.6</v>
    <v>555.35</v>
    <v>550.75</v>
    <v>547.15</v>
    <v>541.75</v>
    <v>543.85</v>
    <v>543.75</v>
    <v>541</v>
    <v>538.85</v>
    <v>536.95000000000005</v>
    <v>540.25</v>
    <v>534</v>
    <v>525.65</v>
    <v>524.79999999999995</v>
    <v>521.35</v>
    <v>517.9</v>
    <v>508.45</v>
    <v>524.54999999999995</v>
    <v>523.45000000000005</v>
    <v>528.9</v>
    <v>517.1</v>
    <v>530.4</v>
    <v>535.5</v>
    <v>537.95000000000005</v>
    <v>536.1</v>
    <v>539.25</v>
    <v>534.85</v>
    <v>533.35</v>
    <v>535.6</v>
    <v>530.1</v>
    <v>526</v>
    <v>534.9</v>
    <v>540.70000000000005</v>
    <v>543.20000000000005</v>
    <v>540.85</v>
    <v>541</v>
    <v>540.35</v>
    <v>537.35</v>
    <v>533.79999999999995</v>
    <v>534.6</v>
    <v>538.04999999999995</v>
    <v>541.15</v>
    <v>547</v>
    <v>552</v>
    <v>550.04999999999995</v>
    <v>545.79999999999995</v>
    <v>547.5</v>
    <v>550.5</v>
    <v>549</v>
    <v>547.54999999999995</v>
    <v>547.45000000000005</v>
    <v>539.70000000000005</v>
    <v>540.5</v>
    <v>548.20000000000005</v>
    <v>534.95000000000005</v>
    <v>530.25</v>
    <v>529.29999999999995</v>
    <v>530.6</v>
    <v>534.35</v>
    <v>543.1</v>
    <v>557.20000000000005</v>
    <v>557.45000000000005</v>
    <v>556.85</v>
    <v>551.1</v>
    <v>566.25</v>
    <v>569.04999999999995</v>
    <v>553.25</v>
    <v>547.85</v>
    <v>547.35</v>
    <v>552</v>
    <v>549.70000000000005</v>
    <v>554.15</v>
    <v>558.79999999999995</v>
    <v>549.45000000000005</v>
    <v>539.45000000000005</v>
    <v>542.29999999999995</v>
    <v>538.4</v>
    <v>524.79999999999995</v>
    <v>536.6</v>
    <v>531.6</v>
    <v>534.25</v>
    <v>535.95000000000005</v>
    <v>539.6</v>
    <v>554.4</v>
    <v>544.65</v>
    <v>533.65</v>
    <v>532.70000000000005</v>
    <v>537.4</v>
    <v>533.95000000000005</v>
    <v>539.20000000000005</v>
    <v>536.54999999999995</v>
    <v>538.75</v>
    <v>544.29999999999995</v>
    <v>544.20000000000005</v>
    <v>544.5</v>
    <v>547.65</v>
    <v>547.54999999999995</v>
    <v>546.29999999999995</v>
    <v>541.6</v>
    <v>535.29999999999995</v>
    <v>529.25</v>
    <v>535.6</v>
    <v>536.25</v>
    <v>538.15</v>
    <v>541.1</v>
    <v>538.6</v>
    <v>537.29999999999995</v>
    <v>534.75</v>
    <v>531.5</v>
    <v>535.25</v>
    <v>533.4</v>
    <v>529</v>
    <v>519.95000000000005</v>
    <v>529.65</v>
    <v>526.54999999999995</v>
    <v>523.6</v>
    <v>518.35</v>
    <v>520.20000000000005</v>
    <v>523.95000000000005</v>
    <v>520.79999999999995</v>
    <v>521.1</v>
    <v>521.65</v>
    <v>523.15</v>
    <v>529.15</v>
    <v>531.6</v>
    <v>531</v>
    <v>506.05</v>
    <v>507.9</v>
    <v>503.05</v>
    <v>503.15</v>
    <v>506.25</v>
    <v>500.6</v>
    <v>495.2</v>
    <v>503.9</v>
    <v>503.85</v>
    <v>504.2</v>
    <v>506.15</v>
    <v>507.15</v>
    <v>509.45</v>
    <v>506.45</v>
    <v>509</v>
    <v>506.7</v>
  </a>
  <a r="1" c="248">
    <v>432.4</v>
    <v>430.5</v>
    <v>439.65</v>
    <v>444.25</v>
    <v>448.65</v>
    <v>441.8</v>
    <v>437</v>
    <v>456.1</v>
    <v>504.4</v>
    <v>518.79999999999995</v>
    <v>533.75</v>
    <v>538.70000000000005</v>
    <v>552.4</v>
    <v>563.1</v>
    <v>553.35</v>
    <v>557.04999999999995</v>
    <v>559.20000000000005</v>
    <v>592.5</v>
    <v>580.85</v>
    <v>539.35</v>
    <v>524.45000000000005</v>
    <v>528.79999999999995</v>
    <v>543.04999999999995</v>
    <v>537.54999999999995</v>
    <v>552.70000000000005</v>
    <v>550.70000000000005</v>
    <v>561.5</v>
    <v>564.75</v>
    <v>565.04999999999995</v>
    <v>567.95000000000005</v>
    <v>575.25</v>
    <v>575.29999999999995</v>
    <v>583</v>
    <v>581.5</v>
    <v>588.4</v>
    <v>586.75</v>
    <v>569.04999999999995</v>
    <v>562.35</v>
    <v>551.75</v>
    <v>549.35</v>
    <v>589.15</v>
    <v>574.45000000000005</v>
    <v>584.35</v>
    <v>624.35</v>
    <v>614.5</v>
    <v>636.95000000000005</v>
    <v>639.4</v>
    <v>643.35</v>
    <v>633.29999999999995</v>
    <v>722.1</v>
    <v>729.85</v>
    <v>718.15</v>
    <v>721.75</v>
    <v>727.15</v>
    <v>721.8</v>
    <v>754.6</v>
    <v>739.25</v>
    <v>737.8</v>
    <v>734.75</v>
    <v>750.35</v>
    <v>755.7</v>
    <v>750.75</v>
    <v>734.25</v>
    <v>757.6</v>
    <v>782.6</v>
    <v>793.4</v>
    <v>819.05</v>
    <v>799.05</v>
    <v>797.65</v>
    <v>777.15</v>
    <v>792.35</v>
    <v>791.8</v>
    <v>835.95</v>
    <v>830.65</v>
    <v>828.25</v>
    <v>817.1</v>
    <v>830.2</v>
    <v>844.3</v>
    <v>849.9</v>
    <v>848.55</v>
    <v>848.9</v>
    <v>849.5</v>
    <v>846.85</v>
    <v>848.3</v>
    <v>853.85</v>
    <v>883</v>
    <v>900.45</v>
    <v>929.1</v>
    <v>946</v>
    <v>902.8</v>
    <v>884.05</v>
    <v>851.5</v>
    <v>808.7</v>
    <v>791.9</v>
    <v>783.35</v>
    <v>782.05</v>
    <v>761.25</v>
    <v>744.7</v>
    <v>730.35</v>
    <v>705.1</v>
    <v>719.25</v>
    <v>758.45</v>
    <v>733.5</v>
    <v>762.3</v>
    <v>769.6</v>
    <v>773.35</v>
    <v>793.55</v>
    <v>799.1</v>
    <v>797.3</v>
    <v>771.6</v>
    <v>762.65</v>
    <v>783.1</v>
    <v>802.05</v>
    <v>827.45</v>
    <v>837.55</v>
    <v>812.9</v>
    <v>812.05</v>
    <v>792.85</v>
    <v>786.95</v>
    <v>807.15</v>
    <v>777.4</v>
    <v>747.95</v>
    <v>774.8</v>
    <v>789.9</v>
    <v>805.15</v>
    <v>844</v>
    <v>867.15</v>
    <v>879.6</v>
    <v>884.75</v>
    <v>922.85</v>
    <v>901.85</v>
    <v>875.95</v>
    <v>901.15</v>
    <v>905.25</v>
    <v>908.5</v>
    <v>902.05</v>
    <v>890.6</v>
    <v>873.65</v>
    <v>886.8</v>
    <v>898</v>
    <v>890.25</v>
    <v>882.8</v>
    <v>883.15</v>
    <v>956.25</v>
    <v>931.2</v>
    <v>912.8</v>
    <v>942.9</v>
    <v>936.85</v>
    <v>953.6</v>
    <v>934</v>
    <v>930.4</v>
    <v>948.3</v>
    <v>937.35</v>
    <v>933.45</v>
    <v>913.5</v>
    <v>931.55</v>
    <v>922.1</v>
    <v>915.65</v>
    <v>913</v>
    <v>906.05</v>
    <v>881.45</v>
    <v>889.95</v>
    <v>893.5</v>
    <v>940.25</v>
    <v>939</v>
    <v>937.55</v>
    <v>926.95</v>
    <v>937.4</v>
    <v>919.25</v>
    <v>921.75</v>
    <v>928.35</v>
    <v>934.85</v>
    <v>991.5</v>
    <v>1004.95</v>
    <v>1002.9</v>
    <v>1014.05</v>
    <v>1020.65</v>
    <v>1073.55</v>
    <v>1033.2</v>
    <v>1018.8</v>
    <v>1016.15</v>
    <v>1085.55</v>
    <v>1075.8</v>
    <v>1010.55</v>
    <v>1059.0999999999999</v>
    <v>1036.2</v>
    <v>1064.25</v>
    <v>1085.8</v>
    <v>1100.5999999999999</v>
    <v>1069.8499999999999</v>
    <v>1067.3</v>
    <v>1067.8499999999999</v>
    <v>1048</v>
    <v>1056.8499999999999</v>
    <v>1042.55</v>
    <v>1014.15</v>
    <v>985.15</v>
    <v>1005.9</v>
    <v>1038.4000000000001</v>
    <v>1026.45</v>
    <v>1020.2</v>
    <v>1043.4000000000001</v>
    <v>1021.55</v>
    <v>999.4</v>
    <v>997.3</v>
    <v>1018.9</v>
    <v>999.25</v>
    <v>951</v>
    <v>938.8</v>
    <v>1002.15</v>
    <v>989.9</v>
    <v>998.9</v>
    <v>991.05</v>
    <v>981.7</v>
    <v>942.6</v>
    <v>962.35</v>
    <v>942.85</v>
    <v>870.25</v>
    <v>809.8</v>
    <v>844</v>
    <v>872.95</v>
    <v>848.45</v>
    <v>839.1</v>
    <v>840.85</v>
    <v>889.8</v>
    <v>920.25</v>
    <v>943.25</v>
    <v>960.15</v>
    <v>948.75</v>
    <v>977.55</v>
    <v>973</v>
    <v>977.75</v>
    <v>983.3</v>
    <v>1005.25</v>
    <v>1023.8</v>
    <v>1001.3</v>
    <v>998.95</v>
    <v>972</v>
    <v>988.25</v>
    <v>1014.4</v>
    <v>1061</v>
    <v>1166.25</v>
    <v>1155.7</v>
    <v>1126.45</v>
    <v>1148.5</v>
    <v>1142</v>
    <v>1126.2</v>
    <v>1158.75</v>
  </a>
  <a r="1" c="248">
    <v>1067.55</v>
    <v>1058.95</v>
    <v>1066.8</v>
    <v>1055.55</v>
    <v>1075.75</v>
    <v>1079</v>
    <v>1078.3</v>
    <v>1088.0999999999999</v>
    <v>1095.5</v>
    <v>1099.75</v>
    <v>1090.7</v>
    <v>1074.55</v>
    <v>1079.9000000000001</v>
    <v>1095.3499999999999</v>
    <v>1119.8499999999999</v>
    <v>1107.3499999999999</v>
    <v>1111.95</v>
    <v>1116</v>
    <v>1139.2</v>
    <v>1126.2</v>
    <v>1135.8499999999999</v>
    <v>1145.0999999999999</v>
    <v>1141.9000000000001</v>
    <v>1137.05</v>
    <v>1138.3</v>
    <v>1128.5999999999999</v>
    <v>1129.05</v>
    <v>1126.75</v>
    <v>1109.75</v>
    <v>1139.6500000000001</v>
    <v>1131.3</v>
    <v>1135.8499999999999</v>
    <v>1143.5999999999999</v>
    <v>1148.2</v>
    <v>1137.55</v>
    <v>1168.6500000000001</v>
    <v>1170.45</v>
    <v>1163.4000000000001</v>
    <v>1165.1500000000001</v>
    <v>1167.5</v>
    <v>1170</v>
    <v>1170.25</v>
    <v>1187.95</v>
    <v>1181.5999999999999</v>
    <v>1190.5999999999999</v>
    <v>1194.8</v>
    <v>1180.6500000000001</v>
    <v>1157.5999999999999</v>
    <v>1124.5</v>
    <v>1114.9000000000001</v>
    <v>1110.55</v>
    <v>1108.8</v>
    <v>1150.95</v>
    <v>1153.75</v>
    <v>1167.2</v>
    <v>1169.05</v>
    <v>1155.8</v>
    <v>1115.45</v>
    <v>1112.9000000000001</v>
    <v>1111.55</v>
    <v>1115</v>
    <v>1117.3499999999999</v>
    <v>1103.55</v>
    <v>1116.7</v>
    <v>1138.5</v>
    <v>1130.9000000000001</v>
    <v>1125.5</v>
    <v>1144.3499999999999</v>
    <v>1150.8</v>
    <v>1141.3499999999999</v>
    <v>1144.1500000000001</v>
    <v>1134.3</v>
    <v>1171.45</v>
    <v>1171</v>
    <v>1177.1500000000001</v>
    <v>1176.7</v>
    <v>1173.7</v>
    <v>1179.25</v>
    <v>1179.5</v>
    <v>1182.5</v>
    <v>1171.25</v>
    <v>1153.95</v>
    <v>1146.45</v>
    <v>1157.55</v>
    <v>1170.5</v>
    <v>1172.1500000000001</v>
    <v>1185.8</v>
    <v>1232.5</v>
    <v>1235.55</v>
    <v>1235.8499999999999</v>
    <v>1254</v>
    <v>1262.05</v>
    <v>1281.55</v>
    <v>1282.4000000000001</v>
    <v>1275.25</v>
    <v>1283.5999999999999</v>
    <v>1304.5999999999999</v>
    <v>1305</v>
    <v>1293.4000000000001</v>
    <v>1278</v>
    <v>1273.7</v>
    <v>1263.45</v>
    <v>1261.45</v>
    <v>1261.0999999999999</v>
    <v>1241.9000000000001</v>
    <v>1234.8</v>
    <v>1238.7</v>
    <v>1239.55</v>
    <v>1235.45</v>
    <v>1237.7</v>
    <v>1249.5999999999999</v>
    <v>1261.8</v>
    <v>1245.5999999999999</v>
    <v>1223.75</v>
    <v>1255.9000000000001</v>
    <v>1270.6500000000001</v>
    <v>1277.1500000000001</v>
    <v>1269.45</v>
    <v>1267.3499999999999</v>
    <v>1258.5999999999999</v>
    <v>1236.6500000000001</v>
    <v>1229</v>
    <v>1231.8</v>
    <v>1268.7</v>
    <v>1264.75</v>
    <v>1276</v>
    <v>1258.95</v>
    <v>1273.4000000000001</v>
    <v>1266.25</v>
    <v>1269.7</v>
    <v>1273.95</v>
    <v>1267.6500000000001</v>
    <v>1267.5</v>
    <v>1255.45</v>
    <v>1260.2</v>
    <v>1261</v>
    <v>1276.6500000000001</v>
    <v>1311.05</v>
    <v>1309.1500000000001</v>
    <v>1325.4</v>
    <v>1326.6</v>
    <v>1329.7</v>
    <v>1329</v>
    <v>1309.1500000000001</v>
    <v>1316.65</v>
    <v>1333.95</v>
    <v>1340.9</v>
    <v>1336.7</v>
    <v>1337.95</v>
    <v>1317.55</v>
    <v>1329.55</v>
    <v>1328</v>
    <v>1364.1</v>
    <v>1375.3</v>
    <v>1375.3</v>
    <v>1369.2</v>
    <v>1414.6</v>
    <v>1491.3</v>
    <v>1504.3</v>
    <v>1488.3</v>
    <v>1439.95</v>
    <v>1422.05</v>
    <v>1462.7</v>
    <v>1458.15</v>
    <v>1472.05</v>
    <v>1472.45</v>
    <v>1466.1</v>
    <v>1483.75</v>
    <v>1469.55</v>
    <v>1437.75</v>
    <v>1419.95</v>
    <v>1432.8</v>
    <v>1447.9</v>
    <v>1460.4</v>
    <v>1492.1</v>
    <v>1484.8</v>
    <v>1540.8</v>
    <v>1588.2</v>
    <v>1555.45</v>
    <v>1575.9</v>
    <v>1567.55</v>
    <v>1567.95</v>
    <v>1544</v>
    <v>1523.65</v>
    <v>1576.4</v>
    <v>1550.25</v>
    <v>1574.55</v>
    <v>1559.3</v>
    <v>1576</v>
    <v>1577.4</v>
    <v>1583.75</v>
    <v>1555.35</v>
    <v>1623.75</v>
    <v>1615.35</v>
    <v>1633.8</v>
    <v>1630.6</v>
    <v>1666.95</v>
    <v>1665.6</v>
    <v>1671.5</v>
    <v>1662.55</v>
    <v>1667.45</v>
    <v>1675.25</v>
    <v>1663.05</v>
    <v>1636.3</v>
    <v>1686.4</v>
    <v>1665.75</v>
    <v>1649.8</v>
    <v>1658.8</v>
    <v>1651.9</v>
    <v>1663.85</v>
    <v>1644.1</v>
    <v>1646.3</v>
    <v>1637.95</v>
    <v>1619.35</v>
    <v>1644.2</v>
    <v>1637.65</v>
    <v>1638.65</v>
    <v>1635.6</v>
    <v>1631.5</v>
    <v>1679.25</v>
    <v>1647.3</v>
    <v>1643.4</v>
    <v>1599.15</v>
    <v>1587.1</v>
    <v>1595.8</v>
    <v>1557.85</v>
    <v>1562.25</v>
    <v>1546.2</v>
    <v>1543.55</v>
    <v>1556.7</v>
    <v>1528.3</v>
    <v>1535.85</v>
    <v>1539.65</v>
    <v>1545.25</v>
    <v>1540.05</v>
    <v>1540.5</v>
    <v>1539.15</v>
    <v>1521.5</v>
    <v>1505.05</v>
    <v>1477.3</v>
    <v>1466.85</v>
    <v>1447.5</v>
    <v>1465.9</v>
    <v>1486.65</v>
    <v>1479.25</v>
    <v>1504.15</v>
    <v>1473.85</v>
    <v>1387.4</v>
  </a>
  <a r="1" c="248">
    <v>91.9</v>
    <v>93.65</v>
    <v>93.3</v>
    <v>92.15</v>
    <v>91.5</v>
    <v>90.25</v>
    <v>93.45</v>
    <v>94.7</v>
    <v>93.3</v>
    <v>96.35</v>
    <v>95.25</v>
    <v>94.45</v>
    <v>93.35</v>
    <v>94</v>
    <v>93.3</v>
    <v>94.6</v>
    <v>95.85</v>
    <v>95.5</v>
    <v>95.5</v>
    <v>97.05</v>
    <v>93.1</v>
    <v>93.4</v>
    <v>94.25</v>
    <v>98.85</v>
    <v>99.2</v>
    <v>100.2</v>
    <v>100.45</v>
    <v>98.35</v>
    <v>99.1</v>
    <v>100.25</v>
    <v>100.95</v>
    <v>105.9</v>
    <v>103.8</v>
    <v>106.15</v>
    <v>122.3</v>
    <v>122.9</v>
    <v>126.75</v>
    <v>131.1</v>
    <v>133.65</v>
    <v>132.30000000000001</v>
    <v>131.75</v>
    <v>128.5</v>
    <v>131.44999999999999</v>
    <v>129.44999999999999</v>
    <v>155.30000000000001</v>
    <v>180.9</v>
    <v>173.7</v>
    <v>173</v>
    <v>168.25</v>
    <v>169.15</v>
    <v>185.3</v>
    <v>193.65</v>
    <v>211.9</v>
    <v>233.05</v>
    <v>221.4</v>
    <v>210.35</v>
    <v>205.9</v>
    <v>216.15</v>
    <v>209.7</v>
    <v>199.25</v>
    <v>193.15</v>
    <v>202.8</v>
    <v>207</v>
    <v>201.8</v>
    <v>203.05</v>
    <v>203.5</v>
    <v>200</v>
    <v>210</v>
    <v>205.4</v>
    <v>215.65</v>
    <v>215.1</v>
    <v>204.35</v>
    <v>199.95</v>
    <v>202</v>
    <v>202.1</v>
    <v>202.35</v>
    <v>203.85</v>
    <v>214</v>
    <v>214.8</v>
    <v>213.7</v>
    <v>213.9</v>
    <v>213.65</v>
    <v>224.3</v>
    <v>229.25</v>
    <v>218.1</v>
    <v>221.75</v>
    <v>232.8</v>
    <v>244.4</v>
    <v>256.60000000000002</v>
    <v>243.8</v>
    <v>231.9</v>
    <v>233.55</v>
    <v>228.5</v>
    <v>217.1</v>
    <v>227.95</v>
    <v>221.8</v>
    <v>221.3</v>
    <v>222.35</v>
    <v>217.9</v>
    <v>222.5</v>
    <v>218.45</v>
    <v>217.2</v>
    <v>217</v>
    <v>217.65</v>
    <v>215.35</v>
    <v>215.35</v>
    <v>212.15</v>
    <v>207</v>
    <v>208.35</v>
    <v>218.75</v>
    <v>209.3</v>
    <v>216.7</v>
    <v>214.7</v>
    <v>216.55</v>
    <v>225.8</v>
    <v>221.35</v>
    <v>219.85</v>
    <v>212.1</v>
    <v>210.8</v>
    <v>208.7</v>
    <v>198.3</v>
    <v>188.4</v>
    <v>185.9</v>
    <v>195.15</v>
    <v>199.3</v>
    <v>197.25</v>
    <v>192.35</v>
    <v>193.55</v>
    <v>194.15</v>
    <v>197.5</v>
    <v>196.05</v>
    <v>204.7</v>
    <v>209.35</v>
    <v>205.6</v>
    <v>209.2</v>
    <v>209.85</v>
    <v>209.2</v>
    <v>206.55</v>
    <v>206.4</v>
    <v>214.45</v>
    <v>210.85</v>
    <v>210.35</v>
    <v>210.35</v>
    <v>211.55</v>
    <v>208.5</v>
    <v>207.45</v>
    <v>204.2</v>
    <v>204.65</v>
    <v>205</v>
    <v>203.75</v>
    <v>200.8</v>
    <v>204.15</v>
    <v>204.45</v>
    <v>203.95</v>
    <v>200.85</v>
    <v>220.9</v>
    <v>229.3</v>
    <v>223.1</v>
    <v>227.05</v>
    <v>222.55</v>
    <v>208.4</v>
    <v>214.25</v>
    <v>214.15</v>
    <v>210.4</v>
    <v>231.4</v>
    <v>234.4</v>
    <v>248.95</v>
    <v>273.8</v>
    <v>287.45</v>
    <v>284.89999999999998</v>
    <v>299.10000000000002</v>
    <v>314.05</v>
    <v>299.39999999999998</v>
    <v>292.14999999999998</v>
    <v>293.55</v>
    <v>292.64999999999998</v>
    <v>286.95</v>
    <v>284.64999999999998</v>
    <v>282.45</v>
    <v>277.85000000000002</v>
    <v>281.89999999999998</v>
    <v>285.39999999999998</v>
    <v>281.8</v>
    <v>274</v>
    <v>287.7</v>
    <v>290.2</v>
    <v>288</v>
    <v>287.45</v>
    <v>285.8</v>
    <v>300.05</v>
    <v>314.55</v>
    <v>330.25</v>
    <v>334.75</v>
    <v>321</v>
    <v>325.35000000000002</v>
    <v>312.05</v>
    <v>293.10000000000002</v>
    <v>321.85000000000002</v>
    <v>313.7</v>
    <v>345.05</v>
    <v>379.55</v>
    <v>373.55</v>
    <v>372.95</v>
    <v>354.3</v>
    <v>342.95</v>
    <v>334.6</v>
    <v>351.3</v>
    <v>342.8</v>
    <v>333.45</v>
    <v>327.3</v>
    <v>343.65</v>
    <v>353.8</v>
    <v>342.7</v>
    <v>335</v>
    <v>327.39999999999998</v>
    <v>330.05</v>
    <v>319.10000000000002</v>
    <v>304.2</v>
    <v>289</v>
    <v>303.45</v>
    <v>299.95</v>
    <v>309.35000000000002</v>
    <v>298.39999999999998</v>
    <v>294.55</v>
    <v>309.25</v>
    <v>311.60000000000002</v>
    <v>310.5</v>
    <v>326</v>
    <v>316.5</v>
    <v>332.3</v>
    <v>341.15</v>
    <v>340.3</v>
    <v>342.6</v>
    <v>338.9</v>
    <v>332.25</v>
    <v>329.5</v>
    <v>330.6</v>
    <v>327.05</v>
    <v>313.14999999999998</v>
    <v>331.75</v>
    <v>327.25</v>
    <v>326.45</v>
    <v>331.2</v>
    <v>358.65</v>
    <v>349.75</v>
    <v>371.95</v>
    <v>365.85</v>
    <v>360.3</v>
  </a>
  <a r="1" c="248">
    <v>1895.25</v>
    <v>1952.2</v>
    <v>1935.8</v>
    <v>1914.7</v>
    <v>1936.45</v>
    <v>1948.55</v>
    <v>1958.55</v>
    <v>1926.75</v>
    <v>1933.5</v>
    <v>1932.05</v>
    <v>1929.2</v>
    <v>1972.9</v>
    <v>1966.5</v>
    <v>1941.1</v>
    <v>1944.95</v>
    <v>1950.05</v>
    <v>2135.1</v>
    <v>2078.9499999999998</v>
    <v>2074.5500000000002</v>
    <v>2082.5</v>
    <v>2073</v>
    <v>2073.8000000000002</v>
    <v>2075.8000000000002</v>
    <v>2086.65</v>
    <v>2111.75</v>
    <v>2130.35</v>
    <v>2126.4</v>
    <v>2086.1</v>
    <v>2019.9</v>
    <v>2027.95</v>
    <v>2069.25</v>
    <v>2114.6</v>
    <v>2136.5500000000002</v>
    <v>2163.1</v>
    <v>2174.4499999999998</v>
    <v>2243.9</v>
    <v>2260.25</v>
    <v>2268</v>
    <v>2211.6999999999998</v>
    <v>2232.65</v>
    <v>2199.35</v>
    <v>2177.1999999999998</v>
    <v>2173.75</v>
    <v>2165.0500000000002</v>
    <v>2171.15</v>
    <v>2131.0500000000002</v>
    <v>2135.5</v>
    <v>2062.35</v>
    <v>1986.85</v>
    <v>1932.5</v>
    <v>1936.15</v>
    <v>1925.5</v>
    <v>1943.8</v>
    <v>1987.9</v>
    <v>1976.25</v>
    <v>1992.35</v>
    <v>1991.1</v>
    <v>1979.3</v>
    <v>1989.7</v>
    <v>2007.85</v>
    <v>2005.85</v>
    <v>1977.6</v>
    <v>2013.15</v>
    <v>2010.7</v>
    <v>2045.7</v>
    <v>2013.2</v>
    <v>2025.95</v>
    <v>2041.35</v>
    <v>2046.75</v>
    <v>2091.9499999999998</v>
    <v>2065.4499999999998</v>
    <v>2066.0500000000002</v>
    <v>2083.65</v>
    <v>2054</v>
    <v>2043</v>
    <v>1999.25</v>
    <v>1994.95</v>
    <v>2006.2</v>
    <v>1988.05</v>
    <v>1993.65</v>
    <v>2027.9</v>
    <v>2018.5</v>
    <v>2038.55</v>
    <v>2170.1999999999998</v>
    <v>2218.1</v>
    <v>2220</v>
    <v>2226.0500000000002</v>
    <v>2242.5500000000002</v>
    <v>2280.9</v>
    <v>2291.9499999999998</v>
    <v>2339.65</v>
    <v>2319.25</v>
    <v>2342.8000000000002</v>
    <v>2247.4</v>
    <v>2279.6</v>
    <v>2267.5500000000002</v>
    <v>2242.25</v>
    <v>2248.4</v>
    <v>2213.6999999999998</v>
    <v>2180.5500000000002</v>
    <v>2128.3000000000002</v>
    <v>2138.1</v>
    <v>2108.0500000000002</v>
    <v>2141.75</v>
    <v>2100.4499999999998</v>
    <v>2120.4499999999998</v>
    <v>2119.5</v>
    <v>2090.1999999999998</v>
    <v>2103.8000000000002</v>
    <v>2108.5</v>
    <v>2068.9499999999998</v>
    <v>2065.5</v>
    <v>2093.6999999999998</v>
    <v>2087.6999999999998</v>
    <v>2083.35</v>
    <v>2111.1</v>
    <v>2125.4</v>
    <v>2105.6</v>
    <v>2092.65</v>
    <v>2084.6</v>
    <v>2019.15</v>
    <v>1979.05</v>
    <v>1950</v>
    <v>1988</v>
    <v>1990.95</v>
    <v>1986.75</v>
    <v>1960.05</v>
    <v>2000.3</v>
    <v>2021.7</v>
    <v>2138.35</v>
    <v>2099.65</v>
    <v>2141.3000000000002</v>
    <v>2076.4</v>
    <v>2112</v>
    <v>2116.0500000000002</v>
    <v>2113.35</v>
    <v>2119.6</v>
    <v>2149.35</v>
    <v>2147.9</v>
    <v>2117.9499999999998</v>
    <v>2125.1</v>
    <v>2133.4</v>
    <v>2206.1999999999998</v>
    <v>2195.1999999999998</v>
    <v>2177.85</v>
    <v>2204.25</v>
    <v>2196.1</v>
    <v>2214.1999999999998</v>
    <v>2210.35</v>
    <v>2235.5</v>
    <v>2253.15</v>
    <v>2259.85</v>
    <v>2215.25</v>
    <v>2223.15</v>
    <v>2227.15</v>
    <v>2245.6999999999998</v>
    <v>2269.75</v>
    <v>2306.35</v>
    <v>2311.9</v>
    <v>2288.15</v>
    <v>2217.5</v>
    <v>2284.6999999999998</v>
    <v>2379.4499999999998</v>
    <v>2472.4</v>
    <v>2464.85</v>
    <v>2432.9499999999998</v>
    <v>2481.1999999999998</v>
    <v>2473.9</v>
    <v>2479.1999999999998</v>
    <v>2480.0500000000002</v>
    <v>2487</v>
    <v>2447.9499999999998</v>
    <v>2431.0500000000002</v>
    <v>2439.4499999999998</v>
    <v>2429.5</v>
    <v>2470.6</v>
    <v>2433.5</v>
    <v>2428.1</v>
    <v>2403.1999999999998</v>
    <v>2325.35</v>
    <v>2293.0500000000002</v>
    <v>2356.6999999999998</v>
    <v>2318.3000000000002</v>
    <v>2246.5500000000002</v>
    <v>2284.15</v>
    <v>2236.4</v>
    <v>2240.1</v>
    <v>2218.5</v>
    <v>2305.9</v>
    <v>2250.5</v>
    <v>2250.15</v>
    <v>2212.0500000000002</v>
    <v>2248.4</v>
    <v>2230.1999999999998</v>
    <v>2203.15</v>
    <v>2215.15</v>
    <v>2197.9</v>
    <v>2230.75</v>
    <v>2256.75</v>
    <v>2282.6999999999998</v>
    <v>2312.1999999999998</v>
    <v>2281.6</v>
    <v>2356.6</v>
    <v>2326.75</v>
    <v>2341.6</v>
    <v>2305.5500000000002</v>
    <v>2283.65</v>
    <v>2263.1</v>
    <v>2190.5500000000002</v>
    <v>2212.85</v>
    <v>2221.25</v>
    <v>2218.35</v>
    <v>2187.5</v>
    <v>2201.4</v>
    <v>2189.5500000000002</v>
    <v>2206.0500000000002</v>
    <v>2165.4499999999998</v>
    <v>2129.35</v>
    <v>2065.1999999999998</v>
    <v>2099.6</v>
    <v>2098.65</v>
    <v>2109.25</v>
    <v>2115.6999999999998</v>
    <v>2100.0500000000002</v>
    <v>2149.85</v>
    <v>2161.15</v>
    <v>2139.0500000000002</v>
    <v>2156.5500000000002</v>
    <v>2125.5</v>
    <v>2142.3000000000002</v>
    <v>2202.9499999999998</v>
    <v>2183.6</v>
    <v>2214.4499999999998</v>
    <v>2219.9</v>
    <v>2206.8000000000002</v>
    <v>2192</v>
    <v>2297.1</v>
    <v>2316.6999999999998</v>
    <v>2298.9</v>
    <v>2321.9</v>
    <v>2305.25</v>
    <v>2271.85</v>
    <v>2301.85</v>
    <v>2371.1999999999998</v>
    <v>2399.3000000000002</v>
    <v>2422.8000000000002</v>
    <v>2477.0500000000002</v>
    <v>2443.85</v>
  </a>
  <a r="1" c="248">
    <v>1687.25</v>
    <v>1693.15</v>
    <v>1727.8</v>
    <v>1625.65</v>
    <v>1644.45</v>
    <v>1644.5</v>
    <v>1652.1</v>
    <v>1653.2</v>
    <v>1667.8</v>
    <v>1675.8</v>
    <v>1647.3</v>
    <v>1638.45</v>
    <v>1645</v>
    <v>1646.9</v>
    <v>1641.05</v>
    <v>1637.2</v>
    <v>1615.8</v>
    <v>1609.6</v>
    <v>1615.8</v>
    <v>1635.5</v>
    <v>1636.75</v>
    <v>1610.85</v>
    <v>1604</v>
    <v>1606.5</v>
    <v>1604.4</v>
    <v>1599.4</v>
    <v>1607.7</v>
    <v>1608.7</v>
    <v>1610.6</v>
    <v>1600.8</v>
    <v>1603.5</v>
    <v>1601.75</v>
    <v>1582.05</v>
    <v>1602.75</v>
    <v>1604.15</v>
    <v>1607.5</v>
    <v>1635.6</v>
    <v>1643.6</v>
    <v>1643.5</v>
    <v>1635.55</v>
    <v>1658.6</v>
    <v>1676.15</v>
    <v>1701.4</v>
    <v>1719.8</v>
    <v>1728.2</v>
    <v>1673.3</v>
    <v>1675</v>
    <v>1660.4</v>
    <v>1656.45</v>
    <v>1648.4</v>
    <v>1632.95</v>
    <v>1641.1</v>
    <v>1644.5</v>
    <v>1678.9</v>
    <v>1677.5</v>
    <v>1685.1</v>
    <v>1688.75</v>
    <v>1675.75</v>
    <v>1678.4</v>
    <v>1696.6</v>
    <v>1690.7</v>
    <v>1673.15</v>
    <v>1643.5</v>
    <v>1651.2</v>
    <v>1662.25</v>
    <v>1640.5</v>
    <v>1628.65</v>
    <v>1652.2</v>
    <v>1651.25</v>
    <v>1649.9</v>
    <v>1650.5</v>
    <v>1635.85</v>
    <v>1618.8</v>
    <v>1610.9</v>
    <v>1606.2</v>
    <v>1597.3</v>
    <v>1590.75</v>
    <v>1589.5</v>
    <v>1582.7</v>
    <v>1586.6</v>
    <v>1579.3</v>
    <v>1561.5</v>
    <v>1577.75</v>
    <v>1590.3</v>
    <v>1578.7</v>
    <v>1571.45</v>
    <v>1574.7</v>
    <v>1584.55</v>
    <v>1574.9</v>
    <v>1595.5</v>
    <v>1610.85</v>
    <v>1623.4</v>
    <v>1631.8</v>
    <v>1636.9</v>
    <v>1643.9</v>
    <v>1642.9</v>
    <v>1661.75</v>
    <v>1629.05</v>
    <v>1563.7</v>
    <v>1553.35</v>
    <v>1529.65</v>
    <v>1531</v>
    <v>1537.65</v>
    <v>1526.85</v>
    <v>1523.7</v>
    <v>1526.3</v>
    <v>1508.05</v>
    <v>1529.55</v>
    <v>1535.75</v>
    <v>1534.05</v>
    <v>1516.25</v>
    <v>1524.85</v>
    <v>1539.6</v>
    <v>1549.85</v>
    <v>1535.75</v>
    <v>1529.6</v>
    <v>1541.2</v>
    <v>1519.75</v>
    <v>1514.95</v>
    <v>1522.8</v>
    <v>1506.05</v>
    <v>1496.5</v>
    <v>1463.4</v>
    <v>1469.15</v>
    <v>1485.1</v>
    <v>1476.5</v>
    <v>1474.5</v>
    <v>1476.75</v>
    <v>1483.75</v>
    <v>1494.5</v>
    <v>1487.25</v>
    <v>1491.55</v>
    <v>1485.65</v>
    <v>1491.5</v>
    <v>1500</v>
    <v>1488.8</v>
    <v>1504.4</v>
    <v>1508.35</v>
    <v>1505.1</v>
    <v>1505.2</v>
    <v>1517.95</v>
    <v>1512.55</v>
    <v>1521.3</v>
    <v>1532.1</v>
    <v>1528.65</v>
    <v>1559.15</v>
    <v>1558.8</v>
    <v>1555.4</v>
    <v>1609.4</v>
    <v>1623.7</v>
    <v>1627.8</v>
    <v>1630.45</v>
    <v>1653.2</v>
    <v>1651</v>
    <v>1634.6</v>
    <v>1630.9</v>
    <v>1650.15</v>
    <v>1656.55</v>
    <v>1655.7</v>
    <v>1652.9</v>
    <v>1657</v>
    <v>1686.7</v>
    <v>1670.85</v>
    <v>1682.45</v>
    <v>1703.3</v>
    <v>1705.25</v>
    <v>1709.25</v>
    <v>1698.1</v>
    <v>1699.1</v>
    <v>1672.9</v>
    <v>1690.85</v>
    <v>1682.2</v>
    <v>1663.45</v>
    <v>1650.5</v>
    <v>1655.95</v>
    <v>1649</v>
    <v>1641.2</v>
    <v>1672.8</v>
    <v>1679.15</v>
    <v>1537.5</v>
    <v>1486.15</v>
    <v>1470.65</v>
    <v>1478.85</v>
    <v>1427.35</v>
    <v>1455.9</v>
    <v>1434.9</v>
    <v>1454.65</v>
    <v>1444.3</v>
    <v>1462.55</v>
    <v>1466.35</v>
    <v>1446.15</v>
    <v>1444.85</v>
    <v>1444.1</v>
    <v>1429.95</v>
    <v>1403.05</v>
    <v>1403.6</v>
    <v>1390</v>
    <v>1394.45</v>
    <v>1384.05</v>
    <v>1414.05</v>
    <v>1419.9</v>
    <v>1417.1</v>
    <v>1454.3</v>
    <v>1439.15</v>
    <v>1419.55</v>
    <v>1420.6</v>
    <v>1422.3</v>
    <v>1420.15</v>
    <v>1409.4</v>
    <v>1403.4</v>
    <v>1430.75</v>
    <v>1430.75</v>
    <v>1432.7</v>
    <v>1440.85</v>
    <v>1442.6</v>
    <v>1446.1</v>
    <v>1427.8</v>
    <v>1459.55</v>
    <v>1460.4</v>
    <v>1455.45</v>
    <v>1452.65</v>
    <v>1446.05</v>
    <v>1449.35</v>
    <v>1431.05</v>
    <v>1445.75</v>
    <v>1442.85</v>
    <v>1425.4</v>
    <v>1440.7</v>
    <v>1447.9</v>
    <v>1470.5</v>
    <v>1480.15</v>
    <v>1482.3</v>
    <v>1527.6</v>
    <v>1549.55</v>
    <v>1546.6</v>
    <v>1548.55</v>
    <v>1536.35</v>
    <v>1518.95</v>
    <v>1494.7</v>
    <v>1509.25</v>
    <v>1494.7</v>
    <v>1531.3</v>
    <v>1512.2</v>
    <v>1507.6</v>
    <v>1511.7</v>
    <v>1510.75</v>
    <v>1509.8</v>
    <v>1529.5</v>
  </a>
  <a r="1" c="248">
    <v>2419.75</v>
    <v>2463.9499999999998</v>
    <v>2465.15</v>
    <v>2472.1</v>
    <v>2450.6999999999998</v>
    <v>2471.75</v>
    <v>2509.4</v>
    <v>2566.4499999999998</v>
    <v>2587.25</v>
    <v>2550.35</v>
    <v>2544.1999999999998</v>
    <v>2545.1</v>
    <v>2552.25</v>
    <v>2566.6</v>
    <v>2535.1999999999998</v>
    <v>2533.3000000000002</v>
    <v>2526.65</v>
    <v>2523.25</v>
    <v>2586.15</v>
    <v>2582.9499999999998</v>
    <v>2594.1999999999998</v>
    <v>2607.85</v>
    <v>2651.55</v>
    <v>2632.45</v>
    <v>2638.55</v>
    <v>2624.1</v>
    <v>2654.85</v>
    <v>2634.45</v>
    <v>2614.9499999999998</v>
    <v>2640.75</v>
    <v>2686.65</v>
    <v>2693.1</v>
    <v>2680.7</v>
    <v>2697.7</v>
    <v>2673.3</v>
    <v>2678.5</v>
    <v>2671.25</v>
    <v>2636.3</v>
    <v>2658.3</v>
    <v>2630.9</v>
    <v>2621.35</v>
    <v>2598.65</v>
    <v>2597.1</v>
    <v>2571.4499999999998</v>
    <v>2570.4499999999998</v>
    <v>2608.85</v>
    <v>2649</v>
    <v>2612.9499999999998</v>
    <v>2595.85</v>
    <v>2638.85</v>
    <v>2622.45</v>
    <v>2618.1999999999998</v>
    <v>2623.5</v>
    <v>2639.6</v>
    <v>2658.1</v>
    <v>2685.95</v>
    <v>2676.6</v>
    <v>2662.8</v>
    <v>2651.6</v>
    <v>2607.4</v>
    <v>2618</v>
    <v>2602.75</v>
    <v>2615.85</v>
    <v>2614.9499999999998</v>
    <v>2634.8</v>
    <v>2626.75</v>
    <v>2584.5</v>
    <v>2609.8000000000002</v>
    <v>2610.6</v>
    <v>2623.8</v>
    <v>2603.6</v>
    <v>2520.1</v>
    <v>2544.65</v>
    <v>2537.4</v>
    <v>2539.65</v>
    <v>2503.15</v>
    <v>2477.6</v>
    <v>2486.75</v>
    <v>2494.3000000000002</v>
    <v>2506.9499999999998</v>
    <v>2521.6</v>
    <v>2527.9</v>
    <v>2514.1</v>
    <v>2581.9499999999998</v>
    <v>2574.85</v>
    <v>2515</v>
    <v>2498.25</v>
    <v>2474.85</v>
    <v>2491.3000000000002</v>
    <v>2502.4</v>
    <v>2507.4</v>
    <v>2505.0500000000002</v>
    <v>2523.75</v>
    <v>2487.25</v>
    <v>2488.5500000000002</v>
    <v>2483.1999999999998</v>
    <v>2481.5</v>
    <v>2508.15</v>
    <v>2499.1999999999998</v>
    <v>2512.85</v>
    <v>2517.6999999999998</v>
    <v>2494.5</v>
    <v>2501.8000000000002</v>
    <v>2499.5</v>
    <v>2421.35</v>
    <v>2439.5</v>
    <v>2425.4</v>
    <v>2406.4</v>
    <v>2429.1999999999998</v>
    <v>2454.35</v>
    <v>2425</v>
    <v>2450.1</v>
    <v>2487.65</v>
    <v>2481.9</v>
    <v>2460.0500000000002</v>
    <v>2434.6</v>
    <v>2427.35</v>
    <v>2407.25</v>
    <v>2374.85</v>
    <v>2373.1999999999998</v>
    <v>2351</v>
    <v>2326.3000000000002</v>
    <v>2295.4</v>
    <v>2316.8000000000002</v>
    <v>2312.15</v>
    <v>2458</v>
    <v>2406.35</v>
    <v>2428.3000000000002</v>
    <v>2455.5</v>
    <v>2433.6999999999998</v>
    <v>2438.3000000000002</v>
    <v>2473.15</v>
    <v>2457.5500000000002</v>
    <v>2432.35</v>
    <v>2440.9</v>
    <v>2428.6</v>
    <v>2460.3000000000002</v>
    <v>2459.1</v>
    <v>2510.3000000000002</v>
    <v>2483.5500000000002</v>
    <v>2495.6</v>
    <v>2488.35</v>
    <v>2509.3000000000002</v>
    <v>2504.1</v>
    <v>2488.0500000000002</v>
    <v>2503.6</v>
    <v>2552.35</v>
    <v>2562.15</v>
    <v>2553.4499999999998</v>
    <v>2571</v>
    <v>2576.15</v>
    <v>2588.85</v>
    <v>2561.65</v>
    <v>2545.5500000000002</v>
    <v>2607.5</v>
    <v>2623.25</v>
    <v>2634.3</v>
    <v>2651.05</v>
    <v>2647.5</v>
    <v>2648.75</v>
    <v>2584.1999999999998</v>
    <v>2616.1</v>
    <v>2643.45</v>
    <v>2667.95</v>
    <v>2699.1</v>
    <v>2708.3</v>
    <v>2715.1</v>
    <v>2697.5</v>
    <v>2737.7</v>
    <v>2772.25</v>
    <v>2769.05</v>
    <v>2722.6</v>
    <v>2714.65</v>
    <v>2724.1</v>
    <v>2709.3</v>
    <v>2740.55</v>
    <v>2735.1</v>
    <v>2754.25</v>
    <v>2795.55</v>
    <v>2757.75</v>
    <v>2698.4</v>
    <v>2687.7</v>
    <v>2677.5</v>
    <v>2522.6</v>
    <v>2592.0500000000002</v>
    <v>2590.15</v>
    <v>2569.3000000000002</v>
    <v>2567.6999999999998</v>
    <v>2533.0500000000002</v>
    <v>2510.4499999999998</v>
    <v>2515.35</v>
    <v>2554.1999999999998</v>
    <v>2614.4499999999998</v>
    <v>2695.85</v>
    <v>2622.5</v>
    <v>2657.95</v>
    <v>2670.3</v>
    <v>2671.3</v>
    <v>2663.2</v>
    <v>2653.55</v>
    <v>2711.1</v>
    <v>2711.15</v>
    <v>2745.6</v>
    <v>2729.15</v>
    <v>2718.3</v>
    <v>2740.15</v>
    <v>2717.4</v>
    <v>2731.95</v>
    <v>2701.85</v>
    <v>2736</v>
    <v>2757.5</v>
    <v>2742.2</v>
    <v>2702.05</v>
    <v>2699.7</v>
    <v>2831.55</v>
    <v>2865.85</v>
    <v>2906.4</v>
    <v>2855.9</v>
    <v>2823.2</v>
    <v>2861</v>
    <v>2868</v>
    <v>2925.25</v>
    <v>2891.4</v>
    <v>2871.8</v>
    <v>2901.4</v>
    <v>2960.1</v>
    <v>3001.6</v>
    <v>2992.3</v>
    <v>3014.7</v>
    <v>3051.55</v>
    <v>2999.75</v>
    <v>3002.9</v>
    <v>2997.8</v>
    <v>3000.8</v>
    <v>3044.2</v>
    <v>3014.55</v>
    <v>3000.1</v>
    <v>2985.85</v>
    <v>2883.3</v>
    <v>2879.1</v>
    <v>2871.8</v>
    <v>2830.7</v>
    <v>2898.05</v>
    <v>2914.4</v>
    <v>2950.4</v>
    <v>2919.45</v>
    <v>2982.5</v>
    <v>3021.1</v>
  </a>
  <a r="1" c="248">
    <v>90.65</v>
    <v>91.15</v>
    <v>89.9</v>
    <v>89.4</v>
    <v>90.35</v>
    <v>90.2</v>
    <v>89.55</v>
    <v>89.85</v>
    <v>89.65</v>
    <v>92.05</v>
    <v>91.6</v>
    <v>91.2</v>
    <v>90.85</v>
    <v>90.55</v>
    <v>90.8</v>
    <v>91.4</v>
    <v>91.45</v>
    <v>94.45</v>
    <v>95.1</v>
    <v>96.5</v>
    <v>99.15</v>
    <v>99.2</v>
    <v>99.4</v>
    <v>98.9</v>
    <v>100</v>
    <v>102</v>
    <v>102.55</v>
    <v>101</v>
    <v>101.35</v>
    <v>102.55</v>
    <v>104.8</v>
    <v>103.5</v>
    <v>105.6</v>
    <v>108.3</v>
    <v>106.9</v>
    <v>105.5</v>
    <v>102.8</v>
    <v>99.9</v>
    <v>98.3</v>
    <v>100</v>
    <v>102.1</v>
    <v>102.3</v>
    <v>102.7</v>
    <v>109.2</v>
    <v>111.2</v>
    <v>114.3</v>
    <v>113.7</v>
    <v>111.35</v>
    <v>110.3</v>
    <v>114.8</v>
    <v>115.05</v>
    <v>112.6</v>
    <v>113.85</v>
    <v>112.45</v>
    <v>111.15</v>
    <v>112.35</v>
    <v>112.1</v>
    <v>113.35</v>
    <v>113.75</v>
    <v>113.95</v>
    <v>116.2</v>
    <v>113.55</v>
    <v>115.6</v>
    <v>118.75</v>
    <v>120.2</v>
    <v>117.85</v>
    <v>118.4</v>
    <v>118.6</v>
    <v>119.45</v>
    <v>118.85</v>
    <v>119.35</v>
    <v>118.35</v>
    <v>118.25</v>
    <v>118.55</v>
    <v>119.05</v>
    <v>119.15</v>
    <v>119.15</v>
    <v>121.3</v>
    <v>123.1</v>
    <v>124.4</v>
    <v>122.6</v>
    <v>121.05</v>
    <v>120.9</v>
    <v>120.2</v>
    <v>122.4</v>
    <v>121.75</v>
    <v>123.5</v>
    <v>129.25</v>
    <v>128.05000000000001</v>
    <v>127.2</v>
    <v>128.1</v>
    <v>129.1</v>
    <v>129.55000000000001</v>
    <v>124.55</v>
    <v>124.4</v>
    <v>125.55</v>
    <v>126.45</v>
    <v>125.85</v>
    <v>127.35</v>
    <v>126.8</v>
    <v>125.7</v>
    <v>127.15</v>
    <v>128.44999999999999</v>
    <v>130.69999999999999</v>
    <v>127.15</v>
    <v>128.85</v>
    <v>127.9</v>
    <v>124.05</v>
    <v>123.7</v>
    <v>124.4</v>
    <v>122.75</v>
    <v>123.8</v>
    <v>125.95</v>
    <v>124.85</v>
    <v>125.35</v>
    <v>125.5</v>
    <v>126.65</v>
    <v>126.2</v>
    <v>125.95</v>
    <v>124.4</v>
    <v>119.5</v>
    <v>120.1</v>
    <v>118.15</v>
    <v>120.8</v>
    <v>115</v>
    <v>114.5</v>
    <v>112.9</v>
    <v>113.2</v>
    <v>113.95</v>
    <v>115.4</v>
    <v>115.6</v>
    <v>115.7</v>
    <v>116.15</v>
    <v>117.05</v>
    <v>118.6</v>
    <v>118.9</v>
    <v>120.45</v>
    <v>122.05</v>
    <v>118</v>
    <v>117.5</v>
    <v>118.2</v>
    <v>116.15</v>
    <v>116.95</v>
    <v>116.35</v>
    <v>117.55</v>
    <v>117.85</v>
    <v>118.45</v>
    <v>119</v>
    <v>121.1</v>
    <v>123.6</v>
    <v>124.45</v>
    <v>122.25</v>
    <v>122.3</v>
    <v>121.2</v>
    <v>120.75</v>
    <v>122.3</v>
    <v>123.2</v>
    <v>126.95</v>
    <v>125.6</v>
    <v>126.65</v>
    <v>122</v>
    <v>123.65</v>
    <v>124.2</v>
    <v>124.35</v>
    <v>125</v>
    <v>125</v>
    <v>126.65</v>
    <v>125.5</v>
    <v>123.45</v>
    <v>123.9</v>
    <v>125.85</v>
    <v>124.95</v>
    <v>123.5</v>
    <v>122.7</v>
    <v>121</v>
    <v>124.8</v>
    <v>124.85</v>
    <v>125.2</v>
    <v>127.5</v>
    <v>123.8</v>
    <v>123.85</v>
    <v>122.3</v>
    <v>124.55</v>
    <v>115.75</v>
    <v>115.3</v>
    <v>116</v>
    <v>118.15</v>
    <v>117.05</v>
    <v>119.45</v>
    <v>118.6</v>
    <v>117.75</v>
    <v>118.6</v>
    <v>118.15</v>
    <v>118.6</v>
    <v>115.85</v>
    <v>116.6</v>
    <v>113.2</v>
    <v>115.2</v>
    <v>114.95</v>
    <v>116.05</v>
    <v>118.4</v>
    <v>117.1</v>
    <v>116.6</v>
    <v>115.9</v>
    <v>116.65</v>
    <v>118.8</v>
    <v>119.35</v>
    <v>118.7</v>
    <v>115.45</v>
    <v>116.45</v>
    <v>117.55</v>
    <v>118.1</v>
    <v>117.6</v>
    <v>117.55</v>
    <v>115.9</v>
    <v>115.4</v>
    <v>114.2</v>
    <v>113.05</v>
    <v>108.9</v>
    <v>110.6</v>
    <v>110.75</v>
    <v>109.4</v>
    <v>108.45</v>
    <v>107.8</v>
    <v>109.6</v>
    <v>110.4</v>
    <v>110.15</v>
    <v>111.25</v>
    <v>110.7</v>
    <v>113.2</v>
    <v>115.2</v>
    <v>114.9</v>
    <v>116</v>
    <v>117.5</v>
    <v>121.45</v>
    <v>120.7</v>
    <v>124.55</v>
    <v>123.55</v>
    <v>121.95</v>
    <v>122.35</v>
    <v>121.95</v>
    <v>122.85</v>
    <v>123.85</v>
    <v>124.95</v>
    <v>124.2</v>
    <v>124.35</v>
    <v>127.25</v>
    <v>121.65</v>
  </a>
  <a r="1" c="19">
    <v t="i">2</v>
    <v t="i">3</v>
    <v t="i">4</v>
    <v t="i">5</v>
    <v t="i">6</v>
    <v t="i">9</v>
    <v t="i">10</v>
    <v t="i">11</v>
    <v t="i">13</v>
    <v t="i">16</v>
    <v t="i">17</v>
    <v t="i">19</v>
    <v t="i">20</v>
    <v t="i">23</v>
    <v t="i">24</v>
    <v t="i">25</v>
    <v t="i">26</v>
    <v t="i">27</v>
    <v t="i">30</v>
  </a>
  <a r="1" c="19">
    <v>113.2</v>
    <v>115.2</v>
    <v>114.9</v>
    <v>116</v>
    <v>117.5</v>
    <v>121.45</v>
    <v>120.7</v>
    <v>124.55</v>
    <v>123.55</v>
    <v>121.95</v>
    <v>122.35</v>
    <v>121.95</v>
    <v>122.85</v>
    <v>123.85</v>
    <v>124.95</v>
    <v>124.2</v>
    <v>124.35</v>
    <v>127.25</v>
    <v>121.65</v>
  </a>
  <a r="1" c="19">
    <v>111.9</v>
    <v>113.3</v>
    <v>115.2</v>
    <v>116.45</v>
    <v>116</v>
    <v>119</v>
    <v>121.6</v>
    <v>121.1</v>
    <v>124.5</v>
    <v>122.9</v>
    <v>121.45</v>
    <v>122.85</v>
    <v>121.35</v>
    <v>123.5</v>
    <v>124.75</v>
    <v>125.55</v>
    <v>123.9</v>
    <v>124.9</v>
    <v>123</v>
  </a>
  <a r="1" c="19">
    <v>113.45</v>
    <v>115.65</v>
    <v>115.2</v>
    <v>116.45</v>
    <v>117.85</v>
    <v>121.95</v>
    <v>121.85</v>
    <v>124.9</v>
    <v>125.5</v>
    <v>123.4</v>
    <v>123.5</v>
    <v>125.2</v>
    <v>123.6</v>
    <v>124.5</v>
    <v>125.45</v>
    <v>125.55</v>
    <v>124.75</v>
    <v>128.69999999999999</v>
    <v>123</v>
  </a>
  <a r="1" c="19">
    <v>111.55</v>
    <v>112.65</v>
    <v>114</v>
    <v>114.8</v>
    <v>115</v>
    <v>118.65</v>
    <v>119.85</v>
    <v>120.6</v>
    <v>123.3</v>
    <v>119.8</v>
    <v>120.95</v>
    <v>121.4</v>
    <v>119.45</v>
    <v>122.95</v>
    <v>124.1</v>
    <v>123.85</v>
    <v>123.55</v>
    <v>124.55</v>
    <v>119</v>
  </a>
  <a r="1" c="19">
    <v>7682597</v>
    <v>5620387</v>
    <v>2923769</v>
    <v>4017310</v>
    <v>3509083</v>
    <v>11248342</v>
    <v>4225726</v>
    <v>10167428</v>
    <v>5909245</v>
    <v>5154055</v>
    <v>3760380</v>
    <v>5246681</v>
    <v>5396738</v>
    <v>3861316</v>
    <v>4222729</v>
    <v>2622393</v>
    <v>3124993</v>
    <v>12870973</v>
    <v>17493125</v>
  </a>
  <a r="1" c="248">
    <v>63.85</v>
    <v>64.150000000000006</v>
    <v>63.8</v>
    <v>63.25</v>
    <v>64.2</v>
    <v>64.45</v>
    <v>64.05</v>
    <v>64.8</v>
    <v>65.55</v>
    <v>66.75</v>
    <v>67.400000000000006</v>
    <v>66.95</v>
    <v>66.7</v>
    <v>66.8</v>
    <v>66.400000000000006</v>
    <v>66.05</v>
    <v>66</v>
    <v>68</v>
    <v>69.849999999999994</v>
    <v>70.150000000000006</v>
    <v>71.650000000000006</v>
    <v>71.650000000000006</v>
    <v>72.599999999999994</v>
    <v>72.900000000000006</v>
    <v>73.7</v>
    <v>73.8</v>
    <v>73.599999999999994</v>
    <v>72.2</v>
    <v>71.7</v>
    <v>72.8</v>
    <v>74.8</v>
    <v>76.75</v>
    <v>79</v>
    <v>81.7</v>
    <v>81.3</v>
    <v>82.8</v>
    <v>82.2</v>
    <v>77.599999999999994</v>
    <v>77.75</v>
    <v>77.75</v>
    <v>78.25</v>
    <v>79.7</v>
    <v>79.400000000000006</v>
    <v>81.95</v>
    <v>78.650000000000006</v>
    <v>80.349999999999994</v>
    <v>80.5</v>
    <v>79.7</v>
    <v>79.25</v>
    <v>82.8</v>
    <v>83.1</v>
    <v>81.349999999999994</v>
    <v>82.5</v>
    <v>81.7</v>
    <v>81.099999999999994</v>
    <v>81.8</v>
    <v>81.400000000000006</v>
    <v>82.85</v>
    <v>83.7</v>
    <v>83.05</v>
    <v>84.65</v>
    <v>82.55</v>
    <v>83.95</v>
    <v>87.2</v>
    <v>88.5</v>
    <v>87.1</v>
    <v>86.95</v>
    <v>87.45</v>
    <v>87.65</v>
    <v>87.45</v>
    <v>88.15</v>
    <v>87.55</v>
    <v>88.15</v>
    <v>88.15</v>
    <v>88.35</v>
    <v>88.55</v>
    <v>88.95</v>
    <v>89.7</v>
    <v>91.95</v>
    <v>92.25</v>
    <v>91.45</v>
    <v>91.1</v>
    <v>91.05</v>
    <v>90.3</v>
    <v>92.25</v>
    <v>93.35</v>
    <v>93.4</v>
    <v>98.45</v>
    <v>99.2</v>
    <v>97.65</v>
    <v>95.8</v>
    <v>95.35</v>
    <v>96.55</v>
    <v>93.45</v>
    <v>93.1</v>
    <v>93.65</v>
    <v>94.55</v>
    <v>93.15</v>
    <v>93.6</v>
    <v>93.4</v>
    <v>93.6</v>
    <v>94.3</v>
    <v>95.55</v>
    <v>97.55</v>
    <v>94.55</v>
    <v>95.5</v>
    <v>94.15</v>
    <v>91.75</v>
    <v>91.95</v>
    <v>91.4</v>
    <v>90.05</v>
    <v>90.25</v>
    <v>91.55</v>
    <v>90.8</v>
    <v>90.25</v>
    <v>90.95</v>
    <v>91.6</v>
    <v>90.95</v>
    <v>90.8</v>
    <v>88.9</v>
    <v>86.45</v>
    <v>87.15</v>
    <v>84.95</v>
    <v>86.05</v>
    <v>83.2</v>
    <v>82.7</v>
    <v>81.099999999999994</v>
    <v>82.3</v>
    <v>82.8</v>
    <v>82.75</v>
    <v>83.15</v>
    <v>83.7</v>
    <v>84.65</v>
    <v>85.35</v>
    <v>86.2</v>
    <v>86.35</v>
    <v>86.85</v>
    <v>88.4</v>
    <v>85.1</v>
    <v>84.4</v>
    <v>84.6</v>
    <v>83.2</v>
    <v>84.15</v>
    <v>84.3</v>
    <v>85.25</v>
    <v>84.9</v>
    <v>85.2</v>
    <v>86.1</v>
    <v>86.95</v>
    <v>89.25</v>
    <v>90.4</v>
    <v>87.7</v>
    <v>88.05</v>
    <v>87.35</v>
    <v>86.85</v>
    <v>87.5</v>
    <v>88.15</v>
    <v>90</v>
    <v>89.75</v>
    <v>90.15</v>
    <v>87.35</v>
    <v>88.35</v>
    <v>88.45</v>
    <v>88.5</v>
    <v>88.85</v>
    <v>88.7</v>
    <v>88.9</v>
    <v>87.8</v>
    <v>86.1</v>
    <v>86.1</v>
    <v>87.05</v>
    <v>86.7</v>
    <v>85.45</v>
    <v>84.25</v>
    <v>83.9</v>
    <v>86.65</v>
    <v>87.15</v>
    <v>86.75</v>
    <v>88.3</v>
    <v>85.2</v>
    <v>86.4</v>
    <v>85.7</v>
    <v>87.7</v>
    <v>81.8</v>
    <v>79.599999999999994</v>
    <v>80.05</v>
    <v>83.5</v>
    <v>82.7</v>
    <v>84.35</v>
    <v>83.4</v>
    <v>82.55</v>
    <v>83.25</v>
    <v>83</v>
    <v>83.15</v>
    <v>81</v>
    <v>81.25</v>
    <v>79.2</v>
    <v>80.5</v>
    <v>80.849999999999994</v>
    <v>81.25</v>
    <v>82.85</v>
    <v>82.15</v>
    <v>81.75</v>
    <v>80.95</v>
    <v>81.150000000000006</v>
    <v>82.85</v>
    <v>83.95</v>
    <v>83.3</v>
    <v>80.55</v>
    <v>81.05</v>
    <v>82.2</v>
    <v>82.55</v>
    <v>82.1</v>
    <v>81.55</v>
    <v>81.8</v>
    <v>80.8</v>
    <v>80.5</v>
    <v>79.5</v>
    <v>77.5</v>
    <v>78.45</v>
    <v>78.7</v>
    <v>77.95</v>
    <v>76.650000000000006</v>
    <v>76.349999999999994</v>
    <v>77.900000000000006</v>
    <v>78.05</v>
    <v>77.7</v>
    <v>77.8</v>
    <v>75.400000000000006</v>
    <v>77.5</v>
    <v>79.150000000000006</v>
    <v>78.400000000000006</v>
    <v>79.45</v>
    <v>80.650000000000006</v>
    <v>82.5</v>
    <v>82.15</v>
    <v>84.7</v>
    <v>84.35</v>
    <v>82.75</v>
    <v>82.7</v>
    <v>82.6</v>
    <v>81.849999999999994</v>
    <v>83.2</v>
    <v>83.45</v>
    <v>83.35</v>
    <v>83.4</v>
    <v>84.8</v>
    <v>81.650000000000006</v>
  </a>
  <a r="1" c="248">
    <v>2049.15</v>
    <v>2050.75</v>
    <v>2061.6999999999998</v>
    <v>2072.25</v>
    <v>2055.0500000000002</v>
    <v>2110.35</v>
    <v>2088.5500000000002</v>
    <v>2087</v>
    <v>2057.8000000000002</v>
    <v>2066</v>
    <v>2075.9</v>
    <v>2070.85</v>
    <v>2069.6999999999998</v>
    <v>2081.6999999999998</v>
    <v>2134.8000000000002</v>
    <v>2190.75</v>
    <v>2171.65</v>
    <v>2144.9499999999998</v>
    <v>2135.1</v>
    <v>2138.15</v>
    <v>2142.5</v>
    <v>2216.9</v>
    <v>2229.9499999999998</v>
    <v>2197.15</v>
    <v>2195.75</v>
    <v>2174.0500000000002</v>
    <v>2180.0500000000002</v>
    <v>2168.6</v>
    <v>2151.65</v>
    <v>2162.9</v>
    <v>2163.9</v>
    <v>2185.35</v>
    <v>2196.1999999999998</v>
    <v>2196.85</v>
    <v>2179.4</v>
    <v>2184.5500000000002</v>
    <v>2187.6999999999998</v>
    <v>2176.85</v>
    <v>2156.8000000000002</v>
    <v>2149.75</v>
    <v>2135.4</v>
    <v>2158.85</v>
    <v>2198.5500000000002</v>
    <v>2292.5500000000002</v>
    <v>2289.6</v>
    <v>2275.0500000000002</v>
    <v>2301.3000000000002</v>
    <v>2286.0500000000002</v>
    <v>2246.35</v>
    <v>2249</v>
    <v>2232.0500000000002</v>
    <v>2241.3000000000002</v>
    <v>2272.1</v>
    <v>2272.1999999999998</v>
    <v>2274.3000000000002</v>
    <v>2280.35</v>
    <v>2273.85</v>
    <v>2295.3000000000002</v>
    <v>2335.9</v>
    <v>2336.85</v>
    <v>2329.6</v>
    <v>2336.4</v>
    <v>2333.6</v>
    <v>2356.9499999999998</v>
    <v>2371.1</v>
    <v>2371.4</v>
    <v>2350.8000000000002</v>
    <v>2310.25</v>
    <v>2377.35</v>
    <v>2379.85</v>
    <v>2405.9499999999998</v>
    <v>2412.9</v>
    <v>2426.4</v>
    <v>2454.4499999999998</v>
    <v>2497.1999999999998</v>
    <v>2536.4</v>
    <v>2538.5500000000002</v>
    <v>2501.75</v>
    <v>2500.35</v>
    <v>2494</v>
    <v>2437.5</v>
    <v>2414.6</v>
    <v>2376.0500000000002</v>
    <v>2368.0500000000002</v>
    <v>2383.9</v>
    <v>2375.4499999999998</v>
    <v>2356.1</v>
    <v>2383.4499999999998</v>
    <v>2447.15</v>
    <v>2474.75</v>
    <v>2442.5500000000002</v>
    <v>2464.6</v>
    <v>2604.6</v>
    <v>2602.9</v>
    <v>2590.6999999999998</v>
    <v>2615.8000000000002</v>
    <v>2596.0500000000002</v>
    <v>2537.9499999999998</v>
    <v>2544.85</v>
    <v>2500.8000000000002</v>
    <v>2483.4</v>
    <v>2491.9499999999998</v>
    <v>2497</v>
    <v>2476.0500000000002</v>
    <v>2438.15</v>
    <v>2510.5500000000002</v>
    <v>2517.4499999999998</v>
    <v>2449.9499999999998</v>
    <v>2473.4499999999998</v>
    <v>2489.4</v>
    <v>2412.15</v>
    <v>2413.5</v>
    <v>2415.1</v>
    <v>2562.9</v>
    <v>2520.65</v>
    <v>2495.8000000000002</v>
    <v>2570.0500000000002</v>
    <v>2596.15</v>
    <v>2539.1</v>
    <v>2501.1</v>
    <v>2414.85</v>
    <v>2402.8000000000002</v>
    <v>2301.6</v>
    <v>2303.75</v>
    <v>2280.4</v>
    <v>2246.9</v>
    <v>2237.5</v>
    <v>2263.4499999999998</v>
    <v>2390.65</v>
    <v>2415.4</v>
    <v>2406.9</v>
    <v>2428.6999999999998</v>
    <v>2376.3000000000002</v>
    <v>2425.4</v>
    <v>2485.75</v>
    <v>2683.1</v>
    <v>2804.45</v>
    <v>2839.7</v>
    <v>2832.95</v>
    <v>2854.75</v>
    <v>2844.55</v>
    <v>2753.4</v>
    <v>2791.15</v>
    <v>2786.1</v>
    <v>2760.75</v>
    <v>2784.05</v>
    <v>2801.15</v>
    <v>2793.4</v>
    <v>2893.9</v>
    <v>2874.25</v>
    <v>2755.65</v>
    <v>2811</v>
    <v>2744.75</v>
    <v>2705.95</v>
    <v>2708.25</v>
    <v>2705.05</v>
    <v>2745.2</v>
    <v>2722.05</v>
    <v>2690.6</v>
    <v>2677.3</v>
    <v>2655.35</v>
    <v>2712.05</v>
    <v>2678.4</v>
    <v>2657.35</v>
    <v>2659.1</v>
    <v>2663.5</v>
    <v>2651.4</v>
    <v>2648.5</v>
    <v>2669.7</v>
    <v>2652.1</v>
    <v>2708.35</v>
    <v>2748.15</v>
    <v>2764.4</v>
    <v>2766.4</v>
    <v>2761.25</v>
    <v>2793.7</v>
    <v>2839.2</v>
    <v>2849.95</v>
    <v>2847.7</v>
    <v>2824</v>
    <v>2803.15</v>
    <v>2804.7</v>
    <v>2765.7</v>
    <v>2739.95</v>
    <v>2732.9</v>
    <v>2747.2</v>
    <v>2742.25</v>
    <v>2771.5</v>
    <v>2897</v>
    <v>2880.05</v>
    <v>2885.25</v>
    <v>2898.35</v>
    <v>2942.35</v>
    <v>2852</v>
    <v>2937.9</v>
    <v>2905.25</v>
    <v>2856.9</v>
    <v>2825.75</v>
    <v>2840.2</v>
    <v>2909.5</v>
    <v>2890.15</v>
    <v>2887.45</v>
    <v>2861.45</v>
    <v>2989.55</v>
    <v>2998</v>
    <v>3113.25</v>
    <v>3107.85</v>
    <v>3138.25</v>
    <v>3082.65</v>
    <v>3072.1</v>
    <v>3109.2</v>
    <v>3120.15</v>
    <v>3043.85</v>
    <v>3062.75</v>
    <v>2955.95</v>
    <v>2901.9</v>
    <v>3006.45</v>
    <v>2914.2</v>
    <v>2744.9</v>
    <v>2882.25</v>
    <v>2994.8</v>
    <v>2926.65</v>
    <v>2825.4</v>
    <v>2831.85</v>
    <v>2943.25</v>
    <v>3089.1</v>
    <v>3021.3</v>
    <v>2920.6</v>
    <v>2915.65</v>
    <v>2992.2</v>
    <v>3186.2</v>
    <v>3149</v>
    <v>3140.35</v>
    <v>3146.75</v>
    <v>3069.4</v>
    <v>2997.4</v>
    <v>3050.15</v>
    <v>3115.45</v>
    <v>3028.7</v>
    <v>3113.8</v>
    <v>3201.7</v>
    <v>3151.55</v>
    <v>3238.55</v>
    <v>3258.65</v>
    <v>3230.1</v>
    <v>3253.4</v>
    <v>3206.5</v>
    <v>3291.65</v>
  </a>
  <a r="1" c="248">
    <v>480.25</v>
    <v>483.7</v>
    <v>480.8</v>
    <v>477.1</v>
    <v>500.5</v>
    <v>503.65</v>
    <v>509.5</v>
    <v>511.6</v>
    <v>515.95000000000005</v>
    <v>530.85</v>
    <v>521.15</v>
    <v>515.5</v>
    <v>508.45</v>
    <v>524.95000000000005</v>
    <v>522.5</v>
    <v>528.5</v>
    <v>520.20000000000005</v>
    <v>514.85</v>
    <v>518.45000000000005</v>
    <v>521.45000000000005</v>
    <v>518.79999999999995</v>
    <v>526.29999999999995</v>
    <v>535.20000000000005</v>
    <v>535.9</v>
    <v>546.25</v>
    <v>555.75</v>
    <v>567.95000000000005</v>
    <v>559.70000000000005</v>
    <v>562.29999999999995</v>
    <v>564.15</v>
    <v>562.20000000000005</v>
    <v>570.29999999999995</v>
    <v>568.45000000000005</v>
    <v>569.79999999999995</v>
    <v>566.04999999999995</v>
    <v>583.25</v>
    <v>581.4</v>
    <v>569.35</v>
    <v>559.65</v>
    <v>567.85</v>
    <v>573.1</v>
    <v>586.65</v>
    <v>595.54999999999995</v>
    <v>590.79999999999995</v>
    <v>591.45000000000005</v>
    <v>588.25</v>
    <v>600.79999999999995</v>
    <v>618.20000000000005</v>
    <v>618.65</v>
    <v>628.5</v>
    <v>621.45000000000005</v>
    <v>620.65</v>
    <v>624.9</v>
    <v>618.5</v>
    <v>612.1</v>
    <v>620.6</v>
    <v>621.65</v>
    <v>625.75</v>
    <v>629.25</v>
    <v>639.45000000000005</v>
    <v>641.1</v>
    <v>643.70000000000005</v>
    <v>635.29999999999995</v>
    <v>644.29999999999995</v>
    <v>643.65</v>
    <v>622.65</v>
    <v>618.95000000000005</v>
    <v>615</v>
    <v>609.5</v>
    <v>607.29999999999995</v>
    <v>622.54999999999995</v>
    <v>618.25</v>
    <v>611.79999999999995</v>
    <v>607.35</v>
    <v>618.75</v>
    <v>613.75</v>
    <v>615.79999999999995</v>
    <v>620.5</v>
    <v>620.20000000000005</v>
    <v>613.9</v>
    <v>610.95000000000005</v>
    <v>605.1</v>
    <v>602.4</v>
    <v>607.15</v>
    <v>605.54999999999995</v>
    <v>601</v>
    <v>611.20000000000005</v>
    <v>609</v>
    <v>611.15</v>
    <v>610.25</v>
    <v>614.9</v>
    <v>627.25</v>
    <v>634.85</v>
    <v>620.79999999999995</v>
    <v>625.9</v>
    <v>624.6</v>
    <v>634.25</v>
    <v>640.65</v>
    <v>638.5</v>
    <v>627.04999999999995</v>
    <v>620.45000000000005</v>
    <v>618.70000000000005</v>
    <v>619.79999999999995</v>
    <v>620.15</v>
    <v>614.1</v>
    <v>630.20000000000005</v>
    <v>620.45000000000005</v>
    <v>613.6</v>
    <v>619.6</v>
    <v>622.45000000000005</v>
    <v>617.35</v>
    <v>630.54999999999995</v>
    <v>634</v>
    <v>636.95000000000005</v>
    <v>667.1</v>
    <v>666.2</v>
    <v>655.7</v>
    <v>668.5</v>
    <v>668.8</v>
    <v>663.2</v>
    <v>647.35</v>
    <v>637.85</v>
    <v>626.54999999999995</v>
    <v>641.04999999999995</v>
    <v>628.5</v>
    <v>628.65</v>
    <v>627.70000000000005</v>
    <v>636.45000000000005</v>
    <v>647.5</v>
    <v>646.04999999999995</v>
    <v>645</v>
    <v>642.54999999999995</v>
    <v>649.35</v>
    <v>651.04999999999995</v>
    <v>653.54999999999995</v>
    <v>653.25</v>
    <v>671.55</v>
    <v>680.4</v>
    <v>681.55</v>
    <v>674.3</v>
    <v>681.7</v>
    <v>681.2</v>
    <v>679.95</v>
    <v>673.7</v>
    <v>697.5</v>
    <v>712.35</v>
    <v>706.4</v>
    <v>705.45</v>
    <v>705.6</v>
    <v>708.95</v>
    <v>722.45</v>
    <v>721.95</v>
    <v>714.55</v>
    <v>720.8</v>
    <v>715.4</v>
    <v>720.3</v>
    <v>719.75</v>
    <v>732.4</v>
    <v>730.8</v>
    <v>728.95</v>
    <v>705.25</v>
    <v>708.85</v>
    <v>724.7</v>
    <v>719.55</v>
    <v>740.9</v>
    <v>753.9</v>
    <v>779.95</v>
    <v>790.6</v>
    <v>784.4</v>
    <v>781.45</v>
    <v>795.75</v>
    <v>790.95</v>
    <v>789.1</v>
    <v>799.8</v>
    <v>808.45</v>
    <v>815.65</v>
    <v>816.45</v>
    <v>812.45</v>
    <v>818.85</v>
    <v>805.55</v>
    <v>819.05</v>
    <v>823.55</v>
    <v>818.9</v>
    <v>800.45</v>
    <v>810.9</v>
    <v>811.85</v>
    <v>841</v>
    <v>858.85</v>
    <v>884.2</v>
    <v>878.5</v>
    <v>878.75</v>
    <v>926.8</v>
    <v>939.55</v>
    <v>933.8</v>
    <v>924.3</v>
    <v>915</v>
    <v>911.6</v>
    <v>906.9</v>
    <v>918.3</v>
    <v>920.55</v>
    <v>938.6</v>
    <v>932.6</v>
    <v>926.35</v>
    <v>921.05</v>
    <v>932.3</v>
    <v>937.4</v>
    <v>936.95</v>
    <v>962.7</v>
    <v>958.05</v>
    <v>950.2</v>
    <v>977.4</v>
    <v>988.35</v>
    <v>987.2</v>
    <v>1021.9</v>
    <v>1017.65</v>
    <v>1039.3</v>
    <v>1028</v>
    <v>1016.5</v>
    <v>973.2</v>
    <v>967.75</v>
    <v>945.85</v>
    <v>972.45</v>
    <v>957.75</v>
    <v>940.45</v>
    <v>964.9</v>
    <v>979.8</v>
    <v>986.2</v>
    <v>978.65</v>
    <v>992.8</v>
    <v>992.25</v>
    <v>1004.65</v>
    <v>1009.15</v>
    <v>1011.6</v>
    <v>1007.1</v>
    <v>1013.2</v>
    <v>1008.5</v>
    <v>1013.5</v>
    <v>1018.5</v>
    <v>998.8</v>
    <v>992.8</v>
    <v>971.35</v>
    <v>963.2</v>
    <v>973.55</v>
    <v>986.75</v>
    <v>991.65</v>
    <v>1001.25</v>
    <v>999.5</v>
    <v>1000.6</v>
  </a>
  <a r="1" c="248">
    <v>2909.1</v>
    <v>2908.25</v>
    <v>2898</v>
    <v>2890.55</v>
    <v>2903.1</v>
    <v>2898.95</v>
    <v>2892.25</v>
    <v>2911.7</v>
    <v>2867.55</v>
    <v>2937.85</v>
    <v>2912.55</v>
    <v>2961.1</v>
    <v>2983.7</v>
    <v>3035.35</v>
    <v>3231.55</v>
    <v>3275.65</v>
    <v>3514.3</v>
    <v>3597.85</v>
    <v>3661.2</v>
    <v>3717</v>
    <v>3682.3</v>
    <v>3878.75</v>
    <v>3909.5</v>
    <v>3966.15</v>
    <v>3980.5</v>
    <v>3862.6</v>
    <v>3922.55</v>
    <v>4067.4</v>
    <v>4074.4</v>
    <v>4185.05</v>
    <v>4315.8999999999996</v>
    <v>4373.1000000000004</v>
    <v>4577</v>
    <v>4546.6000000000004</v>
    <v>4655.1499999999996</v>
    <v>4538.55</v>
    <v>4587.1000000000004</v>
    <v>4446.8999999999996</v>
    <v>4326.2</v>
    <v>4432.05</v>
    <v>4390.8999999999996</v>
    <v>4361.95</v>
    <v>4388.6000000000004</v>
    <v>4357.3999999999996</v>
    <v>4358.1499999999996</v>
    <v>4206.1000000000004</v>
    <v>4260.8</v>
    <v>4244</v>
    <v>4238.5</v>
    <v>4386.3500000000004</v>
    <v>4336.3</v>
    <v>4297.6499999999996</v>
    <v>4319.75</v>
    <v>4333.3500000000004</v>
    <v>4325.2</v>
    <v>4330.5</v>
    <v>4265.3500000000004</v>
    <v>4176.3999999999996</v>
    <v>4014.85</v>
    <v>4112.8999999999996</v>
    <v>4087.2</v>
    <v>4050.45</v>
    <v>4063.6</v>
    <v>4122</v>
    <v>4135.55</v>
    <v>4127.3</v>
    <v>4443.3500000000004</v>
    <v>4616.25</v>
    <v>4690.3500000000004</v>
    <v>4859.8</v>
    <v>4901.3500000000004</v>
    <v>4800.95</v>
    <v>4780.55</v>
    <v>4651.25</v>
    <v>4753.1000000000004</v>
    <v>4682.5</v>
    <v>4737.8</v>
    <v>4893.75</v>
    <v>4995</v>
    <v>4996.8</v>
    <v>4947.1000000000004</v>
    <v>4859.75</v>
    <v>4946.8999999999996</v>
    <v>4917.05</v>
    <v>4958.1000000000004</v>
    <v>5003.8500000000004</v>
    <v>5057.25</v>
    <v>5123</v>
    <v>5127.55</v>
    <v>4998.1499999999996</v>
    <v>5084.8</v>
    <v>5121.2</v>
    <v>5178.8999999999996</v>
    <v>5040.95</v>
    <v>5062.1000000000004</v>
    <v>5078.1000000000004</v>
    <v>5059</v>
    <v>4920.3</v>
    <v>4877.55</v>
    <v>4849.45</v>
    <v>4808.3999999999996</v>
    <v>4889.55</v>
    <v>5098.1499999999996</v>
    <v>5285.35</v>
    <v>5218.3500000000004</v>
    <v>5289.25</v>
    <v>5297.45</v>
    <v>5216.45</v>
    <v>5148.1000000000004</v>
    <v>5128.75</v>
    <v>5104.6499999999996</v>
    <v>5170.45</v>
    <v>5254.7</v>
    <v>5290.3</v>
    <v>5339.95</v>
    <v>5388.85</v>
    <v>5474.35</v>
    <v>5475.3</v>
    <v>5501.8</v>
    <v>5520.9</v>
    <v>5418</v>
    <v>5445.6</v>
    <v>5340.95</v>
    <v>5374.75</v>
    <v>5103.8500000000004</v>
    <v>5101.6000000000004</v>
    <v>5181.3</v>
    <v>5330</v>
    <v>5274.2</v>
    <v>5266.25</v>
    <v>5253.05</v>
    <v>5357.3</v>
    <v>5305.85</v>
    <v>5274.9</v>
    <v>5274.45</v>
    <v>5233.8</v>
    <v>5254.25</v>
    <v>5426.95</v>
    <v>5426.85</v>
    <v>5443.9</v>
    <v>5461.5</v>
    <v>5412.2</v>
    <v>5345.35</v>
    <v>5277.85</v>
    <v>5290.7</v>
    <v>5398.5</v>
    <v>5510.6</v>
    <v>5951.65</v>
    <v>6002.2</v>
    <v>6031.1</v>
    <v>5980.2</v>
    <v>5988.35</v>
    <v>5964.9</v>
    <v>6372.65</v>
    <v>6356.5</v>
    <v>6290.65</v>
    <v>6308.05</v>
    <v>6316.9</v>
    <v>6271.55</v>
    <v>6366.2</v>
    <v>6268.95</v>
    <v>6521.65</v>
    <v>6478.35</v>
    <v>6456.1</v>
    <v>6463.95</v>
    <v>6464.55</v>
    <v>6566.75</v>
    <v>6460.35</v>
    <v>6316.5</v>
    <v>6350.7</v>
    <v>6396.55</v>
    <v>6378.4</v>
    <v>6325.45</v>
    <v>6356.7</v>
    <v>6326.95</v>
    <v>6488.65</v>
    <v>6553.95</v>
    <v>6331.6</v>
    <v>6343.6</v>
    <v>6367.7</v>
    <v>6303.1</v>
    <v>6100.2</v>
    <v>6019.2</v>
    <v>5853.85</v>
    <v>5920.1</v>
    <v>5879.45</v>
    <v>5871.65</v>
    <v>5862.95</v>
    <v>5991.1</v>
    <v>6124.4</v>
    <v>6237.8</v>
    <v>6259.6</v>
    <v>6358.55</v>
    <v>6308.85</v>
    <v>6223.95</v>
    <v>6277.9</v>
    <v>6269.2</v>
    <v>6295.7</v>
    <v>6339.95</v>
    <v>6360.05</v>
    <v>6378.1</v>
    <v>6743.85</v>
    <v>6706.5</v>
    <v>6734</v>
    <v>6776.95</v>
    <v>6867.5</v>
    <v>6945.25</v>
    <v>6761.25</v>
    <v>6542.65</v>
    <v>6683.85</v>
    <v>7004.95</v>
    <v>7043.2</v>
    <v>7162.5</v>
    <v>7057.9</v>
    <v>7152.6</v>
    <v>7142.95</v>
    <v>7051.05</v>
    <v>6894.6</v>
    <v>6603.9</v>
    <v>6802.75</v>
    <v>6962</v>
    <v>7022.05</v>
    <v>6946.65</v>
    <v>6952.3</v>
    <v>7067.75</v>
    <v>7165.15</v>
    <v>7245.65</v>
    <v>7424.2</v>
    <v>7479.25</v>
    <v>7592.05</v>
    <v>7915.5</v>
    <v>7699.45</v>
    <v>7628.25</v>
    <v>7660.5</v>
    <v>7635.3</v>
    <v>7692.45</v>
    <v>7828.1</v>
    <v>7845.4</v>
    <v>7633</v>
    <v>7559.95</v>
    <v>7498.35</v>
    <v>7531.95</v>
    <v>7821.15</v>
    <v>7766.65</v>
    <v>8145.75</v>
    <v>8093.4</v>
    <v>8580.15</v>
    <v>8470.5499999999993</v>
  </a>
  <a r="1" c="248">
    <v>64.45</v>
    <v>64.900000000000006</v>
    <v>67.5</v>
    <v>66.599999999999994</v>
    <v>66.25</v>
    <v>66.650000000000006</v>
    <v>66.5</v>
    <v>67.400000000000006</v>
    <v>66.2</v>
    <v>68.05</v>
    <v>67.400000000000006</v>
    <v>66.400000000000006</v>
    <v>65.55</v>
    <v>64.849999999999994</v>
    <v>65.25</v>
    <v>64.349999999999994</v>
    <v>64.150000000000006</v>
    <v>63.4</v>
    <v>63.35</v>
    <v>63.35</v>
    <v>63.35</v>
    <v>64.7</v>
    <v>64.55</v>
    <v>64.650000000000006</v>
    <v>67.5</v>
    <v>67.05</v>
    <v>69</v>
    <v>68.849999999999994</v>
    <v>70.150000000000006</v>
    <v>70.400000000000006</v>
    <v>70</v>
    <v>69.8</v>
    <v>68.650000000000006</v>
    <v>68.400000000000006</v>
    <v>68.5</v>
    <v>68.150000000000006</v>
    <v>67.650000000000006</v>
    <v>66.650000000000006</v>
    <v>65.55</v>
    <v>65.05</v>
    <v>65.5</v>
    <v>64.75</v>
    <v>64.95</v>
    <v>68.25</v>
    <v>67.599999999999994</v>
    <v>67.05</v>
    <v>67.599999999999994</v>
    <v>66.7</v>
    <v>65.3</v>
    <v>65.599999999999994</v>
    <v>64.75</v>
    <v>63.95</v>
    <v>64.099999999999994</v>
    <v>66</v>
    <v>64.95</v>
    <v>66.05</v>
    <v>65.25</v>
    <v>64.75</v>
    <v>64.55</v>
    <v>64.95</v>
    <v>65</v>
    <v>63.7</v>
    <v>63.75</v>
    <v>63.8</v>
    <v>66.150000000000006</v>
    <v>65.150000000000006</v>
    <v>65.650000000000006</v>
    <v>65.45</v>
    <v>73.150000000000006</v>
    <v>70.2</v>
    <v>71.8</v>
    <v>69.849999999999994</v>
    <v>68.8</v>
    <v>67.95</v>
    <v>68.650000000000006</v>
    <v>68</v>
    <v>67.25</v>
    <v>67.05</v>
    <v>67.8</v>
    <v>67.349999999999994</v>
    <v>68.95</v>
    <v>71.5</v>
    <v>71.45</v>
    <v>71.400000000000006</v>
    <v>72.849999999999994</v>
    <v>76.2</v>
    <v>74.849999999999994</v>
    <v>75.3</v>
    <v>79.349999999999994</v>
    <v>78.8</v>
    <v>77.650000000000006</v>
    <v>76.150000000000006</v>
    <v>77.3</v>
    <v>71.7</v>
    <v>73.400000000000006</v>
    <v>74</v>
    <v>72.900000000000006</v>
    <v>74.05</v>
    <v>73.900000000000006</v>
    <v>73.8</v>
    <v>72.3</v>
    <v>71.7</v>
    <v>71.599999999999994</v>
    <v>75.95</v>
    <v>76</v>
    <v>77.150000000000006</v>
    <v>77.5</v>
    <v>75</v>
    <v>74.05</v>
    <v>75.349999999999994</v>
    <v>72.150000000000006</v>
    <v>73.05</v>
    <v>73.150000000000006</v>
    <v>72.900000000000006</v>
    <v>74.55</v>
    <v>75.8</v>
    <v>74.400000000000006</v>
    <v>72.95</v>
    <v>73</v>
    <v>68.849999999999994</v>
    <v>64.849999999999994</v>
    <v>63.65</v>
    <v>63.35</v>
    <v>64.599999999999994</v>
    <v>65.150000000000006</v>
    <v>65.2</v>
    <v>64.45</v>
    <v>64.849999999999994</v>
    <v>66.05</v>
    <v>65.849999999999994</v>
    <v>66.25</v>
    <v>66.099999999999994</v>
    <v>65.55</v>
    <v>65.7</v>
    <v>66.25</v>
    <v>65.900000000000006</v>
    <v>68.349999999999994</v>
    <v>69.599999999999994</v>
    <v>68.8</v>
    <v>68.2</v>
    <v>67.599999999999994</v>
    <v>66.55</v>
    <v>66.95</v>
    <v>66.75</v>
    <v>66.7</v>
    <v>66.900000000000006</v>
    <v>66.650000000000006</v>
    <v>66.75</v>
    <v>67.7</v>
    <v>66.849999999999994</v>
    <v>66.45</v>
    <v>70.349999999999994</v>
    <v>68.3</v>
    <v>68.45</v>
    <v>67.599999999999994</v>
    <v>68.05</v>
    <v>67.75</v>
    <v>74.099999999999994</v>
    <v>78.099999999999994</v>
    <v>81.05</v>
    <v>74.55</v>
    <v>77.3</v>
    <v>82</v>
    <v>85.8</v>
    <v>84.1</v>
    <v>82.75</v>
    <v>84.15</v>
    <v>84.55</v>
    <v>85.2</v>
    <v>88.05</v>
    <v>91.25</v>
    <v>91.95</v>
    <v>91.8</v>
    <v>90.6</v>
    <v>89</v>
    <v>89.2</v>
    <v>87.7</v>
    <v>88.4</v>
    <v>86.1</v>
    <v>84</v>
    <v>84.6</v>
    <v>88.55</v>
    <v>99.7</v>
    <v>93.65</v>
    <v>105.65</v>
    <v>105.75</v>
    <v>103.25</v>
    <v>101.05</v>
    <v>103.1</v>
    <v>103.45</v>
    <v>96.8</v>
    <v>98.25</v>
    <v>103.5</v>
    <v>105.8</v>
    <v>107.05</v>
    <v>102.1</v>
    <v>94.05</v>
    <v>96.7</v>
    <v>99.55</v>
    <v>101.7</v>
    <v>100.4</v>
    <v>107.3</v>
    <v>110.85</v>
    <v>112.2</v>
    <v>115.15</v>
    <v>112.3</v>
    <v>115.1</v>
    <v>112.75</v>
    <v>104.85</v>
    <v>107.3</v>
    <v>108.4</v>
    <v>108.5</v>
    <v>110.55</v>
    <v>108.1</v>
    <v>103.4</v>
    <v>102.55</v>
    <v>95.7</v>
    <v>92.65</v>
    <v>83.7</v>
    <v>90.65</v>
    <v>90.1</v>
    <v>90.1</v>
    <v>87.35</v>
    <v>87.45</v>
    <v>89.1</v>
    <v>92.1</v>
    <v>90.55</v>
    <v>92.95</v>
    <v>91.8</v>
    <v>98.6</v>
    <v>99.05</v>
    <v>98.6</v>
    <v>97.4</v>
    <v>99.05</v>
    <v>97</v>
    <v>97.05</v>
    <v>96.5</v>
    <v>99</v>
    <v>94.65</v>
    <v>94.15</v>
    <v>92.3</v>
    <v>91.8</v>
    <v>95.1</v>
    <v>96.3</v>
    <v>96.35</v>
    <v>97.1</v>
    <v>95.8</v>
    <v>97.95</v>
  </a>
  <a r="1" c="248">
    <v>990.55</v>
    <v>990.1</v>
    <v>989.35</v>
    <v>990.45</v>
    <v>988.55</v>
    <v>981.95</v>
    <v>984.2</v>
    <v>994.1</v>
    <v>993.95</v>
    <v>991.65</v>
    <v>986.35</v>
    <v>978.8</v>
    <v>990.05</v>
    <v>990.1</v>
    <v>990.95</v>
    <v>986.6</v>
    <v>988.75</v>
    <v>987.45</v>
    <v>986.15</v>
    <v>990.05</v>
    <v>983.15</v>
    <v>1038.45</v>
    <v>1068.9000000000001</v>
    <v>1067.9000000000001</v>
    <v>1049.45</v>
    <v>1029.6500000000001</v>
    <v>1033.2</v>
    <v>1038.7</v>
    <v>1029.5</v>
    <v>1044.3499999999999</v>
    <v>1047.8</v>
    <v>1014</v>
    <v>1042.95</v>
    <v>1034.9000000000001</v>
    <v>1037.3</v>
    <v>1042.5</v>
    <v>1040</v>
    <v>1050.45</v>
    <v>1036.2</v>
    <v>1050</v>
    <v>1070.8</v>
    <v>1117.25</v>
    <v>1110.75</v>
    <v>1151.95</v>
    <v>1144.1500000000001</v>
    <v>1196.55</v>
    <v>1190.9000000000001</v>
    <v>1178.5999999999999</v>
    <v>1207.25</v>
    <v>1200.05</v>
    <v>1216</v>
    <v>1192.95</v>
    <v>1208.1500000000001</v>
    <v>1229.75</v>
    <v>1205.1500000000001</v>
    <v>1209.4000000000001</v>
    <v>1198.55</v>
    <v>1186.8499999999999</v>
    <v>1187.0999999999999</v>
    <v>1184.75</v>
    <v>1188.1500000000001</v>
    <v>1225.0999999999999</v>
    <v>1221.05</v>
    <v>1230.6500000000001</v>
    <v>1244.5</v>
    <v>1218.3499999999999</v>
    <v>1216.4000000000001</v>
    <v>1215.5</v>
    <v>1199.6500000000001</v>
    <v>1233.4000000000001</v>
    <v>1223.25</v>
    <v>1199.75</v>
    <v>1193.05</v>
    <v>1179.8</v>
    <v>1162.25</v>
    <v>1158.8</v>
    <v>1145.45</v>
    <v>1150.3499999999999</v>
    <v>1164.25</v>
    <v>1163.8499999999999</v>
    <v>1157.8499999999999</v>
    <v>1139.25</v>
    <v>1123.8</v>
    <v>1129.5999999999999</v>
    <v>1143.7</v>
    <v>1138.45</v>
    <v>1141.45</v>
    <v>1151.6500000000001</v>
    <v>1225.45</v>
    <v>1220.8499999999999</v>
    <v>1203.05</v>
    <v>1282.3</v>
    <v>1390.9</v>
    <v>1333.8</v>
    <v>1319.2</v>
    <v>1323.2</v>
    <v>1344.4</v>
    <v>1330.2</v>
    <v>1306.7</v>
    <v>1291.8499999999999</v>
    <v>1312.9</v>
    <v>1311.9</v>
    <v>1327.7</v>
    <v>1352.15</v>
    <v>1333.1</v>
    <v>1359.8</v>
    <v>1337</v>
    <v>1316.75</v>
    <v>1325.25</v>
    <v>1347.85</v>
    <v>1308.55</v>
    <v>1322.4</v>
    <v>1330.6</v>
    <v>1390.65</v>
    <v>1389.15</v>
    <v>1369.8</v>
    <v>1353.75</v>
    <v>1348.45</v>
    <v>1339.5</v>
    <v>1343.15</v>
    <v>1307.1500000000001</v>
    <v>1323.25</v>
    <v>1292.25</v>
    <v>1327.1</v>
    <v>1374.35</v>
    <v>1456.15</v>
    <v>1501.75</v>
    <v>1521.2</v>
    <v>1560.5</v>
    <v>1603.7</v>
    <v>1581.5</v>
    <v>1608.6</v>
    <v>1692.75</v>
    <v>1777.05</v>
    <v>1834.95</v>
    <v>1843.8</v>
    <v>1811.9</v>
    <v>1784.3</v>
    <v>1779.15</v>
    <v>1749.75</v>
    <v>1724.95</v>
    <v>1719</v>
    <v>1792.1</v>
    <v>1802</v>
    <v>1811.9</v>
    <v>1910.75</v>
    <v>1893.8</v>
    <v>1898.25</v>
    <v>1927.4</v>
    <v>1918.65</v>
    <v>1900.55</v>
    <v>1887</v>
    <v>1862.2</v>
    <v>1891.1</v>
    <v>1875.15</v>
    <v>1954.8</v>
    <v>1947.2</v>
    <v>1890.6</v>
    <v>1895.2</v>
    <v>1911.95</v>
    <v>1806.95</v>
    <v>1837.55</v>
    <v>1836.95</v>
    <v>1851.05</v>
    <v>1855.05</v>
    <v>1833.75</v>
    <v>1824.4</v>
    <v>1818.35</v>
    <v>1819.1</v>
    <v>1843.15</v>
    <v>1885.05</v>
    <v>1888.65</v>
    <v>1873.8</v>
    <v>1874.3</v>
    <v>1861.3</v>
    <v>1845</v>
    <v>1852.9</v>
    <v>1845.75</v>
    <v>1881.3</v>
    <v>1847.5</v>
    <v>1820.65</v>
    <v>1820.75</v>
    <v>1804.6</v>
    <v>1733.35</v>
    <v>1761.5</v>
    <v>1770.2</v>
    <v>1765.4</v>
    <v>1745.05</v>
    <v>1775.05</v>
    <v>1810.95</v>
    <v>1873.8</v>
    <v>1827.55</v>
    <v>1850.35</v>
    <v>1957.95</v>
    <v>2000.3</v>
    <v>1946.95</v>
    <v>1849.85</v>
    <v>1885.5</v>
    <v>1898.7</v>
    <v>1878.4</v>
    <v>1876.15</v>
    <v>1841.5</v>
    <v>1841.3</v>
    <v>1799.6</v>
    <v>1824.65</v>
    <v>1859.55</v>
    <v>1900</v>
    <v>1913.95</v>
    <v>1931.05</v>
    <v>1917.15</v>
    <v>1918.55</v>
    <v>1929.6</v>
    <v>1900.75</v>
    <v>1879.65</v>
    <v>1836.8</v>
    <v>1830.6</v>
    <v>1810.6</v>
    <v>1807.45</v>
    <v>1684.65</v>
    <v>1709.35</v>
    <v>1719.7</v>
    <v>1687.3</v>
    <v>1677.75</v>
    <v>1657.6</v>
    <v>1766.1</v>
    <v>1787.35</v>
    <v>1788.9</v>
    <v>1686.05</v>
    <v>1711.95</v>
    <v>1837.7</v>
    <v>1876.2</v>
    <v>1876.4</v>
    <v>1877.55</v>
    <v>1884.45</v>
    <v>1877.25</v>
    <v>1866.35</v>
    <v>1882.05</v>
    <v>2008.1</v>
    <v>1975.95</v>
    <v>1975.55</v>
    <v>1965.7</v>
    <v>1940.3</v>
    <v>2012.2</v>
    <v>2105.9</v>
    <v>2080.75</v>
    <v>2151</v>
    <v>2119.5</v>
    <v>2109.75</v>
  </a>
  <a r="1" c="248">
    <v>424.45</v>
    <v>427.15</v>
    <v>424.6</v>
    <v>428.75</v>
    <v>431.45</v>
    <v>423.8</v>
    <v>425.35</v>
    <v>420.4</v>
    <v>420.45</v>
    <v>427.8</v>
    <v>423.95</v>
    <v>427.6</v>
    <v>419.7</v>
    <v>419.85</v>
    <v>424.75</v>
    <v>429.15</v>
    <v>433.5</v>
    <v>441.15</v>
    <v>443.6</v>
    <v>449.1</v>
    <v>449.9</v>
    <v>445.5</v>
    <v>439.7</v>
    <v>443.4</v>
    <v>440.65</v>
    <v>442.8</v>
    <v>443.95</v>
    <v>442.9</v>
    <v>438.45</v>
    <v>436.95</v>
    <v>445.4</v>
    <v>444.5</v>
    <v>448.1</v>
    <v>453.1</v>
    <v>453.6</v>
    <v>452.85</v>
    <v>447.05</v>
    <v>447.65</v>
    <v>444.75</v>
    <v>445.7</v>
    <v>445.1</v>
    <v>449.35</v>
    <v>451.6</v>
    <v>463.25</v>
    <v>466.35</v>
    <v>475.1</v>
    <v>473.9</v>
    <v>468.4</v>
    <v>465.85</v>
    <v>473.15</v>
    <v>472.3</v>
    <v>472</v>
    <v>472.9</v>
    <v>472.35</v>
    <v>472.5</v>
    <v>478.85</v>
    <v>492.15</v>
    <v>490.45</v>
    <v>471.35</v>
    <v>462.3</v>
    <v>472.25</v>
    <v>465.05</v>
    <v>468.45</v>
    <v>465.7</v>
    <v>464.8</v>
    <v>460.1</v>
    <v>456.05</v>
    <v>454.95</v>
    <v>454.9</v>
    <v>452.35</v>
    <v>458.65</v>
    <v>451.75</v>
    <v>448.75</v>
    <v>449.2</v>
    <v>450.25</v>
    <v>441</v>
    <v>441.65</v>
    <v>447.8</v>
    <v>454.25</v>
    <v>450.45</v>
    <v>450.9</v>
    <v>443.35</v>
    <v>441.4</v>
    <v>440.1</v>
    <v>442.8</v>
    <v>439.7</v>
    <v>441.05</v>
    <v>437.5</v>
    <v>443.1</v>
    <v>447.45</v>
    <v>445.9</v>
    <v>442.65</v>
    <v>447.2</v>
    <v>451.15</v>
    <v>453.5</v>
    <v>449.95</v>
    <v>448.35</v>
    <v>452.05</v>
    <v>452.95</v>
    <v>447.5</v>
    <v>443.1</v>
    <v>442.6</v>
    <v>442.45</v>
    <v>449.15</v>
    <v>440.75</v>
    <v>444.4</v>
    <v>439.75</v>
    <v>436.1</v>
    <v>436.05</v>
    <v>442.15</v>
    <v>440.45</v>
    <v>444.4</v>
    <v>448.25</v>
    <v>450.7</v>
    <v>448.35</v>
    <v>448.95</v>
    <v>453.45</v>
    <v>451.65</v>
    <v>450.4</v>
    <v>438.3</v>
    <v>435.9</v>
    <v>432.7</v>
    <v>434.35</v>
    <v>433.75</v>
    <v>430.45</v>
    <v>428.4</v>
    <v>428.1</v>
    <v>431.15</v>
    <v>433.25</v>
    <v>435.35</v>
    <v>432.7</v>
    <v>436.95</v>
    <v>434.4</v>
    <v>436.55</v>
    <v>438.45</v>
    <v>436</v>
    <v>441.95</v>
    <v>438.65</v>
    <v>439.25</v>
    <v>436.8</v>
    <v>436.25</v>
    <v>439.7</v>
    <v>440.35</v>
    <v>437.8</v>
    <v>435.25</v>
    <v>437.2</v>
    <v>435.8</v>
    <v>449.8</v>
    <v>454.05</v>
    <v>451.75</v>
    <v>463.25</v>
    <v>458.1</v>
    <v>449.15</v>
    <v>452.45</v>
    <v>453.1</v>
    <v>455.65</v>
    <v>460.1</v>
    <v>458.2</v>
    <v>451.65</v>
    <v>456.1</v>
    <v>451</v>
    <v>451.45</v>
    <v>455.2</v>
    <v>456.45</v>
    <v>457.1</v>
    <v>464.1</v>
    <v>462.1</v>
    <v>468.05</v>
    <v>470.35</v>
    <v>477.25</v>
    <v>476.4</v>
    <v>473.95</v>
    <v>465.5</v>
    <v>464.55</v>
    <v>463.3</v>
    <v>462.65</v>
    <v>466.7</v>
    <v>467.6</v>
    <v>472.3</v>
    <v>466.6</v>
    <v>465.5</v>
    <v>471.5</v>
    <v>468.4</v>
    <v>459.3</v>
    <v>463.6</v>
    <v>455.65</v>
    <v>449.8</v>
    <v>438.05</v>
    <v>441.55</v>
    <v>442.9</v>
    <v>440.1</v>
    <v>438.05</v>
    <v>431.4</v>
    <v>431.8</v>
    <v>414.55</v>
    <v>415.5</v>
    <v>406.85</v>
    <v>406.75</v>
    <v>411.55</v>
    <v>403.9</v>
    <v>404.6</v>
    <v>409.25</v>
    <v>406.1</v>
    <v>403.35</v>
    <v>414.45</v>
    <v>411.4</v>
    <v>409.2</v>
    <v>411.15</v>
    <v>408.3</v>
    <v>406.3</v>
    <v>409.5</v>
    <v>412.05</v>
    <v>409.1</v>
    <v>406.15</v>
    <v>407.85</v>
    <v>413.55</v>
    <v>409.4</v>
    <v>404.45</v>
    <v>422.45</v>
    <v>419.65</v>
    <v>419.1</v>
    <v>417.45</v>
    <v>409.55</v>
    <v>415.7</v>
    <v>421.25</v>
    <v>428.6</v>
    <v>427.65</v>
    <v>428</v>
    <v>428.35</v>
    <v>426.7</v>
    <v>425.85</v>
    <v>425.2</v>
    <v>422.75</v>
    <v>427.55</v>
    <v>429.1</v>
    <v>426.35</v>
    <v>436.95</v>
    <v>430.1</v>
    <v>425.9</v>
    <v>425.9</v>
    <v>418.85</v>
    <v>424.75</v>
    <v>425.3</v>
    <v>429.2</v>
    <v>428.9</v>
    <v>437.55</v>
    <v>440</v>
    <v>438.2</v>
  </a>
  <a r="1" c="248">
    <v>1468.9</v>
    <v>1468.65</v>
    <v>1480.75</v>
    <v>1463.45</v>
    <v>1503.15</v>
    <v>1492.45</v>
    <v>1490.2</v>
    <v>1506.3</v>
    <v>1504.75</v>
    <v>1535.45</v>
    <v>1524.45</v>
    <v>1527.4</v>
    <v>1506.35</v>
    <v>1496.4</v>
    <v>1500.1</v>
    <v>1478.35</v>
    <v>1465.4</v>
    <v>1447.6</v>
    <v>1434.25</v>
    <v>1428.7</v>
    <v>1412.95</v>
    <v>1418.75</v>
    <v>1411.5</v>
    <v>1409.85</v>
    <v>1417.65</v>
    <v>1406.55</v>
    <v>1399.9</v>
    <v>1406.3</v>
    <v>1377.15</v>
    <v>1348.2</v>
    <v>1340.35</v>
    <v>1368.45</v>
    <v>1363.55</v>
    <v>1383.95</v>
    <v>1384.7</v>
    <v>1363.4</v>
    <v>1369.55</v>
    <v>1362.85</v>
    <v>1346.65</v>
    <v>1375.85</v>
    <v>1386.85</v>
    <v>1393.05</v>
    <v>1396</v>
    <v>1402.95</v>
    <v>1387.65</v>
    <v>1378.45</v>
    <v>1374.3</v>
    <v>1359.85</v>
    <v>1353.5</v>
    <v>1323.95</v>
    <v>1309.45</v>
    <v>1298.1500000000001</v>
    <v>1309.75</v>
    <v>1318</v>
    <v>1316.4</v>
    <v>1315.45</v>
    <v>1317</v>
    <v>1316.7</v>
    <v>1310.45</v>
    <v>1297.0999999999999</v>
    <v>1294.9000000000001</v>
    <v>1292.8499999999999</v>
    <v>1286.05</v>
    <v>1300.3</v>
    <v>1300.8</v>
    <v>1306.5</v>
    <v>1297.6500000000001</v>
    <v>1309.55</v>
    <v>1335.7</v>
    <v>1378.65</v>
    <v>1403.7</v>
    <v>1400.2</v>
    <v>1426.55</v>
    <v>1405.9</v>
    <v>1397.15</v>
    <v>1384.4</v>
    <v>1375.2</v>
    <v>1368.65</v>
    <v>1409.95</v>
    <v>1404</v>
    <v>1401.9</v>
    <v>1395.9</v>
    <v>1395.8</v>
    <v>1402.45</v>
    <v>1422.45</v>
    <v>1417.75</v>
    <v>1412.15</v>
    <v>1437.5</v>
    <v>1460</v>
    <v>1466.65</v>
    <v>1471.15</v>
    <v>1458.1</v>
    <v>1483.2</v>
    <v>1432.85</v>
    <v>1449.85</v>
    <v>1462.8</v>
    <v>1456.9</v>
    <v>1446.85</v>
    <v>1438.8</v>
    <v>1421.9</v>
    <v>1405.6</v>
    <v>1412.05</v>
    <v>1420.9</v>
    <v>1426.85</v>
    <v>1412.25</v>
    <v>1409.25</v>
    <v>1407.85</v>
    <v>1413</v>
    <v>1409.45</v>
    <v>1410.2</v>
    <v>1381.05</v>
    <v>1375.1</v>
    <v>1388.9</v>
    <v>1393.85</v>
    <v>1394.95</v>
    <v>1377.6</v>
    <v>1367.8</v>
    <v>1375.9</v>
    <v>1370.65</v>
    <v>1355.65</v>
    <v>1331.35</v>
    <v>1330.7</v>
    <v>1314</v>
    <v>1321.8</v>
    <v>1304.3</v>
    <v>1304.2</v>
    <v>1345.3</v>
    <v>1373.7</v>
    <v>1341.5</v>
    <v>1387.35</v>
    <v>1364.5</v>
    <v>1372.65</v>
    <v>1375.35</v>
    <v>1371</v>
    <v>1380.1</v>
    <v>1386.9</v>
    <v>1372.8</v>
    <v>1360.85</v>
    <v>1364.75</v>
    <v>1341.65</v>
    <v>1339.45</v>
    <v>1348.55</v>
    <v>1349.6</v>
    <v>1344.25</v>
    <v>1343.85</v>
    <v>1344.85</v>
    <v>1363.75</v>
    <v>1444.85</v>
    <v>1431.7</v>
    <v>1409.2</v>
    <v>1429.85</v>
    <v>1429.95</v>
    <v>1415.9</v>
    <v>1401.35</v>
    <v>1458.25</v>
    <v>1505.15</v>
    <v>1510.15</v>
    <v>1479.9</v>
    <v>1526.8</v>
    <v>1515.05</v>
    <v>1448</v>
    <v>1471.4</v>
    <v>1517</v>
    <v>1543.6</v>
    <v>1545.55</v>
    <v>1535.25</v>
    <v>1549.1</v>
    <v>1591.2</v>
    <v>1574.75</v>
    <v>1570.55</v>
    <v>1568</v>
    <v>1571.55</v>
    <v>1528.45</v>
    <v>1501.95</v>
    <v>1497.4</v>
    <v>1529.35</v>
    <v>1522.6</v>
    <v>1506.65</v>
    <v>1504.5</v>
    <v>1474</v>
    <v>1486.9</v>
    <v>1499</v>
    <v>1481.2</v>
    <v>1444.9</v>
    <v>1443.25</v>
    <v>1442</v>
    <v>1425.9</v>
    <v>1404.7</v>
    <v>1493.55</v>
    <v>1478.45</v>
    <v>1461.45</v>
    <v>1400</v>
    <v>1404.65</v>
    <v>1408.25</v>
    <v>1372.1</v>
    <v>1405.7</v>
    <v>1395.25</v>
    <v>1396</v>
    <v>1381.85</v>
    <v>1390.9</v>
    <v>1392.35</v>
    <v>1401.6</v>
    <v>1406.45</v>
    <v>1465.6</v>
    <v>1452</v>
    <v>1468</v>
    <v>1465.5</v>
    <v>1461.05</v>
    <v>1419.7</v>
    <v>1413.4</v>
    <v>1400.5</v>
    <v>1417.55</v>
    <v>1389.85</v>
    <v>1407.25</v>
    <v>1379.2</v>
    <v>1375.25</v>
    <v>1343.8</v>
    <v>1336.55</v>
    <v>1290.1500000000001</v>
    <v>1301.45</v>
    <v>1299.25</v>
    <v>1287.6500000000001</v>
    <v>1304.3499999999999</v>
    <v>1300.8</v>
    <v>1296.8499999999999</v>
    <v>1307.3</v>
    <v>1314.05</v>
    <v>1348.25</v>
    <v>1329.35</v>
    <v>1347.65</v>
    <v>1328.45</v>
    <v>1343.15</v>
    <v>1335.95</v>
    <v>1348.8</v>
    <v>1334.95</v>
    <v>1325.35</v>
    <v>1360.35</v>
    <v>1358.5</v>
    <v>1318.5</v>
    <v>1335.2</v>
    <v>1313.35</v>
    <v>1297.75</v>
    <v>1304.8</v>
    <v>1300.2</v>
    <v>1299.75</v>
    <v>1312.7</v>
    <v>1312.95</v>
    <v>1323.15</v>
  </a>
  <a r="1" c="248">
    <v>3545.9</v>
    <v>3554</v>
    <v>3584.5</v>
    <v>3598.2</v>
    <v>3677.85</v>
    <v>3659.7</v>
    <v>3672.3</v>
    <v>3704.65</v>
    <v>3677.55</v>
    <v>3523.4</v>
    <v>3479.25</v>
    <v>3400.2</v>
    <v>3368.55</v>
    <v>3395.25</v>
    <v>3425.1</v>
    <v>3432.95</v>
    <v>3429.55</v>
    <v>3435.35</v>
    <v>3501.75</v>
    <v>3503.3</v>
    <v>3507.5</v>
    <v>3471.25</v>
    <v>3500.9</v>
    <v>3531.6</v>
    <v>3536.85</v>
    <v>3527.75</v>
    <v>3544.05</v>
    <v>3546.8</v>
    <v>3632.1</v>
    <v>3629.4</v>
    <v>3677.9</v>
    <v>3704.85</v>
    <v>3917.7</v>
    <v>4085.6</v>
    <v>3975.7</v>
    <v>3986.9</v>
    <v>3919.5</v>
    <v>3812.15</v>
    <v>3744.05</v>
    <v>3848.25</v>
    <v>3872.1</v>
    <v>3963.6</v>
    <v>3889.2</v>
    <v>3868.6</v>
    <v>3857.2</v>
    <v>3820.1</v>
    <v>3815.9</v>
    <v>3808.95</v>
    <v>3767.7</v>
    <v>3827.1</v>
    <v>3806.35</v>
    <v>3821.65</v>
    <v>3838.75</v>
    <v>3713.55</v>
    <v>3676.5</v>
    <v>3705.85</v>
    <v>3678.8</v>
    <v>3675.7</v>
    <v>3668.2</v>
    <v>3677.05</v>
    <v>3712.65</v>
    <v>3693.35</v>
    <v>3713.9</v>
    <v>3752.8</v>
    <v>3740.3</v>
    <v>3713.4</v>
    <v>3699.9</v>
    <v>3652.1</v>
    <v>3640.35</v>
    <v>3648.45</v>
    <v>3628.75</v>
    <v>3598.2</v>
    <v>3550.05</v>
    <v>3509.3</v>
    <v>3499.35</v>
    <v>3507.65</v>
    <v>3540.95</v>
    <v>3547.7</v>
    <v>3568.9</v>
    <v>3539.3</v>
    <v>3561.5</v>
    <v>3534.6</v>
    <v>3592.9</v>
    <v>3664.35</v>
    <v>3736.3</v>
    <v>3720.4</v>
    <v>3761.05</v>
    <v>3755.75</v>
    <v>3776.9</v>
    <v>3796.8</v>
    <v>3785.1</v>
    <v>3782.4</v>
    <v>3810.75</v>
    <v>3753.25</v>
    <v>3813.7</v>
    <v>3808.05</v>
    <v>3796</v>
    <v>3797.9</v>
    <v>3729.4</v>
    <v>3686.95</v>
    <v>3689.1</v>
    <v>3664.1</v>
    <v>3633.6</v>
    <v>3640.7</v>
    <v>3671.05</v>
    <v>3675.6</v>
    <v>3725.7</v>
    <v>3872.95</v>
    <v>3861.5</v>
    <v>3833.95</v>
    <v>3798.6</v>
    <v>3793.8</v>
    <v>3852.05</v>
    <v>3862.75</v>
    <v>3935.85</v>
    <v>3856.8</v>
    <v>3842.85</v>
    <v>3795.95</v>
    <v>3766.85</v>
    <v>3749.5</v>
    <v>3668.95</v>
    <v>3740.55</v>
    <v>3684.65</v>
    <v>3665.45</v>
    <v>3646.65</v>
    <v>3633.4</v>
    <v>3639.45</v>
    <v>3647.45</v>
    <v>3649.7</v>
    <v>3649.55</v>
    <v>3653.3</v>
    <v>3712.4</v>
    <v>3747.6</v>
    <v>3798.4</v>
    <v>3802.7</v>
    <v>3798.45</v>
    <v>3791.95</v>
    <v>3790.25</v>
    <v>3810.9</v>
    <v>3792.9</v>
    <v>3814.95</v>
    <v>3838.25</v>
    <v>3844.4</v>
    <v>3842.9</v>
    <v>3912.15</v>
    <v>3861.5</v>
    <v>3949.75</v>
    <v>3988.4</v>
    <v>3967.1</v>
    <v>4039.55</v>
    <v>4137.1499999999996</v>
    <v>4115.45</v>
    <v>4070.65</v>
    <v>4069.75</v>
    <v>4075.4</v>
    <v>4033.05</v>
    <v>4070.05</v>
    <v>4045.65</v>
    <v>4010.15</v>
    <v>4021.35</v>
    <v>3965.9</v>
    <v>3954.5</v>
    <v>4007.95</v>
    <v>4023.45</v>
    <v>4027.45</v>
    <v>4044.65</v>
    <v>4082.65</v>
    <v>4064.75</v>
    <v>4103.3500000000004</v>
    <v>3932.35</v>
    <v>3897.85</v>
    <v>3863.5</v>
    <v>3804.4</v>
    <v>3810.75</v>
    <v>3822</v>
    <v>3821.35</v>
    <v>3841</v>
    <v>3858.25</v>
    <v>3828.3</v>
    <v>3786.45</v>
    <v>3748.85</v>
    <v>3731.7</v>
    <v>3676.5</v>
    <v>3675.9</v>
    <v>3727.75</v>
    <v>3734.25</v>
    <v>3749.4</v>
    <v>3687.3</v>
    <v>3792.7</v>
    <v>3808.2</v>
    <v>3784.3</v>
    <v>3729.6</v>
    <v>3727.4</v>
    <v>3717.7</v>
    <v>3731.05</v>
    <v>3719.2</v>
    <v>3675.6</v>
    <v>3703.2</v>
    <v>3722.4</v>
    <v>3678.6</v>
    <v>3693.3</v>
    <v>3707.25</v>
    <v>3756.2</v>
    <v>3835.75</v>
    <v>3851.45</v>
    <v>3840.55</v>
    <v>3850.35</v>
    <v>3852.2</v>
    <v>3850</v>
    <v>3918.9</v>
    <v>3884.15</v>
    <v>3868.25</v>
    <v>3846.35</v>
    <v>3834.5</v>
    <v>3888.65</v>
    <v>3925.95</v>
    <v>3979.65</v>
    <v>4031.7</v>
    <v>3967.8</v>
    <v>4019.25</v>
    <v>3932.1</v>
    <v>4010.55</v>
    <v>4014.1</v>
    <v>4056.35</v>
    <v>4163.1000000000004</v>
    <v>4297.6000000000004</v>
    <v>4486.2</v>
    <v>4420.55</v>
    <v>4525.6000000000004</v>
    <v>4483.3</v>
    <v>4411.8500000000004</v>
    <v>4460.8999999999996</v>
    <v>4645.05</v>
    <v>4619.25</v>
    <v>4672.8</v>
    <v>4716.1499999999996</v>
    <v>4754</v>
    <v>4765.05</v>
    <v>4686.8</v>
    <v>4644.3</v>
    <v>4627.1000000000004</v>
    <v>4696</v>
    <v>4758</v>
    <v>4800.55</v>
    <v>4797.55</v>
    <v>4657.1000000000004</v>
    <v>4553.1499999999996</v>
    <v>4483.8</v>
  </a>
  <a r="1" c="248">
    <v>112.6</v>
    <v>113.65</v>
    <v>112</v>
    <v>103.4</v>
    <v>103.8</v>
    <v>102.85</v>
    <v>100.75</v>
    <v>100.25</v>
    <v>101.6</v>
    <v>102.4</v>
    <v>101.5</v>
    <v>103.4</v>
    <v>104.55</v>
    <v>103.05</v>
    <v>105.7</v>
    <v>109.75</v>
    <v>106.4</v>
    <v>108.1</v>
    <v>104.3</v>
    <v>105.55</v>
    <v>105.25</v>
    <v>107.25</v>
    <v>108.4</v>
    <v>112.3</v>
    <v>120.95</v>
    <v>136</v>
    <v>137.19999999999999</v>
    <v>130.55000000000001</v>
    <v>139.75</v>
    <v>143.30000000000001</v>
    <v>152.75</v>
    <v>147</v>
    <v>145.69999999999999</v>
    <v>144.15</v>
    <v>152.6</v>
    <v>149.80000000000001</v>
    <v>148.35</v>
    <v>149.75</v>
    <v>146.05000000000001</v>
    <v>152.05000000000001</v>
    <v>157.4</v>
    <v>153.19999999999999</v>
    <v>155</v>
    <v>153.35</v>
    <v>155.25</v>
    <v>156.05000000000001</v>
    <v>153.80000000000001</v>
    <v>167</v>
    <v>159.9</v>
    <v>161.6</v>
    <v>166.75</v>
    <v>163.9</v>
    <v>166.9</v>
    <v>167.75</v>
    <v>167.5</v>
    <v>166.15</v>
    <v>166.05</v>
    <v>168.55</v>
    <v>169.45</v>
    <v>167.5</v>
    <v>166.8</v>
    <v>176.65</v>
    <v>178.1</v>
    <v>191.75</v>
    <v>200.9</v>
    <v>191.65</v>
    <v>195.95</v>
    <v>211.4</v>
    <v>233.2</v>
    <v>224</v>
    <v>228.3</v>
    <v>219.2</v>
    <v>222.45</v>
    <v>232</v>
    <v>245.55</v>
    <v>257.64999999999998</v>
    <v>264.7</v>
    <v>260.05</v>
    <v>279.85000000000002</v>
    <v>286.10000000000002</v>
    <v>288.75</v>
    <v>282.60000000000002</v>
    <v>282.64999999999998</v>
    <v>278.10000000000002</v>
    <v>262.2</v>
    <v>268.14999999999998</v>
    <v>274.3</v>
    <v>281.85000000000002</v>
    <v>279.10000000000002</v>
    <v>271.8</v>
    <v>273.64999999999998</v>
    <v>269.60000000000002</v>
    <v>269.45</v>
    <v>244.35</v>
    <v>262.89999999999998</v>
    <v>261.10000000000002</v>
    <v>265.7</v>
    <v>264.8</v>
    <v>255.5</v>
    <v>247.55</v>
    <v>249.55</v>
    <v>257.35000000000002</v>
    <v>255.8</v>
    <v>253.85</v>
    <v>251</v>
    <v>266.89999999999998</v>
    <v>281.14999999999998</v>
    <v>277.8</v>
    <v>277.7</v>
    <v>290.95</v>
    <v>278.2</v>
    <v>286.7</v>
    <v>303.75</v>
    <v>297.39999999999998</v>
    <v>292.25</v>
    <v>284.10000000000002</v>
    <v>291.64999999999998</v>
    <v>288.45</v>
    <v>295.60000000000002</v>
    <v>288.64999999999998</v>
    <v>265.7</v>
    <v>273.05</v>
    <v>271.45</v>
    <v>277.05</v>
    <v>290.64999999999998</v>
    <v>295.25</v>
    <v>290.14999999999998</v>
    <v>292.75</v>
    <v>287.3</v>
    <v>308.2</v>
    <v>309.5</v>
    <v>303.85000000000002</v>
    <v>303.3</v>
    <v>319.25</v>
    <v>322.14999999999998</v>
    <v>324.85000000000002</v>
    <v>321.95</v>
    <v>317.7</v>
    <v>331.75</v>
    <v>342.4</v>
    <v>344.9</v>
    <v>343.05</v>
    <v>338</v>
    <v>343.35</v>
    <v>345.65</v>
    <v>339.9</v>
    <v>359.85</v>
    <v>383.8</v>
    <v>402.3</v>
    <v>391.95</v>
    <v>390.45</v>
    <v>394.4</v>
    <v>409.5</v>
    <v>410.25</v>
    <v>427.6</v>
    <v>457.55</v>
    <v>454.85</v>
    <v>467.45</v>
    <v>454.5</v>
    <v>440.3</v>
    <v>410</v>
    <v>438.9</v>
    <v>443.3</v>
    <v>445.8</v>
    <v>452.8</v>
    <v>445.55</v>
    <v>436.4</v>
    <v>435.75</v>
    <v>452.45</v>
    <v>458.8</v>
    <v>455.65</v>
    <v>453.85</v>
    <v>445.85</v>
    <v>443.5</v>
    <v>451.35</v>
    <v>457.95</v>
    <v>461.1</v>
    <v>464.3</v>
    <v>459.85</v>
    <v>461.65</v>
    <v>478.6</v>
    <v>488.35</v>
    <v>483</v>
    <v>454.7</v>
    <v>480.7</v>
    <v>488.95</v>
    <v>494.95</v>
    <v>504.05</v>
    <v>537.25</v>
    <v>530.04999999999995</v>
    <v>530.75</v>
    <v>518.95000000000005</v>
    <v>536</v>
    <v>550.9</v>
    <v>591.79999999999995</v>
    <v>593.70000000000005</v>
    <v>535.6</v>
    <v>524.04999999999995</v>
    <v>551.5</v>
    <v>558.15</v>
    <v>538.35</v>
    <v>528.35</v>
    <v>529.45000000000005</v>
    <v>513.29999999999995</v>
    <v>515.1</v>
    <v>513.25</v>
    <v>506.2</v>
    <v>513.6</v>
    <v>504.1</v>
    <v>520.9</v>
    <v>525.79999999999995</v>
    <v>517.6</v>
    <v>510.5</v>
    <v>508.3</v>
    <v>488.85</v>
    <v>466.65</v>
    <v>448.9</v>
    <v>441.6</v>
    <v>401.4</v>
    <v>438.75</v>
    <v>472.55</v>
    <v>462.05</v>
    <v>448.45</v>
    <v>444.45</v>
    <v>454.85</v>
    <v>465</v>
    <v>453.3</v>
    <v>461.4</v>
    <v>454</v>
    <v>458.65</v>
    <v>460.15</v>
    <v>490.45</v>
    <v>496.7</v>
    <v>490.45</v>
    <v>502.25</v>
    <v>492.85</v>
    <v>483.2</v>
    <v>468.95</v>
    <v>449.55</v>
    <v>458.7</v>
    <v>455.15</v>
    <v>450.8</v>
    <v>455.4</v>
    <v>468.4</v>
    <v>467.1</v>
    <v>492.7</v>
    <v>518.95000000000005</v>
    <v>510.55</v>
  </a>
  <a r="1" c="248">
    <v>2451.6999999999998</v>
    <v>2486</v>
    <v>2506.75</v>
    <v>2500.75</v>
    <v>2516.3000000000002</v>
    <v>2515.8000000000002</v>
    <v>2522.6999999999998</v>
    <v>2592.4</v>
    <v>2623.4</v>
    <v>2662.25</v>
    <v>2675.9</v>
    <v>2661.75</v>
    <v>2627.55</v>
    <v>2641.45</v>
    <v>2638.1</v>
    <v>2628.3</v>
    <v>2614.9499999999998</v>
    <v>2597.25</v>
    <v>2652.35</v>
    <v>2650.3</v>
    <v>2656.55</v>
    <v>2667.55</v>
    <v>2697.9</v>
    <v>2716.7</v>
    <v>2695.8</v>
    <v>2691.15</v>
    <v>2716.2</v>
    <v>2679.9</v>
    <v>2636.2</v>
    <v>2643.45</v>
    <v>2675.9</v>
    <v>2698.75</v>
    <v>2689.7</v>
    <v>2715.65</v>
    <v>2683.25</v>
    <v>2676.1</v>
    <v>2676.6</v>
    <v>2654.35</v>
    <v>2641.6</v>
    <v>2652.1</v>
    <v>2651.35</v>
    <v>2661.25</v>
    <v>2678.15</v>
    <v>2701.05</v>
    <v>2700</v>
    <v>2755.85</v>
    <v>2757.1</v>
    <v>2698.1</v>
    <v>2656.55</v>
    <v>2684.5</v>
    <v>2673.65</v>
    <v>2654.7</v>
    <v>2676.9</v>
    <v>2681.7</v>
    <v>2682.8</v>
    <v>2671.6</v>
    <v>2703.25</v>
    <v>2604</v>
    <v>2580.25</v>
    <v>2568.15</v>
    <v>2583.3000000000002</v>
    <v>2569.85</v>
    <v>2584.6</v>
    <v>2560.8000000000002</v>
    <v>2551.1</v>
    <v>2568.9499999999998</v>
    <v>2551.3000000000002</v>
    <v>2546</v>
    <v>2569.1999999999998</v>
    <v>2565.85</v>
    <v>2552.1999999999998</v>
    <v>2536.6999999999998</v>
    <v>2501.8000000000002</v>
    <v>2533.1</v>
    <v>2552.6</v>
    <v>2543.25</v>
    <v>2554.75</v>
    <v>2562.75</v>
    <v>2565.8000000000002</v>
    <v>2574.0500000000002</v>
    <v>2581.25</v>
    <v>2563.5500000000002</v>
    <v>2555.6999999999998</v>
    <v>2526.15</v>
    <v>2531.9499999999998</v>
    <v>2505.0500000000002</v>
    <v>2504.8000000000002</v>
    <v>2501.4</v>
    <v>2507.0500000000002</v>
    <v>2523.5</v>
    <v>2507.4499999999998</v>
    <v>2513.8000000000002</v>
    <v>2536.25</v>
    <v>2498.85</v>
    <v>2506.5500000000002</v>
    <v>2500.8000000000002</v>
    <v>2469.6999999999998</v>
    <v>2488.65</v>
    <v>2466.85</v>
    <v>2473.35</v>
    <v>2482.4499999999998</v>
    <v>2475.85</v>
    <v>2478.9499999999998</v>
    <v>2501.75</v>
    <v>2460.35</v>
    <v>2465.6</v>
    <v>2468.9</v>
    <v>2507.85</v>
    <v>2519.5500000000002</v>
    <v>2499.4</v>
    <v>2511.3000000000002</v>
    <v>2516.1999999999998</v>
    <v>2556.4</v>
    <v>2557</v>
    <v>2569.4499999999998</v>
    <v>2558.3000000000002</v>
    <v>2556.15</v>
    <v>2548.25</v>
    <v>2548.1</v>
    <v>2495.15</v>
    <v>2483.5</v>
    <v>2477.3000000000002</v>
    <v>2476.4</v>
    <v>2482.0500000000002</v>
    <v>2478.9</v>
    <v>2484</v>
    <v>2472.25</v>
    <v>2486.8000000000002</v>
    <v>2509.25</v>
    <v>2497.4</v>
    <v>2496.4499999999998</v>
    <v>2519.35</v>
    <v>2476.6999999999998</v>
    <v>2486.5500000000002</v>
    <v>2491.5500000000002</v>
    <v>2478.15</v>
    <v>2486.4</v>
    <v>2491.1999999999998</v>
    <v>2528.8000000000002</v>
    <v>2506.4499999999998</v>
    <v>2505.25</v>
    <v>2521.9</v>
    <v>2519.9</v>
    <v>2515.1999999999998</v>
    <v>2510.5500000000002</v>
    <v>2525.0500000000002</v>
    <v>2545.5500000000002</v>
    <v>2563.65</v>
    <v>2602.3000000000002</v>
    <v>2563.25</v>
    <v>2567.65</v>
    <v>2518.25</v>
    <v>2522.3000000000002</v>
    <v>2503.65</v>
    <v>2502.75</v>
    <v>2511.9</v>
    <v>2516.35</v>
    <v>2522.9</v>
    <v>2535.5</v>
    <v>2560.6999999999998</v>
    <v>2557.5</v>
    <v>2553.1999999999998</v>
    <v>2575.6</v>
    <v>2584.75</v>
    <v>2608.3000000000002</v>
    <v>2633.8</v>
    <v>2663.95</v>
    <v>2654.75</v>
    <v>2613.8000000000002</v>
    <v>2606.5500000000002</v>
    <v>2592.5500000000002</v>
    <v>2620.0500000000002</v>
    <v>2578.25</v>
    <v>2579.75</v>
    <v>2577.4</v>
    <v>2536.1999999999998</v>
    <v>2544</v>
    <v>2573.1999999999998</v>
    <v>2569.1</v>
    <v>2562.9</v>
    <v>2548</v>
    <v>2565.4</v>
    <v>2468.9</v>
    <v>2375.5500000000002</v>
    <v>2441.65</v>
    <v>2428.3000000000002</v>
    <v>2444.4</v>
    <v>2458.65</v>
    <v>2481.5500000000002</v>
    <v>2473.6</v>
    <v>2452.6</v>
    <v>2419.5</v>
    <v>2426.35</v>
    <v>2425.4499999999998</v>
    <v>2417.0500000000002</v>
    <v>2424.15</v>
    <v>2385.65</v>
    <v>2394</v>
    <v>2387.9499999999998</v>
    <v>2350.85</v>
    <v>2375.25</v>
    <v>2387.15</v>
    <v>2404.1</v>
    <v>2407.1</v>
    <v>2388.1</v>
    <v>2394.1</v>
    <v>2404.25</v>
    <v>2405.3000000000002</v>
    <v>2421.5500000000002</v>
    <v>2412.3000000000002</v>
    <v>2409.6999999999998</v>
    <v>2416.1999999999998</v>
    <v>2422</v>
    <v>2399.85</v>
    <v>2400.8000000000002</v>
    <v>2419.5500000000002</v>
    <v>2389.85</v>
    <v>2378.15</v>
    <v>2312.6</v>
    <v>2334.6</v>
    <v>2327.6999999999998</v>
    <v>2299.9499999999998</v>
    <v>2266.9499999999998</v>
    <v>2241.9499999999998</v>
    <v>2242.35</v>
    <v>2256.5500000000002</v>
    <v>2240</v>
    <v>2239.6999999999998</v>
    <v>2264.35</v>
    <v>2285.9</v>
    <v>2286.6999999999998</v>
    <v>2265.1999999999998</v>
    <v>2264.9499999999998</v>
    <v>2266.9499999999998</v>
    <v>2268.9499999999998</v>
    <v>2264.15</v>
    <v>2260.9</v>
    <v>2232.3000000000002</v>
    <v>2194.0500000000002</v>
    <v>2220.8000000000002</v>
    <v>2214.8000000000002</v>
    <v>2231.6</v>
    <v>2241.5</v>
    <v>2262.75</v>
    <v>2260.25</v>
    <v>2230.85</v>
    <v>2222.65</v>
    <v>2226.1</v>
  </a>
  <a r="1" c="171">
    <v t="i">113</v>
    <v t="i">114</v>
    <v t="i">115</v>
    <v t="i">116</v>
    <v t="i">117</v>
    <v t="i">120</v>
    <v t="i">121</v>
    <v t="i">122</v>
    <v t="i">123</v>
    <v t="i">124</v>
    <v t="i">127</v>
    <v t="i">128</v>
    <v t="i">129</v>
    <v t="i">130</v>
    <v t="i">131</v>
    <v t="i">134</v>
    <v t="i">135</v>
    <v t="i">136</v>
    <v t="i">137</v>
    <v t="i">138</v>
    <v t="i">141</v>
    <v t="i">143</v>
    <v t="i">144</v>
    <v t="i">145</v>
    <v t="i">148</v>
    <v t="i">149</v>
    <v t="i">150</v>
    <v t="i">151</v>
    <v t="i">152</v>
    <v t="i">156</v>
    <v t="i">157</v>
    <v t="i">158</v>
    <v t="i">159</v>
    <v t="i">162</v>
    <v t="i">163</v>
    <v t="i">164</v>
    <v t="i">165</v>
    <v t="i">166</v>
    <v t="i">169</v>
    <v t="i">170</v>
    <v t="i">171</v>
    <v t="i">172</v>
    <v t="i">173</v>
    <v t="i">176</v>
    <v t="i">178</v>
    <v t="i">179</v>
    <v t="i">180</v>
    <v t="i">183</v>
    <v t="i">184</v>
    <v t="i">185</v>
    <v t="i">186</v>
    <v t="i">187</v>
    <v t="i">190</v>
    <v t="i">191</v>
    <v t="i">192</v>
    <v t="i">193</v>
    <v t="i">194</v>
    <v t="i">196</v>
    <v t="i">197</v>
    <v t="i">199</v>
    <v t="i">200</v>
    <v t="i">201</v>
    <v t="i">204</v>
    <v t="i">205</v>
    <v t="i">206</v>
    <v t="i">207</v>
    <v t="i">208</v>
    <v t="i">212</v>
    <v t="i">213</v>
    <v t="i">214</v>
    <v t="i">215</v>
    <v t="i">218</v>
    <v t="i">219</v>
    <v t="i">220</v>
    <v t="i">221</v>
    <v t="i">222</v>
    <v t="i">225</v>
    <v t="i">226</v>
    <v t="i">227</v>
    <v t="i">228</v>
    <v t="i">229</v>
    <v t="i">232</v>
    <v t="i">233</v>
    <v t="i">234</v>
    <v t="i">235</v>
    <v t="i">236</v>
    <v t="i">240</v>
    <v t="i">241</v>
    <v t="i">242</v>
    <v t="i">243</v>
    <v t="i">246</v>
    <v t="i">247</v>
    <v t="i">248</v>
    <v t="i">249</v>
    <v t="i">250</v>
    <v t="i">253</v>
    <v t="i">254</v>
    <v t="i">255</v>
    <v t="i">256</v>
    <v t="i">257</v>
    <v t="i">260</v>
    <v t="i">261</v>
    <v t="i">262</v>
    <v t="i">263</v>
    <v t="i">264</v>
    <v t="i">265</v>
    <v t="i">268</v>
    <v t="i">269</v>
    <v t="i">270</v>
    <v t="i">274</v>
    <v t="i">275</v>
    <v t="i">276</v>
    <v t="i">277</v>
    <v t="i">278</v>
    <v t="i">281</v>
    <v t="i">282</v>
    <v t="i">283</v>
    <v t="i">284</v>
    <v t="i">285</v>
    <v t="i">288</v>
    <v t="i">289</v>
    <v t="i">290</v>
    <v t="i">291</v>
    <v t="i">292</v>
    <v t="i">295</v>
    <v t="i">296</v>
    <v t="i">297</v>
    <v t="i">298</v>
    <v t="i">299</v>
    <v t="i">302</v>
    <v t="i">303</v>
    <v t="i">304</v>
    <v t="i">305</v>
    <v t="i">306</v>
    <v t="i">307</v>
    <v t="i">309</v>
    <v t="i">310</v>
    <v t="i">311</v>
    <v t="i">312</v>
    <v t="i">316</v>
    <v t="i">317</v>
    <v t="i">318</v>
    <v t="i">319</v>
    <v t="i">320</v>
    <v t="i">323</v>
    <v t="i">324</v>
    <v t="i">325</v>
    <v t="i">326</v>
    <v t="i">327</v>
    <v t="i">331</v>
    <v t="i">332</v>
    <v t="i">333</v>
    <v t="i">337</v>
    <v t="i">338</v>
    <v t="i">339</v>
    <v t="i">340</v>
    <v t="i">341</v>
    <v t="i">344</v>
    <v t="i">345</v>
    <v t="i">346</v>
    <v t="i">348</v>
    <v t="i">351</v>
    <v t="i">352</v>
    <v t="i">354</v>
    <v t="i">355</v>
    <v t="i">358</v>
    <v t="i">359</v>
    <v t="i">360</v>
    <v t="i">361</v>
    <v t="i">362</v>
    <v t="i">365</v>
  </a>
  <a r="1" c="171">
    <v>248.9</v>
    <v>236.45</v>
    <v>224.65</v>
    <v>213.45</v>
    <v>214.5</v>
    <v>211.15</v>
    <v>220.25</v>
    <v>231.25</v>
    <v>233.5</v>
    <v>245.15</v>
    <v>253.45</v>
    <v>255.05</v>
    <v>252.85</v>
    <v>251.8</v>
    <v>253.2</v>
    <v>250.15</v>
    <v>244.25</v>
    <v>240.2</v>
    <v>242.55</v>
    <v>239.4</v>
    <v>233.2</v>
    <v>229.65</v>
    <v>227.65</v>
    <v>227.8</v>
    <v>229.75</v>
    <v>230.4</v>
    <v>227.35</v>
    <v>225.05</v>
    <v>231.2</v>
    <v>231.4</v>
    <v>224.65</v>
    <v>225.4</v>
    <v>225.1</v>
    <v>219.65</v>
    <v>220.15</v>
    <v>225.1</v>
    <v>225.15</v>
    <v>224.55</v>
    <v>224.8</v>
    <v>220.95</v>
    <v>216</v>
    <v>214.2</v>
    <v>214.2</v>
    <v>206.6</v>
    <v>210.15</v>
    <v>215.85</v>
    <v>222.9</v>
    <v>219</v>
    <v>219</v>
    <v>217.65</v>
    <v>217.35</v>
    <v>219.05</v>
    <v>217.15</v>
    <v>217.2</v>
    <v>214.15</v>
    <v>215.15</v>
    <v>221.95</v>
    <v>225.55</v>
    <v>224.75</v>
    <v>224.15</v>
    <v>226.95</v>
    <v>220.8</v>
    <v>215.5</v>
    <v>220.2</v>
    <v>221.9</v>
    <v>221.25</v>
    <v>226.5</v>
    <v>226.35</v>
    <v>226.05</v>
    <v>229.4</v>
    <v>225.5</v>
    <v>230.1</v>
    <v>242.5</v>
    <v>247.05</v>
    <v>249.15</v>
    <v>244.25</v>
    <v>245.6</v>
    <v>240.55</v>
    <v>239.75</v>
    <v>238.6</v>
    <v>237.65</v>
    <v>240.15</v>
    <v>238.3</v>
    <v>232.1</v>
    <v>238</v>
    <v>236.75</v>
    <v>234.7</v>
    <v>234</v>
    <v>233.35</v>
    <v>232.95</v>
    <v>234.55</v>
    <v>235.35</v>
    <v>234.5</v>
    <v>241.4</v>
    <v>243.65</v>
    <v>242.4</v>
    <v>242.15</v>
    <v>240.95</v>
    <v>251.55</v>
    <v>255.05</v>
    <v>266.75</v>
    <v>248.85</v>
    <v>242.55</v>
    <v>243.25</v>
    <v>246.25</v>
    <v>246.45</v>
    <v>240.4</v>
    <v>239.75</v>
    <v>239.85</v>
    <v>251</v>
    <v>247.7</v>
    <v>248.25</v>
    <v>252.4</v>
    <v>253.8</v>
    <v>289.10000000000002</v>
    <v>270.95</v>
    <v>268.5</v>
    <v>262.8</v>
    <v>273</v>
    <v>271.45</v>
    <v>272.75</v>
    <v>273</v>
    <v>274.05</v>
    <v>271.89999999999998</v>
    <v>274</v>
    <v>281.7</v>
    <v>290.10000000000002</v>
    <v>302.85000000000002</v>
    <v>333.95</v>
    <v>327.8</v>
    <v>318.5</v>
    <v>308.3</v>
    <v>310</v>
    <v>317.89999999999998</v>
    <v>328.25</v>
    <v>322.60000000000002</v>
    <v>321.7</v>
    <v>326.35000000000002</v>
    <v>333.9</v>
    <v>355.65</v>
    <v>361.85</v>
    <v>328.2</v>
    <v>338.35</v>
    <v>344.75</v>
    <v>352.55</v>
    <v>353.3</v>
    <v>337.5</v>
    <v>338.7</v>
    <v>344.65</v>
    <v>346.15</v>
    <v>350.7</v>
    <v>353.75</v>
    <v>356.95</v>
    <v>357.1</v>
    <v>357.1</v>
    <v>361.3</v>
    <v>373.2</v>
    <v>369.25</v>
    <v>367.7</v>
    <v>370.45</v>
    <v>372.2</v>
    <v>354.3</v>
    <v>361.85</v>
    <v>378.4</v>
    <v>370.1</v>
    <v>382.7</v>
    <v>387.95</v>
    <v>381.85</v>
    <v>382.3</v>
    <v>381.75</v>
    <v>380.5</v>
  </a>
  <a r="1" c="248">
    <v>12.35</v>
    <v>12.5</v>
    <v>12.45</v>
    <v>12.4</v>
    <v>12.65</v>
    <v>12.15</v>
    <v>12.25</v>
    <v>12.35</v>
    <v>12.25</v>
    <v>12.1</v>
    <v>12.25</v>
    <v>12.1</v>
    <v>12.1</v>
    <v>12</v>
    <v>12.1</v>
    <v>12.45</v>
    <v>12.4</v>
    <v>12.7</v>
    <v>12.9</v>
    <v>12.7</v>
    <v>12.8</v>
    <v>12.7</v>
    <v>12.55</v>
    <v>12.4</v>
    <v>12.6</v>
    <v>13.2</v>
    <v>12.95</v>
    <v>12.65</v>
    <v>12.55</v>
    <v>12.65</v>
    <v>13</v>
    <v>14.2</v>
    <v>14.65</v>
    <v>14.2</v>
    <v>14.95</v>
    <v>14.95</v>
    <v>14.6</v>
    <v>13.85</v>
    <v>13</v>
    <v>12.95</v>
    <v>14.4</v>
    <v>14.65</v>
    <v>14.6</v>
    <v>14</v>
    <v>14.35</v>
    <v>14.05</v>
    <v>14.15</v>
    <v>14.1</v>
    <v>14.05</v>
    <v>14.1</v>
    <v>14</v>
    <v>14</v>
    <v>13.9</v>
    <v>13.8</v>
    <v>13.9</v>
    <v>13.95</v>
    <v>13.8</v>
    <v>13.6</v>
    <v>13.45</v>
    <v>13.45</v>
    <v>13.4</v>
    <v>13.45</v>
    <v>13.5</v>
    <v>13.6</v>
    <v>13.7</v>
    <v>13.8</v>
    <v>13.7</v>
    <v>13.6</v>
    <v>13.75</v>
    <v>13.65</v>
    <v>13.7</v>
    <v>13.7</v>
    <v>13.65</v>
    <v>13.3</v>
    <v>11.65</v>
    <v>12.1</v>
    <v>13.85</v>
    <v>13.55</v>
    <v>13.25</v>
    <v>13.25</v>
    <v>13.25</v>
    <v>12.9</v>
    <v>12.85</v>
    <v>12.9</v>
    <v>13.2</v>
    <v>13</v>
    <v>13.05</v>
    <v>13</v>
    <v>13</v>
    <v>13.05</v>
    <v>13.45</v>
    <v>13.4</v>
    <v>13.3</v>
    <v>13.05</v>
    <v>13.05</v>
    <v>13.15</v>
    <v>13.1</v>
    <v>13.35</v>
    <v>13.35</v>
    <v>13.2</v>
    <v>13.15</v>
    <v>13.05</v>
    <v>12.95</v>
    <v>12.95</v>
    <v>13</v>
    <v>13</v>
    <v>13.05</v>
    <v>12.95</v>
    <v>13.25</v>
    <v>13.4</v>
    <v>13</v>
    <v>13</v>
    <v>12.9</v>
    <v>14.05</v>
    <v>14.05</v>
    <v>13.95</v>
    <v>14.2</v>
    <v>14.5</v>
    <v>14.6</v>
    <v>14.35</v>
    <v>13.45</v>
    <v>13.05</v>
    <v>13.8</v>
    <v>13.9</v>
    <v>13.65</v>
    <v>13.85</v>
    <v>13.65</v>
    <v>13.5</v>
    <v>15.2</v>
    <v>15.6</v>
    <v>15.75</v>
    <v>16.7</v>
    <v>16.75</v>
    <v>16.05</v>
    <v>16.350000000000001</v>
    <v>16.3</v>
    <v>16.600000000000001</v>
    <v>16.95</v>
    <v>16.649999999999999</v>
    <v>16.3</v>
    <v>16.149999999999999</v>
    <v>15.65</v>
    <v>16.100000000000001</v>
    <v>16.45</v>
    <v>16.5</v>
    <v>16.2</v>
    <v>16.05</v>
    <v>15.35</v>
    <v>15.6</v>
    <v>15.7</v>
    <v>15.35</v>
    <v>15.4</v>
    <v>15.5</v>
    <v>15.45</v>
    <v>17.100000000000001</v>
    <v>18.649999999999999</v>
    <v>17.95</v>
    <v>17.45</v>
    <v>18.8</v>
    <v>18.649999999999999</v>
    <v>17.05</v>
    <v>17.850000000000001</v>
    <v>17.8</v>
    <v>18.5</v>
    <v>18.149999999999999</v>
    <v>17.850000000000001</v>
    <v>18</v>
    <v>19</v>
    <v>19.2</v>
    <v>18.95</v>
    <v>18.8</v>
    <v>19.149999999999999</v>
    <v>19.75</v>
    <v>19.55</v>
    <v>20.05</v>
    <v>20.100000000000001</v>
    <v>19.649999999999999</v>
    <v>19.100000000000001</v>
    <v>18.45</v>
    <v>18.100000000000001</v>
    <v>18.8</v>
    <v>19</v>
    <v>18.7</v>
    <v>18.100000000000001</v>
    <v>18.3</v>
    <v>19.149999999999999</v>
    <v>19.25</v>
    <v>18.850000000000001</v>
    <v>21.5</v>
    <v>21</v>
    <v>22.7</v>
    <v>21.95</v>
    <v>24.4</v>
    <v>26.2</v>
    <v>24.45</v>
    <v>23.4</v>
    <v>23.4</v>
    <v>22.05</v>
    <v>23.25</v>
    <v>23.6</v>
    <v>23.7</v>
    <v>24.3</v>
    <v>23.9</v>
    <v>22.9</v>
    <v>22.8</v>
    <v>22.85</v>
    <v>22.7</v>
    <v>22.1</v>
    <v>21.3</v>
    <v>21.85</v>
    <v>21.75</v>
    <v>22</v>
    <v>21.45</v>
    <v>20.8</v>
    <v>19.95</v>
    <v>20.2</v>
    <v>18.850000000000001</v>
    <v>17.899999999999999</v>
    <v>16.399999999999999</v>
    <v>17.7</v>
    <v>18</v>
    <v>18.95</v>
    <v>19.3</v>
    <v>18.5</v>
    <v>19.05</v>
    <v>19.149999999999999</v>
    <v>18.5</v>
    <v>18.5</v>
    <v>18.7</v>
    <v>19.399999999999999</v>
    <v>19.45</v>
    <v>20.3</v>
    <v>20.5</v>
    <v>20.95</v>
    <v>20</v>
    <v>19.8</v>
    <v>19.399999999999999</v>
    <v>19.399999999999999</v>
    <v>18.600000000000001</v>
    <v>18.850000000000001</v>
    <v>19</v>
    <v>18.850000000000001</v>
    <v>18.850000000000001</v>
    <v>19.7</v>
    <v>19.350000000000001</v>
    <v>20.45</v>
    <v>21.3</v>
    <v>21.15</v>
  </a>
  <a r="1" c="248">
    <v>972</v>
    <v>993.1</v>
    <v>982.25</v>
    <v>959.5</v>
    <v>969.95</v>
    <v>965.85</v>
    <v>974.5</v>
    <v>988.6</v>
    <v>985.2</v>
    <v>990.1</v>
    <v>976.8</v>
    <v>982.1</v>
    <v>984.65</v>
    <v>984.15</v>
    <v>987.2</v>
    <v>981.9</v>
    <v>987.1</v>
    <v>956.7</v>
    <v>970.25</v>
    <v>971.85</v>
    <v>969.1</v>
    <v>970.6</v>
    <v>968.95</v>
    <v>969.8</v>
    <v>995.55</v>
    <v>993.75</v>
    <v>994.75</v>
    <v>1003.25</v>
    <v>985.95</v>
    <v>987.75</v>
    <v>1000.05</v>
    <v>977.95</v>
    <v>958.5</v>
    <v>970.95</v>
    <v>978.45</v>
    <v>983.5</v>
    <v>997.2</v>
    <v>1004.55</v>
    <v>980.05</v>
    <v>993.95</v>
    <v>1006.25</v>
    <v>996.25</v>
    <v>1001.4</v>
    <v>1008.05</v>
    <v>1006.85</v>
    <v>1007.35</v>
    <v>1012.8</v>
    <v>1002.2</v>
    <v>996.3</v>
    <v>992.25</v>
    <v>983.45</v>
    <v>977</v>
    <v>983.5</v>
    <v>993.65</v>
    <v>997.85</v>
    <v>997.75</v>
    <v>994.45</v>
    <v>987.65</v>
    <v>990.5</v>
    <v>977.1</v>
    <v>998.2</v>
    <v>993.65</v>
    <v>1051.05</v>
    <v>1059.3499999999999</v>
    <v>1072.9000000000001</v>
    <v>1041.4000000000001</v>
    <v>1039.5</v>
    <v>1047.45</v>
    <v>1039.2</v>
    <v>1010.35</v>
    <v>1010.2</v>
    <v>1008.05</v>
    <v>1005.7</v>
    <v>1001.65</v>
    <v>990.7</v>
    <v>991.4</v>
    <v>998.5</v>
    <v>1001.05</v>
    <v>1004</v>
    <v>1004.65</v>
    <v>1015.65</v>
    <v>1011.25</v>
    <v>1035.75</v>
    <v>1066.9000000000001</v>
    <v>1059.7</v>
    <v>1061.45</v>
    <v>1071.1500000000001</v>
    <v>1089.75</v>
    <v>1103.75</v>
    <v>1090.0999999999999</v>
    <v>1086.1500000000001</v>
    <v>1085.3</v>
    <v>1085.9000000000001</v>
    <v>1046.0999999999999</v>
    <v>1052.9000000000001</v>
    <v>1074.55</v>
    <v>1070.45</v>
    <v>1057.9000000000001</v>
    <v>1047.8</v>
    <v>1034.8</v>
    <v>1035.8</v>
    <v>1045.3</v>
    <v>1036.95</v>
    <v>1043.5</v>
    <v>1016.15</v>
    <v>1031.2</v>
    <v>1025.0999999999999</v>
    <v>1011.25</v>
    <v>1009.3</v>
    <v>1012.75</v>
    <v>1004.35</v>
    <v>1016.8</v>
    <v>1036.0999999999999</v>
    <v>1038.8499999999999</v>
    <v>1035.0999999999999</v>
    <v>1040.8499999999999</v>
    <v>1045.3</v>
    <v>1044.25</v>
    <v>1031.25</v>
    <v>1011.7</v>
    <v>978.5</v>
    <v>963.6</v>
    <v>940.7</v>
    <v>955.75</v>
    <v>950.5</v>
    <v>959.2</v>
    <v>950.35</v>
    <v>959.05</v>
    <v>958.6</v>
    <v>973.35</v>
    <v>963.7</v>
    <v>958.45</v>
    <v>959.1</v>
    <v>963.95</v>
    <v>965</v>
    <v>946.65</v>
    <v>949.55</v>
    <v>954.2</v>
    <v>963.4</v>
    <v>955.7</v>
    <v>961.3</v>
    <v>960.45</v>
    <v>965.65</v>
    <v>960.6</v>
    <v>968.55</v>
    <v>972.55</v>
    <v>970.45</v>
    <v>969.95</v>
    <v>973.05</v>
    <v>983.2</v>
    <v>1011.9</v>
    <v>1018.25</v>
    <v>996.85</v>
    <v>1018.05</v>
    <v>1005.75</v>
    <v>1006.75</v>
    <v>1008.4</v>
    <v>1030</v>
    <v>1034.2</v>
    <v>1033.25</v>
    <v>988.6</v>
    <v>1009.65</v>
    <v>1022.05</v>
    <v>1094.25</v>
    <v>1089.8499999999999</v>
    <v>1086.5999999999999</v>
    <v>1104.0999999999999</v>
    <v>1117.8499999999999</v>
    <v>1122.3499999999999</v>
    <v>1112.6500000000001</v>
    <v>1131.55</v>
    <v>1104.7</v>
    <v>1099.05</v>
    <v>1104.1500000000001</v>
    <v>1097.3499999999999</v>
    <v>1104.8499999999999</v>
    <v>1112.2</v>
    <v>1112.2</v>
    <v>1102.45</v>
    <v>1083.6500000000001</v>
    <v>1066.25</v>
    <v>1075.25</v>
    <v>1051.95</v>
    <v>1003.95</v>
    <v>1017.85</v>
    <v>1005.65</v>
    <v>1013.15</v>
    <v>1005.75</v>
    <v>1028.05</v>
    <v>1014.9</v>
    <v>997.3</v>
    <v>979.25</v>
    <v>991.95</v>
    <v>987.05</v>
    <v>971.05</v>
    <v>957.05</v>
    <v>946.05</v>
    <v>958.3</v>
    <v>966.2</v>
    <v>965.5</v>
    <v>972.15</v>
    <v>977.45</v>
    <v>983.35</v>
    <v>977.5</v>
    <v>980.55</v>
    <v>976.5</v>
    <v>967.7</v>
    <v>961.8</v>
    <v>944.1</v>
    <v>939.2</v>
    <v>968</v>
    <v>973.05</v>
    <v>1003</v>
    <v>1061.3</v>
    <v>1178.45</v>
    <v>1315.25</v>
    <v>1175.4000000000001</v>
    <v>1143.6500000000001</v>
    <v>1097.45</v>
    <v>1135.25</v>
    <v>1128.75</v>
    <v>1136.55</v>
    <v>1120.9000000000001</v>
    <v>1031.3</v>
    <v>1034.9000000000001</v>
    <v>1046.4000000000001</v>
    <v>1087.05</v>
    <v>1110.3</v>
    <v>1080.9000000000001</v>
    <v>1087.2</v>
    <v>1093.8499999999999</v>
    <v>1091.8</v>
    <v>1093.6500000000001</v>
    <v>1132.55</v>
    <v>1137.55</v>
    <v>1137.95</v>
    <v>1168.55</v>
    <v>1148.45</v>
    <v>1102.1500000000001</v>
    <v>1106.2</v>
    <v>1105.05</v>
    <v>1103.75</v>
    <v>1115.4000000000001</v>
    <v>1114.9000000000001</v>
    <v>1126.8499999999999</v>
    <v>1112.8</v>
    <v>1122</v>
    <v>1099.5</v>
  </a>
  <a r="1" c="248">
    <v>110.3</v>
    <v>109.7</v>
    <v>111.05</v>
    <v>108.65</v>
    <v>109.55</v>
    <v>109.55</v>
    <v>109.25</v>
    <v>108.55</v>
    <v>106.75</v>
    <v>107.7</v>
    <v>107.4</v>
    <v>106</v>
    <v>105.2</v>
    <v>104.65</v>
    <v>105</v>
    <v>105.6</v>
    <v>105.2</v>
    <v>104.85</v>
    <v>106.4</v>
    <v>108.45</v>
    <v>107.05</v>
    <v>105.8</v>
    <v>105.95</v>
    <v>108</v>
    <v>109.4</v>
    <v>109</v>
    <v>111.5</v>
    <v>111.15</v>
    <v>108.9</v>
    <v>109.5</v>
    <v>111.15</v>
    <v>113.8</v>
    <v>113.75</v>
    <v>114.25</v>
    <v>114.1</v>
    <v>114.25</v>
    <v>113.9</v>
    <v>111.1</v>
    <v>109.6</v>
    <v>109.85</v>
    <v>110.75</v>
    <v>111.55</v>
    <v>112</v>
    <v>113.1</v>
    <v>112.4</v>
    <v>112.95</v>
    <v>112.65</v>
    <v>111.6</v>
    <v>115.3</v>
    <v>115.15</v>
    <v>114.7</v>
    <v>114.85</v>
    <v>117.15</v>
    <v>117.75</v>
    <v>116.6</v>
    <v>116.7</v>
    <v>116.95</v>
    <v>116.6</v>
    <v>115.5</v>
    <v>119.25</v>
    <v>119.95</v>
    <v>119.8</v>
    <v>120.6</v>
    <v>123.15</v>
    <v>123.2</v>
    <v>118.95</v>
    <v>118.2</v>
    <v>119</v>
    <v>118.85</v>
    <v>118.15</v>
    <v>120.2</v>
    <v>120</v>
    <v>120.3</v>
    <v>118.15</v>
    <v>115.95</v>
    <v>116.05</v>
    <v>115.8</v>
    <v>116.9</v>
    <v>117.55</v>
    <v>118.95</v>
    <v>118.25</v>
    <v>116.9</v>
    <v>117.6</v>
    <v>119.55</v>
    <v>122.1</v>
    <v>122.9</v>
    <v>127.05</v>
    <v>131.75</v>
    <v>131.69999999999999</v>
    <v>129.6</v>
    <v>130.15</v>
    <v>129.5</v>
    <v>131.15</v>
    <v>129</v>
    <v>129.55000000000001</v>
    <v>131.69999999999999</v>
    <v>131.94999999999999</v>
    <v>130.44999999999999</v>
    <v>128.30000000000001</v>
    <v>127.8</v>
    <v>126.75</v>
    <v>127.4</v>
    <v>128.9</v>
    <v>128.15</v>
    <v>126.8</v>
    <v>128.9</v>
    <v>128</v>
    <v>125.3</v>
    <v>125.25</v>
    <v>125.9</v>
    <v>123.85</v>
    <v>125.3</v>
    <v>124.95</v>
    <v>125.9</v>
    <v>125.05</v>
    <v>127</v>
    <v>127.4</v>
    <v>127.1</v>
    <v>126</v>
    <v>123.1</v>
    <v>120</v>
    <v>121.35</v>
    <v>119.9</v>
    <v>119.9</v>
    <v>119.15</v>
    <v>118.75</v>
    <v>116.6</v>
    <v>118.1</v>
    <v>117.3</v>
    <v>119.4</v>
    <v>119.65</v>
    <v>119.05</v>
    <v>119.65</v>
    <v>120.05</v>
    <v>120.85</v>
    <v>121</v>
    <v>124.05</v>
    <v>124.7</v>
    <v>125.2</v>
    <v>124.35</v>
    <v>126.25</v>
    <v>126.1</v>
    <v>126.7</v>
    <v>125.95</v>
    <v>126.85</v>
    <v>127.75</v>
    <v>127.9</v>
    <v>130</v>
    <v>131</v>
    <v>131.6</v>
    <v>131.85</v>
    <v>130</v>
    <v>129.19999999999999</v>
    <v>130.05000000000001</v>
    <v>130.1</v>
    <v>131.4</v>
    <v>132</v>
    <v>136.44999999999999</v>
    <v>136.6</v>
    <v>135.4</v>
    <v>129.75</v>
    <v>131</v>
    <v>133.55000000000001</v>
    <v>135.19999999999999</v>
    <v>137.19999999999999</v>
    <v>138.15</v>
    <v>139.6</v>
    <v>139.85</v>
    <v>139.6</v>
    <v>135.35</v>
    <v>134.25</v>
    <v>133.65</v>
    <v>132</v>
    <v>133.65</v>
    <v>134.1</v>
    <v>134.9</v>
    <v>135.30000000000001</v>
    <v>134.9</v>
    <v>137.25</v>
    <v>131.65</v>
    <v>131</v>
    <v>134.25</v>
    <v>133.94999999999999</v>
    <v>130.1</v>
    <v>135.15</v>
    <v>133.75</v>
    <v>135</v>
    <v>134.69999999999999</v>
    <v>135.94999999999999</v>
    <v>134.80000000000001</v>
    <v>138.69999999999999</v>
    <v>141.55000000000001</v>
    <v>144.65</v>
    <v>144.4</v>
    <v>143.65</v>
    <v>141.30000000000001</v>
    <v>137.4</v>
    <v>137.85</v>
    <v>141.19999999999999</v>
    <v>141.19999999999999</v>
    <v>142.30000000000001</v>
    <v>141.94999999999999</v>
    <v>141.05000000000001</v>
    <v>143.9</v>
    <v>145.9</v>
    <v>145.44999999999999</v>
    <v>142.65</v>
    <v>144.19999999999999</v>
    <v>140.75</v>
    <v>140.85</v>
    <v>149.94999999999999</v>
    <v>155.25</v>
    <v>153.1</v>
    <v>151.85</v>
    <v>151.6</v>
    <v>157.25</v>
    <v>153.44999999999999</v>
    <v>152.5</v>
    <v>143.65</v>
    <v>142.44999999999999</v>
    <v>141.69999999999999</v>
    <v>149.69999999999999</v>
    <v>148.75</v>
    <v>145.65</v>
    <v>150.1</v>
    <v>151.80000000000001</v>
    <v>152.4</v>
    <v>152.69999999999999</v>
    <v>155.85</v>
    <v>163.15</v>
    <v>164.65</v>
    <v>163.65</v>
    <v>163.4</v>
    <v>163.35</v>
    <v>165.2</v>
    <v>166</v>
    <v>165.05</v>
    <v>163.5</v>
    <v>160.85</v>
    <v>160.05000000000001</v>
    <v>160.05000000000001</v>
    <v>162.1</v>
    <v>161.85</v>
    <v>161.15</v>
    <v>165.55</v>
    <v>167.7</v>
    <v>165.8</v>
    <v>167.4</v>
  </a>
  <a r="1" c="248">
    <v>684.5</v>
    <v>677.9</v>
    <v>678.4</v>
    <v>673.5</v>
    <v>678.45</v>
    <v>681.5</v>
    <v>676.05</v>
    <v>672.6</v>
    <v>666.85</v>
    <v>673.8</v>
    <v>669.3</v>
    <v>748.3</v>
    <v>733.4</v>
    <v>738.15</v>
    <v>721.8</v>
    <v>719.8</v>
    <v>738.55</v>
    <v>728.45</v>
    <v>728.85</v>
    <v>727.95</v>
    <v>763.4</v>
    <v>788.4</v>
    <v>777.9</v>
    <v>774.9</v>
    <v>782.2</v>
    <v>805.4</v>
    <v>838.8</v>
    <v>839.1</v>
    <v>836.55</v>
    <v>826.85</v>
    <v>963.45</v>
    <v>999.05</v>
    <v>1008</v>
    <v>991.15</v>
    <v>1029.25</v>
    <v>1049.3</v>
    <v>1052.2</v>
    <v>1018</v>
    <v>1000.6</v>
    <v>1006.75</v>
    <v>1001.85</v>
    <v>1029.4000000000001</v>
    <v>1022.85</v>
    <v>1019.05</v>
    <v>1027.8</v>
    <v>1040.55</v>
    <v>1054.0999999999999</v>
    <v>1024.8</v>
    <v>1009.05</v>
    <v>1025.3499999999999</v>
    <v>1026.95</v>
    <v>1074.0999999999999</v>
    <v>1116.6500000000001</v>
    <v>1111.3499999999999</v>
    <v>1106.7</v>
    <v>1115.2</v>
    <v>1117.25</v>
    <v>1266.0999999999999</v>
    <v>1274.55</v>
    <v>1250.5</v>
    <v>1239.4000000000001</v>
    <v>1214.5999999999999</v>
    <v>1221.5</v>
    <v>1197.6500000000001</v>
    <v>1193.0999999999999</v>
    <v>1159.4000000000001</v>
    <v>1174.3499999999999</v>
    <v>1161.1500000000001</v>
    <v>1130.5999999999999</v>
    <v>1172.95</v>
    <v>1187.6500000000001</v>
    <v>1163.75</v>
    <v>1112.45</v>
    <v>1099.4000000000001</v>
    <v>1135.6500000000001</v>
    <v>1097.3</v>
    <v>1098.25</v>
    <v>1034.95</v>
    <v>1033.75</v>
    <v>1032.3499999999999</v>
    <v>990.6</v>
    <v>997.25</v>
    <v>964</v>
    <v>984.9</v>
    <v>969.3</v>
    <v>975.75</v>
    <v>967.25</v>
    <v>959.65</v>
    <v>1020.55</v>
    <v>1032.4000000000001</v>
    <v>1057</v>
    <v>1040.3499999999999</v>
    <v>1026.75</v>
    <v>987.45</v>
    <v>998.5</v>
    <v>1022.15</v>
    <v>1063.0999999999999</v>
    <v>1041.5999999999999</v>
    <v>1030.2</v>
    <v>1032.5999999999999</v>
    <v>1031.3</v>
    <v>1027.3499999999999</v>
    <v>1043.25</v>
    <v>1040</v>
    <v>1055.3</v>
    <v>1037.5999999999999</v>
    <v>1046.5999999999999</v>
    <v>1030.45</v>
    <v>1036.8</v>
    <v>1021.3</v>
    <v>1021.4</v>
    <v>1030.95</v>
    <v>1104.0999999999999</v>
    <v>1113.0999999999999</v>
    <v>1087.75</v>
    <v>1067.7</v>
    <v>1066.8499999999999</v>
    <v>1023.7</v>
    <v>1024.25</v>
    <v>1065.3</v>
    <v>1010.45</v>
    <v>951.2</v>
    <v>965.45</v>
    <v>979.55</v>
    <v>961.85</v>
    <v>952.5</v>
    <v>942.7</v>
    <v>942.45</v>
    <v>935.75</v>
    <v>934.65</v>
    <v>949.35</v>
    <v>957.35</v>
    <v>960.55</v>
    <v>946.4</v>
    <v>950.95</v>
    <v>930.4</v>
    <v>931.45</v>
    <v>929.75</v>
    <v>920.55</v>
    <v>906.9</v>
    <v>924.5</v>
    <v>921.25</v>
    <v>920.8</v>
    <v>916.8</v>
    <v>914.85</v>
    <v>914.55</v>
    <v>916.5</v>
    <v>914.85</v>
    <v>919.65</v>
    <v>919.45</v>
    <v>927</v>
    <v>927.25</v>
    <v>918.5</v>
    <v>915.4</v>
    <v>925.1</v>
    <v>1090.9000000000001</v>
    <v>1073</v>
    <v>1095.55</v>
    <v>1093.05</v>
    <v>1085.9000000000001</v>
    <v>1051.55</v>
    <v>1081.5999999999999</v>
    <v>1088.45</v>
    <v>1084.25</v>
    <v>1111.75</v>
    <v>1096.5</v>
    <v>1094.6500000000001</v>
    <v>1100.3499999999999</v>
    <v>1108.6500000000001</v>
    <v>1086.45</v>
    <v>1085.45</v>
    <v>1104.2</v>
    <v>1081.8499999999999</v>
    <v>1086.4000000000001</v>
    <v>1196.75</v>
    <v>1187.6500000000001</v>
    <v>1186.95</v>
    <v>1192.5999999999999</v>
    <v>1207.8</v>
    <v>1185.95</v>
    <v>1153.95</v>
    <v>1176.75</v>
    <v>1178.3</v>
    <v>1133.25</v>
    <v>1049.45</v>
    <v>1037.5</v>
    <v>999.3</v>
    <v>1000.3</v>
    <v>1030.2</v>
    <v>1016.45</v>
    <v>1007.7</v>
    <v>989.65</v>
    <v>985.05</v>
    <v>994.75</v>
    <v>989.45</v>
    <v>985.5</v>
    <v>953.2</v>
    <v>978.45</v>
    <v>970.8</v>
    <v>1003.95</v>
    <v>995.05</v>
    <v>996.4</v>
    <v>1003.65</v>
    <v>991.45</v>
    <v>998.15</v>
    <v>997.85</v>
    <v>988.55</v>
    <v>997.85</v>
    <v>1007.1</v>
    <v>979.6</v>
    <v>974.7</v>
    <v>979.9</v>
    <v>967.75</v>
    <v>964.45</v>
    <v>947.45</v>
    <v>955.1</v>
    <v>928.4</v>
    <v>895.95</v>
    <v>804.5</v>
    <v>872.8</v>
    <v>855.95</v>
    <v>845.3</v>
    <v>823.95</v>
    <v>814</v>
    <v>838.4</v>
    <v>850.1</v>
    <v>825.2</v>
    <v>814.1</v>
    <v>819.7</v>
    <v>841.95</v>
    <v>933.8</v>
    <v>928.65</v>
    <v>927.95</v>
    <v>927.2</v>
    <v>918.15</v>
    <v>917.45</v>
    <v>985.9</v>
    <v>985.45</v>
    <v>937</v>
    <v>941.15</v>
    <v>931.95</v>
    <v>932.5</v>
    <v>921.95</v>
    <v>927.75</v>
    <v>985</v>
    <v>967.15</v>
    <v>934.7</v>
    <v>915.8</v>
  </a>
  <a r="1" c="248">
    <v>180.35</v>
    <v>171.05</v>
    <v>178</v>
    <v>180.05</v>
    <v>175.2</v>
    <v>181.35</v>
    <v>177.65</v>
    <v>193.75</v>
    <v>201.1</v>
    <v>194.6</v>
    <v>192.6</v>
    <v>193.6</v>
    <v>193.9</v>
    <v>195.45</v>
    <v>200</v>
    <v>199.6</v>
    <v>204.35</v>
    <v>207.4</v>
    <v>202.7</v>
    <v>200.45</v>
    <v>193.75</v>
    <v>207</v>
    <v>216.25</v>
    <v>222.5</v>
    <v>227.65</v>
    <v>222.45</v>
    <v>223.65</v>
    <v>227.35</v>
    <v>217.6</v>
    <v>217.4</v>
    <v>217.5</v>
    <v>217.65</v>
    <v>216.75</v>
    <v>213.85</v>
    <v>216.65</v>
    <v>214.45</v>
    <v>210.1</v>
    <v>217.55</v>
    <v>232.95</v>
    <v>220.75</v>
    <v>225.95</v>
    <v>223.2</v>
    <v>247.1</v>
    <v>241.8</v>
    <v>241.45</v>
    <v>236.35</v>
    <v>235.45</v>
    <v>235.9</v>
    <v>239.85</v>
    <v>243.55</v>
    <v>252.3</v>
    <v>249.3</v>
    <v>249.05</v>
    <v>244.7</v>
    <v>245.25</v>
    <v>249.2</v>
    <v>248.35</v>
    <v>253.7</v>
    <v>253.1</v>
    <v>255.4</v>
    <v>259.8</v>
    <v>259.05</v>
    <v>259.39999999999998</v>
    <v>260.7</v>
    <v>262.55</v>
    <v>261.60000000000002</v>
    <v>262.39999999999998</v>
    <v>261.7</v>
    <v>255.7</v>
    <v>254.7</v>
    <v>254.95</v>
    <v>251.05</v>
    <v>249.1</v>
    <v>244.85</v>
    <v>243.5</v>
    <v>246.7</v>
    <v>254.35</v>
    <v>260.3</v>
    <v>257.3</v>
    <v>254.3</v>
    <v>253.6</v>
    <v>261.39999999999998</v>
    <v>260.60000000000002</v>
    <v>261.8</v>
    <v>259.75</v>
    <v>265</v>
    <v>264.25</v>
    <v>267.95</v>
    <v>283.75</v>
    <v>277.8</v>
    <v>276.45</v>
    <v>275.64999999999998</v>
    <v>273.60000000000002</v>
    <v>263.5</v>
    <v>257.3</v>
    <v>252.65</v>
    <v>253.05</v>
    <v>245.15</v>
    <v>243.3</v>
    <v>243.85</v>
    <v>247.65</v>
    <v>245.6</v>
    <v>250.5</v>
    <v>252.35</v>
    <v>255.4</v>
    <v>257.89999999999998</v>
    <v>264.55</v>
    <v>260.05</v>
    <v>252.2</v>
    <v>254.9</v>
    <v>254.85</v>
    <v>258.75</v>
    <v>264.89999999999998</v>
    <v>254.55</v>
    <v>249.85</v>
    <v>250.85</v>
    <v>253.7</v>
    <v>252.1</v>
    <v>252.6</v>
    <v>253.8</v>
    <v>242.45</v>
    <v>230.95</v>
    <v>236</v>
    <v>244.3</v>
    <v>243.25</v>
    <v>242.2</v>
    <v>242.75</v>
    <v>242.2</v>
    <v>243.65</v>
    <v>249.4</v>
    <v>257.95</v>
    <v>259.8</v>
    <v>272.25</v>
    <v>263.35000000000002</v>
    <v>271.8</v>
    <v>271.55</v>
    <v>279.3</v>
    <v>275.60000000000002</v>
    <v>267.60000000000002</v>
    <v>276.7</v>
    <v>278.64999999999998</v>
    <v>280.89999999999998</v>
    <v>283.05</v>
    <v>278.14999999999998</v>
    <v>281.05</v>
    <v>283.05</v>
    <v>277.05</v>
    <v>276.5</v>
    <v>277.5</v>
    <v>271.7</v>
    <v>268.5</v>
    <v>265.35000000000002</v>
    <v>269.5</v>
    <v>267.8</v>
    <v>268.8</v>
    <v>278.14999999999998</v>
    <v>295.10000000000002</v>
    <v>290.7</v>
    <v>287.7</v>
    <v>288.89999999999998</v>
    <v>271.5</v>
    <v>267.85000000000002</v>
    <v>267.55</v>
    <v>266</v>
    <v>262.2</v>
    <v>261.64999999999998</v>
    <v>260.05</v>
    <v>266.60000000000002</v>
    <v>266.89999999999998</v>
    <v>267.64999999999998</v>
    <v>275.95</v>
    <v>283.35000000000002</v>
    <v>278.75</v>
    <v>282.55</v>
    <v>284.39999999999998</v>
    <v>286.39999999999998</v>
    <v>283.45</v>
    <v>279.60000000000002</v>
    <v>274.89999999999998</v>
    <v>266.7</v>
    <v>270.05</v>
    <v>277.89999999999998</v>
    <v>273.89999999999998</v>
    <v>272.45</v>
    <v>275.7</v>
    <v>271.39999999999998</v>
    <v>278.3</v>
    <v>291.85000000000002</v>
    <v>302.39999999999998</v>
    <v>299.89999999999998</v>
    <v>288.64999999999998</v>
    <v>284.45</v>
    <v>291.7</v>
    <v>291.10000000000002</v>
    <v>290.85000000000002</v>
    <v>283.14999999999998</v>
    <v>268.05</v>
    <v>284.95</v>
    <v>279.2</v>
    <v>277.35000000000002</v>
    <v>274.45</v>
    <v>273.8</v>
    <v>273.39999999999998</v>
    <v>272.05</v>
    <v>268</v>
    <v>285.10000000000002</v>
    <v>301.25</v>
    <v>293.35000000000002</v>
    <v>293.7</v>
    <v>298.3</v>
    <v>293.35000000000002</v>
    <v>295.39999999999998</v>
    <v>329</v>
    <v>317.85000000000002</v>
    <v>303.85000000000002</v>
    <v>304.95</v>
    <v>290.85000000000002</v>
    <v>282</v>
    <v>264.75</v>
    <v>270.60000000000002</v>
    <v>266.10000000000002</v>
    <v>268</v>
    <v>267.14999999999998</v>
    <v>267.60000000000002</v>
    <v>272.35000000000002</v>
    <v>272.3</v>
    <v>281.2</v>
    <v>304.75</v>
    <v>296.7</v>
    <v>306.89999999999998</v>
    <v>306.45</v>
    <v>306</v>
    <v>305</v>
    <v>302.75</v>
    <v>295.7</v>
    <v>291.5</v>
    <v>293.45</v>
    <v>289.60000000000002</v>
    <v>289.95</v>
    <v>290.25</v>
    <v>292.05</v>
    <v>290.95</v>
    <v>326.8</v>
    <v>340.15</v>
    <v>342.85</v>
    <v>345.1</v>
    <v>350.05</v>
    <v>348.2</v>
  </a>
  <a r="1" c="248">
    <v>1087.4000000000001</v>
    <v>1083.5</v>
    <v>1075.6500000000001</v>
    <v>1094.3499999999999</v>
    <v>1098.3</v>
    <v>1081.7</v>
    <v>1072.75</v>
    <v>1090.3499999999999</v>
    <v>1067</v>
    <v>1074.1500000000001</v>
    <v>1060.6500000000001</v>
    <v>1061.7</v>
    <v>1066.8</v>
    <v>1072.3</v>
    <v>1071.3</v>
    <v>1070.5999999999999</v>
    <v>1061.95</v>
    <v>1064.8</v>
    <v>1084.0999999999999</v>
    <v>1090.55</v>
    <v>1074.2</v>
    <v>1083.6500000000001</v>
    <v>1101.75</v>
    <v>1100.95</v>
    <v>1109.05</v>
    <v>1138.0999999999999</v>
    <v>1166.2</v>
    <v>1167.8</v>
    <v>1173.0999999999999</v>
    <v>1176.3499999999999</v>
    <v>1191.55</v>
    <v>1200.95</v>
    <v>1186.05</v>
    <v>1178.5</v>
    <v>1168.6500000000001</v>
    <v>1176.95</v>
    <v>1221.1500000000001</v>
    <v>1183.75</v>
    <v>1237</v>
    <v>1241.4000000000001</v>
    <v>1208.1500000000001</v>
    <v>1224.3499999999999</v>
    <v>1205.5</v>
    <v>1188.3</v>
    <v>1186.5999999999999</v>
    <v>1235.5</v>
    <v>1237.5999999999999</v>
    <v>1217.1500000000001</v>
    <v>1245.2</v>
    <v>1299.75</v>
    <v>1337.35</v>
    <v>1338.9</v>
    <v>1427.5</v>
    <v>1480.9</v>
    <v>1438.5</v>
    <v>1455.65</v>
    <v>1458.75</v>
    <v>1454.1</v>
    <v>1452.05</v>
    <v>1493.9</v>
    <v>1497.55</v>
    <v>1496.05</v>
    <v>1484</v>
    <v>1499.95</v>
    <v>1516.15</v>
    <v>1503</v>
    <v>1540.65</v>
    <v>1537.15</v>
    <v>1586.7</v>
    <v>1595.85</v>
    <v>1601.75</v>
    <v>1582.65</v>
    <v>1689.15</v>
    <v>1654.35</v>
    <v>1662.1</v>
    <v>1658.15</v>
    <v>1657.95</v>
    <v>1652</v>
    <v>1654.3</v>
    <v>1657</v>
    <v>1741.05</v>
    <v>1775.3</v>
    <v>1761.35</v>
    <v>1742.4</v>
    <v>1717.4</v>
    <v>1748.7</v>
    <v>1730.7</v>
    <v>1759.35</v>
    <v>1767.65</v>
    <v>1758.85</v>
    <v>1741.65</v>
    <v>1734.85</v>
    <v>1744.1</v>
    <v>1632.6</v>
    <v>1717.7</v>
    <v>1709.05</v>
    <v>1715.7</v>
    <v>1690.55</v>
    <v>1722.15</v>
    <v>1689.5</v>
    <v>1685.55</v>
    <v>1709.15</v>
    <v>1773.8</v>
    <v>1897.05</v>
    <v>2037.7</v>
    <v>1994.55</v>
    <v>2117</v>
    <v>2208.75</v>
    <v>2124</v>
    <v>2213.4499999999998</v>
    <v>2172.9</v>
    <v>2105.4499999999998</v>
    <v>2094.3000000000002</v>
    <v>2071.8000000000002</v>
    <v>2025</v>
    <v>2018.45</v>
    <v>1992.65</v>
    <v>2005.35</v>
    <v>2003.25</v>
    <v>1980.5</v>
    <v>1891.15</v>
    <v>1962.5</v>
    <v>1995.05</v>
    <v>2012.85</v>
    <v>2086.1</v>
    <v>2082.9</v>
    <v>2113.5500000000002</v>
    <v>2117.8000000000002</v>
    <v>2110.5</v>
    <v>2102.8000000000002</v>
    <v>2044.4</v>
    <v>2085.35</v>
    <v>2060.3000000000002</v>
    <v>2057.5500000000002</v>
    <v>2102.6999999999998</v>
    <v>2123.5500000000002</v>
    <v>2127.1</v>
    <v>2277.1</v>
    <v>2242.4</v>
    <v>2226.5</v>
    <v>2227</v>
    <v>2181.65</v>
    <v>2195.0500000000002</v>
    <v>2201.15</v>
    <v>2183.15</v>
    <v>2139.6</v>
    <v>2224.8000000000002</v>
    <v>2207.6</v>
    <v>2215.75</v>
    <v>2175.9499999999998</v>
    <v>2215.25</v>
    <v>2215.1</v>
    <v>2179</v>
    <v>2196.8000000000002</v>
    <v>2162.0500000000002</v>
    <v>2124.9</v>
    <v>2102.0500000000002</v>
    <v>2152.0500000000002</v>
    <v>2105.75</v>
    <v>2109.6</v>
    <v>2010.7</v>
    <v>2040.8</v>
    <v>2017.1</v>
    <v>1996.05</v>
    <v>2020.85</v>
    <v>1962.35</v>
    <v>1945.2</v>
    <v>1928.8</v>
    <v>1962.35</v>
    <v>1940</v>
    <v>1936.9</v>
    <v>1965.35</v>
    <v>1925.5</v>
    <v>1972.5</v>
    <v>1968.15</v>
    <v>2019.9</v>
    <v>2021.5</v>
    <v>2063.0500000000002</v>
    <v>2036.95</v>
    <v>1987.4</v>
    <v>1967.15</v>
    <v>2004.85</v>
    <v>2044</v>
    <v>2046.35</v>
    <v>2056.85</v>
    <v>2020.05</v>
    <v>1964.35</v>
    <v>1932.55</v>
    <v>1963.8</v>
    <v>1835.05</v>
    <v>1851.7</v>
    <v>1802.05</v>
    <v>1864.95</v>
    <v>1909.3</v>
    <v>1900.6</v>
    <v>1872</v>
    <v>1837.95</v>
    <v>1821.05</v>
    <v>1868.55</v>
    <v>1892.55</v>
    <v>1868.5</v>
    <v>1856.1</v>
    <v>1843.7</v>
    <v>1801.45</v>
    <v>1818.65</v>
    <v>1826.3</v>
    <v>1798.05</v>
    <v>1813.55</v>
    <v>1799.75</v>
    <v>1806.75</v>
    <v>1828.6</v>
    <v>1818</v>
    <v>1818.45</v>
    <v>1800.75</v>
    <v>1761.8</v>
    <v>1747.45</v>
    <v>1690.7</v>
    <v>1692.3</v>
    <v>1622.85</v>
    <v>1662.85</v>
    <v>1741.65</v>
    <v>1729.55</v>
    <v>1740.05</v>
    <v>1784.3</v>
    <v>1805.4</v>
    <v>1846.85</v>
    <v>1844.65</v>
    <v>1820.7</v>
    <v>1863.9</v>
    <v>1903</v>
    <v>1911.45</v>
    <v>1897.9</v>
    <v>1895.75</v>
    <v>1901.2</v>
    <v>1906.85</v>
    <v>1869.5</v>
    <v>1859.05</v>
    <v>1841.8</v>
    <v>1821.3</v>
    <v>1851.35</v>
    <v>1942.45</v>
    <v>1922.1</v>
    <v>1902.5</v>
    <v>2031.2</v>
    <v>2025.5</v>
    <v>1989.65</v>
    <v>1998.55</v>
    <v>2033.75</v>
  </a>
  <a r="1" c="248">
    <v>461.6</v>
    <v>458</v>
    <v>471.9</v>
    <v>465.15</v>
    <v>466</v>
    <v>463.6</v>
    <v>469.15</v>
    <v>470.5</v>
    <v>467.35</v>
    <v>469.05</v>
    <v>466.7</v>
    <v>481.1</v>
    <v>474.7</v>
    <v>468.7</v>
    <v>469.6</v>
    <v>474</v>
    <v>473.8</v>
    <v>489.15</v>
    <v>483.65</v>
    <v>482.4</v>
    <v>487.95</v>
    <v>483.3</v>
    <v>491.5</v>
    <v>492.05</v>
    <v>494</v>
    <v>490.75</v>
    <v>493.05</v>
    <v>486.05</v>
    <v>479.55</v>
    <v>483.15</v>
    <v>485</v>
    <v>494.3</v>
    <v>497</v>
    <v>498.15</v>
    <v>494.4</v>
    <v>497</v>
    <v>495.15</v>
    <v>495.3</v>
    <v>478.85</v>
    <v>486.7</v>
    <v>494.2</v>
    <v>495</v>
    <v>501.25</v>
    <v>502.2</v>
    <v>499.9</v>
    <v>493.55</v>
    <v>492.45</v>
    <v>493.25</v>
    <v>481.5</v>
    <v>480.15</v>
    <v>479.8</v>
    <v>471.15</v>
    <v>470.7</v>
    <v>474.85</v>
    <v>470.8</v>
    <v>476</v>
    <v>473.05</v>
    <v>466.95</v>
    <v>467</v>
    <v>476.65</v>
    <v>467.95</v>
    <v>470.8</v>
    <v>477.7</v>
    <v>478.5</v>
    <v>490.4</v>
    <v>488.05</v>
    <v>491.25</v>
    <v>517.15</v>
    <v>513.54999999999995</v>
    <v>506</v>
    <v>501.05</v>
    <v>492.2</v>
    <v>498.15</v>
    <v>491.1</v>
    <v>482.55</v>
    <v>478.3</v>
    <v>481.35</v>
    <v>483.5</v>
    <v>492.05</v>
    <v>492.7</v>
    <v>486.8</v>
    <v>485.1</v>
    <v>486.8</v>
    <v>485.25</v>
    <v>507.9</v>
    <v>512.04999999999995</v>
    <v>506.05</v>
    <v>502.7</v>
    <v>533.29999999999995</v>
    <v>540.70000000000005</v>
    <v>532.95000000000005</v>
    <v>532.70000000000005</v>
    <v>545.65</v>
    <v>528</v>
    <v>518.54999999999995</v>
    <v>522.65</v>
    <v>533.4</v>
    <v>538.95000000000005</v>
    <v>533.79999999999995</v>
    <v>535.45000000000005</v>
    <v>531</v>
    <v>541.25</v>
    <v>545.79999999999995</v>
    <v>551.54999999999995</v>
    <v>540.65</v>
    <v>533.1</v>
    <v>540.29999999999995</v>
    <v>534.45000000000005</v>
    <v>530.20000000000005</v>
    <v>532.9</v>
    <v>536.9</v>
    <v>530.35</v>
    <v>531.5</v>
    <v>543.25</v>
    <v>538.15</v>
    <v>532.04999999999995</v>
    <v>535.79999999999995</v>
    <v>531.5</v>
    <v>529.75</v>
    <v>527</v>
    <v>524.85</v>
    <v>529.1</v>
    <v>506.05</v>
    <v>505</v>
    <v>494.55</v>
    <v>500.95</v>
    <v>498.75</v>
    <v>501.4</v>
    <v>506.8</v>
    <v>507.95</v>
    <v>504.15</v>
    <v>507.9</v>
    <v>505.75</v>
    <v>507.6</v>
    <v>508.3</v>
    <v>504.95</v>
    <v>515.75</v>
    <v>527.35</v>
    <v>528.04999999999995</v>
    <v>521.25</v>
    <v>518.45000000000005</v>
    <v>530.4</v>
    <v>537.54999999999995</v>
    <v>544.85</v>
    <v>544.70000000000005</v>
    <v>563.25</v>
    <v>560.85</v>
    <v>565.4</v>
    <v>561.45000000000005</v>
    <v>556.85</v>
    <v>555.85</v>
    <v>561</v>
    <v>559.75</v>
    <v>560.54999999999995</v>
    <v>558.29999999999995</v>
    <v>556.15</v>
    <v>569.04999999999995</v>
    <v>565.45000000000005</v>
    <v>559.1</v>
    <v>564.95000000000005</v>
    <v>562.35</v>
    <v>565.5</v>
    <v>581.45000000000005</v>
    <v>570.20000000000005</v>
    <v>567.5</v>
    <v>570.15</v>
    <v>565.04999999999995</v>
    <v>561.54999999999995</v>
    <v>558.6</v>
    <v>554</v>
    <v>561.15</v>
    <v>555.54999999999995</v>
    <v>534.35</v>
    <v>524.6</v>
    <v>522.9</v>
    <v>527.70000000000005</v>
    <v>525.65</v>
    <v>532.95000000000005</v>
    <v>530.4</v>
    <v>527.70000000000005</v>
    <v>524.29999999999995</v>
    <v>531.65</v>
    <v>523.20000000000005</v>
    <v>520.6</v>
    <v>525.5</v>
    <v>508.25</v>
    <v>513.15</v>
    <v>510.15</v>
    <v>519.54999999999995</v>
    <v>501.9</v>
    <v>494.85</v>
    <v>484.85</v>
    <v>479.85</v>
    <v>476</v>
    <v>474.7</v>
    <v>482.05</v>
    <v>475.3</v>
    <v>471.95</v>
    <v>479.35</v>
    <v>478.8</v>
    <v>496</v>
    <v>496.5</v>
    <v>507.7</v>
    <v>495.25</v>
    <v>491.4</v>
    <v>493.5</v>
    <v>486.5</v>
    <v>483.25</v>
    <v>469.7</v>
    <v>463.9</v>
    <v>463.1</v>
    <v>468.4</v>
    <v>463.65</v>
    <v>457.25</v>
    <v>449.65</v>
    <v>453.4</v>
    <v>450.85</v>
    <v>445</v>
    <v>431</v>
    <v>444.95</v>
    <v>447.55</v>
    <v>440.65</v>
    <v>445.9</v>
    <v>443.6</v>
    <v>450.3</v>
    <v>452.45</v>
    <v>465.8</v>
    <v>454.85</v>
    <v>448.85</v>
    <v>454.85</v>
    <v>458.2</v>
    <v>460.25</v>
    <v>464.8</v>
    <v>460.5</v>
    <v>452.7</v>
    <v>448</v>
    <v>453.1</v>
    <v>461.35</v>
    <v>451.6</v>
    <v>444.7</v>
    <v>441.9</v>
    <v>435.65</v>
    <v>438.5</v>
    <v>442.15</v>
    <v>440.15</v>
    <v>439</v>
    <v>437.35</v>
    <v>439.05</v>
  </a>
  <a r="1" c="248">
    <v>584.625</v>
    <v>575</v>
    <v>579.35</v>
    <v>604.25</v>
    <v>616.70000000000005</v>
    <v>647.52499999999998</v>
    <v>679.9</v>
    <v>713.875</v>
    <v>749.55</v>
    <v>787.02499999999998</v>
    <v>800.05</v>
    <v>769.27499999999998</v>
    <v>772.82500000000005</v>
    <v>802.95</v>
    <v>789.8</v>
    <v>772.5</v>
    <v>774.875</v>
    <v>776.02499999999998</v>
    <v>784.15</v>
    <v>809.75</v>
    <v>776.4</v>
    <v>783.82500000000005</v>
    <v>754.52499999999998</v>
    <v>743.67499999999995</v>
    <v>737.67499999999995</v>
    <v>747.1</v>
    <v>744.82500000000005</v>
    <v>739.4</v>
    <v>776.35</v>
    <v>774.92499999999995</v>
    <v>794.45</v>
    <v>798.35</v>
    <v>811.35</v>
    <v>809.02499999999998</v>
    <v>826.35</v>
    <v>867.35</v>
    <v>902.25</v>
    <v>919.32500000000005</v>
    <v>948</v>
    <v>994.95</v>
    <v>1044.625</v>
    <v>994.85</v>
    <v>945.125</v>
    <v>992.375</v>
    <v>1036.7</v>
    <v>1031.5999999999999</v>
    <v>1081.0999999999999</v>
    <v>1066.55</v>
    <v>1072.325</v>
    <v>1100.45</v>
    <v>1138.9749999999999</v>
    <v>1176.675</v>
    <v>1117.8499999999999</v>
    <v>1125.6500000000001</v>
    <v>1083.925</v>
    <v>1110.55</v>
    <v>1102.25</v>
    <v>1115.7750000000001</v>
    <v>1171.55</v>
    <v>1230.0999999999999</v>
    <v>1291.5999999999999</v>
    <v>1356.15</v>
    <v>1288.3499999999999</v>
    <v>1352.75</v>
    <v>1420.35</v>
    <v>1491.35</v>
    <v>1519</v>
    <v>1474.55</v>
    <v>1400.85</v>
    <v>1403.05</v>
    <v>1343.4</v>
    <v>1276.25</v>
    <v>1216.3</v>
    <v>1241.9000000000001</v>
    <v>1234.1500000000001</v>
    <v>1216.8</v>
    <v>1192.7</v>
    <v>1140.3499999999999</v>
    <v>1177.4000000000001</v>
    <v>1160</v>
    <v>1122.8</v>
    <v>1123.3</v>
    <v>1091.4000000000001</v>
    <v>1084.05</v>
    <v>1074.9000000000001</v>
    <v>1083</v>
    <v>1137.1500000000001</v>
    <v>1194</v>
    <v>1221.5999999999999</v>
    <v>1183.6500000000001</v>
    <v>1148.3499999999999</v>
    <v>1138.9000000000001</v>
    <v>1132.9000000000001</v>
    <v>1079.5</v>
    <v>1064.75</v>
    <v>1070.9000000000001</v>
    <v>1063.8499999999999</v>
    <v>1040.4000000000001</v>
    <v>1043.1500000000001</v>
    <v>1047.95</v>
    <v>1037.6500000000001</v>
    <v>1040.3</v>
    <v>1041.3499999999999</v>
    <v>1026.95</v>
    <v>1013.35</v>
    <v>1020.8</v>
    <v>1039.2</v>
    <v>1009.5</v>
    <v>1015.95</v>
    <v>998.4</v>
    <v>989.8</v>
    <v>994.35</v>
    <v>989.95</v>
    <v>985</v>
    <v>999.55</v>
    <v>1001.05</v>
    <v>1051.0999999999999</v>
    <v>1103.6500000000001</v>
    <v>1158.8</v>
    <v>1104.75</v>
    <v>1049.55</v>
    <v>998.8</v>
    <v>999.45</v>
    <v>1025.3499999999999</v>
    <v>1001.5</v>
    <v>1000</v>
    <v>995.25</v>
    <v>999</v>
    <v>1001.5</v>
    <v>1004.6</v>
    <v>1050.2</v>
    <v>1052.8499999999999</v>
    <v>1033.8499999999999</v>
    <v>1037.4000000000001</v>
    <v>1058.3499999999999</v>
    <v>1111.25</v>
    <v>1166.8</v>
    <v>1137.0999999999999</v>
    <v>1193.95</v>
    <v>1151.3499999999999</v>
    <v>1158.05</v>
    <v>1130.8499999999999</v>
    <v>1128.75</v>
    <v>1096.05</v>
    <v>1101.4000000000001</v>
    <v>1087.3</v>
    <v>1073.6500000000001</v>
    <v>1049.8499999999999</v>
    <v>1040.45</v>
    <v>1034.05</v>
    <v>1013.35</v>
    <v>1005.2</v>
    <v>999.9</v>
    <v>1044.9000000000001</v>
    <v>1014.8</v>
    <v>1011</v>
    <v>1011.15</v>
    <v>1001</v>
    <v>1051.05</v>
    <v>1103.5999999999999</v>
    <v>1158.75</v>
    <v>1216.6500000000001</v>
    <v>1277.45</v>
    <v>1341.3</v>
    <v>1408.35</v>
    <v>1397.45</v>
    <v>1456</v>
    <v>1528.8</v>
    <v>1605.2</v>
    <v>1569.15</v>
    <v>1571.1</v>
    <v>1587.8</v>
    <v>1556.35</v>
    <v>1573.95</v>
    <v>1559.1</v>
    <v>1561.4</v>
    <v>1554.35</v>
    <v>1531.85</v>
    <v>1608.4</v>
    <v>1598.85</v>
    <v>1600.65</v>
    <v>1600.15</v>
    <v>1572.75</v>
    <v>1534.9</v>
    <v>1559.75</v>
    <v>1636.25</v>
    <v>1610.8</v>
    <v>1691.3</v>
    <v>1651.6</v>
    <v>1704.7</v>
    <v>1789.9</v>
    <v>1736.45</v>
    <v>1777.05</v>
    <v>1817.6</v>
    <v>1803.8</v>
    <v>1784.65</v>
    <v>1737.3</v>
    <v>1721.5</v>
    <v>1766.2</v>
    <v>1731.9</v>
    <v>1720.6</v>
    <v>1768.85</v>
    <v>1735.8</v>
    <v>1707.1</v>
    <v>1692.4</v>
    <v>1712.5</v>
    <v>1667.85</v>
    <v>1643.6</v>
    <v>1615.7</v>
    <v>1640.5</v>
    <v>1690.2</v>
    <v>1699.15</v>
    <v>1682.5</v>
    <v>1711.15</v>
    <v>1646.55</v>
    <v>1666.85</v>
    <v>1604.8</v>
    <v>1553.95</v>
    <v>1444.1</v>
    <v>1639.6</v>
    <v>1705.5</v>
    <v>1745.15</v>
    <v>1720.6</v>
    <v>1717.55</v>
    <v>1753.6</v>
    <v>1940.7</v>
    <v>1966.65</v>
    <v>1957.7</v>
    <v>1960.65</v>
    <v>1956.8</v>
    <v>1960.8</v>
    <v>2046.25</v>
    <v>2063.15</v>
    <v>2039.5</v>
    <v>2146.6999999999998</v>
    <v>2151.6999999999998</v>
    <v>2167.6</v>
    <v>2089.4</v>
    <v>2052.6</v>
    <v>2050.25</v>
    <v>2033.45</v>
    <v>2043.65</v>
    <v>2070.1999999999998</v>
    <v>2061.25</v>
    <v>2048.5</v>
    <v>2054.9499999999998</v>
    <v>2089.9</v>
    <v>2059.6999999999998</v>
  </a>
  <a r="1" c="248">
    <v>201.75</v>
    <v>203.8</v>
    <v>203.85</v>
    <v>200.15</v>
    <v>202.7</v>
    <v>203.3</v>
    <v>204.15</v>
    <v>206.3</v>
    <v>207.05</v>
    <v>208.15</v>
    <v>211.35</v>
    <v>207.75</v>
    <v>204.6</v>
    <v>205.85</v>
    <v>206.2</v>
    <v>206.9</v>
    <v>207.15</v>
    <v>210.8</v>
    <v>212.2</v>
    <v>217</v>
    <v>216.9</v>
    <v>213.55</v>
    <v>215.3</v>
    <v>215.65</v>
    <v>219.05</v>
    <v>216.75</v>
    <v>218.45</v>
    <v>220.65</v>
    <v>221.2</v>
    <v>220.95</v>
    <v>221.8</v>
    <v>224.15</v>
    <v>220.6</v>
    <v>222.25</v>
    <v>223.15</v>
    <v>224.95</v>
    <v>224.3</v>
    <v>221.1</v>
    <v>218.3</v>
    <v>218.6</v>
    <v>219.25</v>
    <v>218.05</v>
    <v>221.85</v>
    <v>221.9</v>
    <v>220.65</v>
    <v>221.7</v>
    <v>229.6</v>
    <v>228</v>
    <v>225</v>
    <v>225.5</v>
    <v>226.3</v>
    <v>221.85</v>
    <v>221.05</v>
    <v>223.5</v>
    <v>221.5</v>
    <v>219.5</v>
    <v>218.15</v>
    <v>217.4</v>
    <v>217.35</v>
    <v>219.45</v>
    <v>221.5</v>
    <v>220.9</v>
    <v>234.65</v>
    <v>236.7</v>
    <v>244.4</v>
    <v>235.75</v>
    <v>235.45</v>
    <v>235.65</v>
    <v>232.8</v>
    <v>233.9</v>
    <v>234.9</v>
    <v>237.15</v>
    <v>236.2</v>
    <v>231.15</v>
    <v>234.95</v>
    <v>232.5</v>
    <v>230.1</v>
    <v>239.35</v>
    <v>243.5</v>
    <v>245.6</v>
    <v>249.75</v>
    <v>245.6</v>
    <v>244.95</v>
    <v>246.9</v>
    <v>247.35</v>
    <v>245.1</v>
    <v>255.35</v>
    <v>259.14999999999998</v>
    <v>258.45</v>
    <v>257.5</v>
    <v>263.7</v>
    <v>268.85000000000002</v>
    <v>271.89999999999998</v>
    <v>262.7</v>
    <v>265</v>
    <v>265.10000000000002</v>
    <v>263.95</v>
    <v>265.55</v>
    <v>262</v>
    <v>256.64999999999998</v>
    <v>257.10000000000002</v>
    <v>256.89999999999998</v>
    <v>259.85000000000002</v>
    <v>259.75</v>
    <v>258.05</v>
    <v>262.3</v>
    <v>263.95</v>
    <v>256.64999999999998</v>
    <v>257.8</v>
    <v>258.75</v>
    <v>250</v>
    <v>253.9</v>
    <v>253.95</v>
    <v>255.15</v>
    <v>254.1</v>
    <v>254.8</v>
    <v>256.89999999999998</v>
    <v>253.05</v>
    <v>252</v>
    <v>247.4</v>
    <v>238.25</v>
    <v>236.7</v>
    <v>234.4</v>
    <v>238.15</v>
    <v>239.1</v>
    <v>239.35</v>
    <v>236.9</v>
    <v>244.8</v>
    <v>244.6</v>
    <v>249.55</v>
    <v>249.8</v>
    <v>254.95</v>
    <v>248</v>
    <v>251.4</v>
    <v>253.15</v>
    <v>257.05</v>
    <v>259.2</v>
    <v>262.45</v>
    <v>262.64999999999998</v>
    <v>260.85000000000002</v>
    <v>262.64999999999998</v>
    <v>262.10000000000002</v>
    <v>260.75</v>
    <v>258.14999999999998</v>
    <v>270.8</v>
    <v>273.39999999999998</v>
    <v>267.89999999999998</v>
    <v>276</v>
    <v>281.55</v>
    <v>281.5</v>
    <v>294.14999999999998</v>
    <v>325.8</v>
    <v>323.55</v>
    <v>333.65</v>
    <v>330.8</v>
    <v>338.15</v>
    <v>335.4</v>
    <v>333.2</v>
    <v>337.05</v>
    <v>335.9</v>
    <v>320.14999999999998</v>
    <v>328.55</v>
    <v>326.64999999999998</v>
    <v>325.39999999999998</v>
    <v>324.85000000000002</v>
    <v>329.8</v>
    <v>332.15</v>
    <v>330.3</v>
    <v>329.85</v>
    <v>326.7</v>
    <v>337.85</v>
    <v>340.75</v>
    <v>338.95</v>
    <v>340.2</v>
    <v>346.45</v>
    <v>357.3</v>
    <v>357.75</v>
    <v>358.9</v>
    <v>353.45</v>
    <v>348.8</v>
    <v>345.55</v>
    <v>348.65</v>
    <v>345.85</v>
    <v>346.2</v>
    <v>356.95</v>
    <v>365.1</v>
    <v>381.9</v>
    <v>383.25</v>
    <v>389.75</v>
    <v>388.85</v>
    <v>389.8</v>
    <v>394</v>
    <v>392.95</v>
    <v>395.15</v>
    <v>407.4</v>
    <v>392.1</v>
    <v>361.7</v>
    <v>365.05</v>
    <v>373.7</v>
    <v>378.85</v>
    <v>376.3</v>
    <v>380.5</v>
    <v>378.95</v>
    <v>375.45</v>
    <v>377.9</v>
    <v>378.4</v>
    <v>378.4</v>
    <v>375.55</v>
    <v>365.75</v>
    <v>371.75</v>
    <v>377.4</v>
    <v>379.15</v>
    <v>391.75</v>
    <v>396.15</v>
    <v>394.95</v>
    <v>425.25</v>
    <v>413.15</v>
    <v>396.1</v>
    <v>371.95</v>
    <v>384.45</v>
    <v>380.75</v>
    <v>392.75</v>
    <v>383.25</v>
    <v>379.9</v>
    <v>392.15</v>
    <v>390.7</v>
    <v>390.1</v>
    <v>388.4</v>
    <v>394.2</v>
    <v>406.95</v>
    <v>408.8</v>
    <v>412.25</v>
    <v>414.1</v>
    <v>414.6</v>
    <v>416.35</v>
    <v>429.9</v>
    <v>431.95</v>
    <v>436.95</v>
    <v>431.6</v>
    <v>430.4</v>
    <v>429.75</v>
    <v>428.1</v>
    <v>427.95</v>
    <v>429.65</v>
    <v>428.3</v>
    <v>431.45</v>
    <v>436.9</v>
    <v>448</v>
  </a>
  <a r="1" c="248">
    <v>779.6</v>
    <v>781.4</v>
    <v>775.5</v>
    <v>776.25</v>
    <v>788.9</v>
    <v>789</v>
    <v>791.15</v>
    <v>789.45</v>
    <v>789.05</v>
    <v>786.95</v>
    <v>786.25</v>
    <v>778.25</v>
    <v>776.3</v>
    <v>765.45</v>
    <v>766.1</v>
    <v>770.05</v>
    <v>771.15</v>
    <v>780.3</v>
    <v>789.7</v>
    <v>794.25</v>
    <v>790.9</v>
    <v>798.65</v>
    <v>793.65</v>
    <v>796.05</v>
    <v>792.45</v>
    <v>792.1</v>
    <v>823.1</v>
    <v>807.1</v>
    <v>801</v>
    <v>800.75</v>
    <v>819.9</v>
    <v>862.5</v>
    <v>865</v>
    <v>862.75</v>
    <v>857</v>
    <v>858.9</v>
    <v>860.15</v>
    <v>841.9</v>
    <v>840.85</v>
    <v>862.55</v>
    <v>854.2</v>
    <v>854.95</v>
    <v>860.9</v>
    <v>858.85</v>
    <v>855.55</v>
    <v>845.9</v>
    <v>845.05</v>
    <v>833.25</v>
    <v>825.65</v>
    <v>840.3</v>
    <v>843.25</v>
    <v>837.35</v>
    <v>851.5</v>
    <v>852.6</v>
    <v>858.7</v>
    <v>860.45</v>
    <v>873.1</v>
    <v>852.35</v>
    <v>863.1</v>
    <v>868.55</v>
    <v>873.9</v>
    <v>850.05</v>
    <v>859.35</v>
    <v>859.3</v>
    <v>856.75</v>
    <v>843.05</v>
    <v>835.4</v>
    <v>834.8</v>
    <v>837.8</v>
    <v>847.45</v>
    <v>860.2</v>
    <v>850.55</v>
    <v>836.9</v>
    <v>844.7</v>
    <v>840.7</v>
    <v>844.25</v>
    <v>842.55</v>
    <v>848.5</v>
    <v>848.8</v>
    <v>844.55</v>
    <v>844.2</v>
    <v>832.55</v>
    <v>841.8</v>
    <v>838.25</v>
    <v>848.35</v>
    <v>834.35</v>
    <v>844.15</v>
    <v>846.05</v>
    <v>846.3</v>
    <v>878.9</v>
    <v>858.7</v>
    <v>853.1</v>
    <v>862.6</v>
    <v>864.75</v>
    <v>889.3</v>
    <v>884.55</v>
    <v>875.9</v>
    <v>880.95</v>
    <v>869.7</v>
    <v>871</v>
    <v>877.75</v>
    <v>900.6</v>
    <v>895.2</v>
    <v>888.85</v>
    <v>876.5</v>
    <v>876.9</v>
    <v>871.9</v>
    <v>864.75</v>
    <v>860.2</v>
    <v>874.75</v>
    <v>880.65</v>
    <v>888.75</v>
    <v>888.4</v>
    <v>892.35</v>
    <v>913.35</v>
    <v>908.6</v>
    <v>907.85</v>
    <v>895.7</v>
    <v>895.4</v>
    <v>898.95</v>
    <v>883.1</v>
    <v>890</v>
    <v>880.35</v>
    <v>891.1</v>
    <v>893.55</v>
    <v>900.5</v>
    <v>903.15</v>
    <v>911.25</v>
    <v>913.7</v>
    <v>918.65</v>
    <v>922.05</v>
    <v>916.3</v>
    <v>902.85</v>
    <v>912.7</v>
    <v>915.3</v>
    <v>916.55</v>
    <v>929.6</v>
    <v>920.05</v>
    <v>930.85</v>
    <v>930.85</v>
    <v>927.7</v>
    <v>928.25</v>
    <v>933</v>
    <v>926.9</v>
    <v>931.85</v>
    <v>933.55</v>
    <v>940.75</v>
    <v>942.85</v>
    <v>946.65</v>
    <v>950.05</v>
    <v>951.7</v>
    <v>956.9</v>
    <v>946.6</v>
    <v>950.45</v>
    <v>948.75</v>
    <v>957.3</v>
    <v>950.45</v>
    <v>954.7</v>
    <v>949.7</v>
    <v>966.15</v>
    <v>976.3</v>
    <v>979.3</v>
    <v>992.8</v>
    <v>1007.35</v>
    <v>1026.75</v>
    <v>1041</v>
    <v>1086.8</v>
    <v>1080.0999999999999</v>
    <v>1097.75</v>
    <v>1084.95</v>
    <v>1125.55</v>
    <v>1122.95</v>
    <v>1104.95</v>
    <v>1111.6500000000001</v>
    <v>1113.95</v>
    <v>1119.25</v>
    <v>1159</v>
    <v>1150.8</v>
    <v>1143.7</v>
    <v>1138.5999999999999</v>
    <v>1146.8</v>
    <v>1161.7</v>
    <v>1150.0999999999999</v>
    <v>1145.6500000000001</v>
    <v>1159</v>
    <v>1136.75</v>
    <v>1141.05</v>
    <v>1122.9000000000001</v>
    <v>1118</v>
    <v>1129.6500000000001</v>
    <v>1162.75</v>
    <v>1150.75</v>
    <v>1163.55</v>
    <v>1166.2</v>
    <v>1137.9000000000001</v>
    <v>1129.25</v>
    <v>1122.2</v>
    <v>1137.8</v>
    <v>1135.5999999999999</v>
    <v>1131.4000000000001</v>
    <v>1147.45</v>
    <v>1155</v>
    <v>1154.4000000000001</v>
    <v>1160.75</v>
    <v>1159.5</v>
    <v>1160.3</v>
    <v>1177.0999999999999</v>
    <v>1183.5999999999999</v>
    <v>1167.95</v>
    <v>1190.05</v>
    <v>1201</v>
    <v>1207.25</v>
    <v>1203.25</v>
    <v>1200.5999999999999</v>
    <v>1220.05</v>
    <v>1261.55</v>
    <v>1220.6500000000001</v>
    <v>1215.2</v>
    <v>1178.95</v>
    <v>1198.3499999999999</v>
    <v>1212.1500000000001</v>
    <v>1186.95</v>
    <v>1146.25</v>
    <v>1124.05</v>
    <v>1133.95</v>
    <v>1122.75</v>
    <v>1112.55</v>
    <v>1091.05</v>
    <v>1096.2</v>
    <v>1086.9000000000001</v>
    <v>1131.1500000000001</v>
    <v>1119.5</v>
    <v>1117.95</v>
    <v>1115.55</v>
    <v>1137.3499999999999</v>
    <v>1125.5999999999999</v>
    <v>1145.3</v>
    <v>1149.45</v>
    <v>1130.6500000000001</v>
    <v>1135.6500000000001</v>
    <v>1134.55</v>
    <v>1138.0999999999999</v>
    <v>1170.95</v>
    <v>1173.3499999999999</v>
    <v>1110.1500000000001</v>
    <v>1106.25</v>
    <v>1102.6500000000001</v>
    <v>1098.5</v>
  </a>
  <a r="1" c="248">
    <v>801.55</v>
    <v>809.9</v>
    <v>801.9</v>
    <v>798.45</v>
    <v>803.35</v>
    <v>803.75</v>
    <v>807.45</v>
    <v>813.6</v>
    <v>809.05</v>
    <v>810.35</v>
    <v>804.55</v>
    <v>803</v>
    <v>797.55</v>
    <v>797.25</v>
    <v>809.7</v>
    <v>805.8</v>
    <v>803.45</v>
    <v>812.25</v>
    <v>814.55</v>
    <v>825.75</v>
    <v>821.85</v>
    <v>821.35</v>
    <v>825.4</v>
    <v>818.9</v>
    <v>823.25</v>
    <v>803.3</v>
    <v>806.1</v>
    <v>804.95</v>
    <v>777.95</v>
    <v>790.65</v>
    <v>806.4</v>
    <v>815.25</v>
    <v>800.9</v>
    <v>796.2</v>
    <v>790.15</v>
    <v>789.25</v>
    <v>786.9</v>
    <v>782.1</v>
    <v>750.5</v>
    <v>757.65</v>
    <v>761.1</v>
    <v>762.7</v>
    <v>759.75</v>
    <v>762.6</v>
    <v>759.05</v>
    <v>766.65</v>
    <v>768.85</v>
    <v>760.25</v>
    <v>758.05</v>
    <v>759.3</v>
    <v>762.35</v>
    <v>748.85</v>
    <v>754.7</v>
    <v>763.95</v>
    <v>765.75</v>
    <v>777.85</v>
    <v>777.4</v>
    <v>764.35</v>
    <v>765.65</v>
    <v>767.15</v>
    <v>765</v>
    <v>758.55</v>
    <v>763.05</v>
    <v>780.1</v>
    <v>797.4</v>
    <v>801.15</v>
    <v>799.55</v>
    <v>819.3</v>
    <v>826.4</v>
    <v>816.1</v>
    <v>849.45</v>
    <v>836.75</v>
    <v>828.55</v>
    <v>825.4</v>
    <v>826.5</v>
    <v>825.75</v>
    <v>809.95</v>
    <v>808.05</v>
    <v>823</v>
    <v>836.35</v>
    <v>833.35</v>
    <v>824.9</v>
    <v>827.45</v>
    <v>848.9</v>
    <v>855.45</v>
    <v>869.9</v>
    <v>870.05</v>
    <v>866.25</v>
    <v>866.7</v>
    <v>896.6</v>
    <v>896.1</v>
    <v>904.95</v>
    <v>907.15</v>
    <v>875.35</v>
    <v>887.45</v>
    <v>886.65</v>
    <v>893.95</v>
    <v>882.2</v>
    <v>871.75</v>
    <v>868.7</v>
    <v>865.55</v>
    <v>875.75</v>
    <v>861.9</v>
    <v>870.95</v>
    <v>860.85</v>
    <v>863.3</v>
    <v>874.05</v>
    <v>872.55</v>
    <v>880.1</v>
    <v>885.1</v>
    <v>852.9</v>
    <v>855.3</v>
    <v>862.7</v>
    <v>856.95</v>
    <v>845.45</v>
    <v>852.4</v>
    <v>850.95</v>
    <v>834.3</v>
    <v>838.85</v>
    <v>818.6</v>
    <v>821.3</v>
    <v>817.45</v>
    <v>828.9</v>
    <v>834.9</v>
    <v>834.55</v>
    <v>837.5</v>
    <v>830.25</v>
    <v>834.15</v>
    <v>835.65</v>
    <v>827.9</v>
    <v>813.4</v>
    <v>820.2</v>
    <v>827.7</v>
    <v>829.85</v>
    <v>829.3</v>
    <v>814</v>
    <v>824.45</v>
    <v>821.2</v>
    <v>824.95</v>
    <v>828.35</v>
    <v>843.65</v>
    <v>847.9</v>
    <v>835</v>
    <v>825</v>
    <v>820.45</v>
    <v>820.4</v>
    <v>827.95</v>
    <v>835.5</v>
    <v>837.85</v>
    <v>832.5</v>
    <v>845.05</v>
    <v>866.05</v>
    <v>855.45</v>
    <v>852.65</v>
    <v>851.25</v>
    <v>852.4</v>
    <v>852.8</v>
    <v>859.85</v>
    <v>868.75</v>
    <v>897.1</v>
    <v>928.05</v>
    <v>942.65</v>
    <v>947.6</v>
    <v>966</v>
    <v>985.2</v>
    <v>971.55</v>
    <v>978.35</v>
    <v>977.95</v>
    <v>992.2</v>
    <v>986.9</v>
    <v>1014.1</v>
    <v>1009.2</v>
    <v>990.05</v>
    <v>993.4</v>
    <v>1012.15</v>
    <v>1055.7</v>
    <v>1056.9000000000001</v>
    <v>1060.8499999999999</v>
    <v>1051.4000000000001</v>
    <v>1052.7</v>
    <v>1036.25</v>
    <v>1051.0999999999999</v>
    <v>1024.55</v>
    <v>1007.25</v>
    <v>1031.75</v>
    <v>1005.2</v>
    <v>1040.4000000000001</v>
    <v>1016.9</v>
    <v>1092.75</v>
    <v>1048.75</v>
    <v>1058.4000000000001</v>
    <v>1023.1</v>
    <v>1028.45</v>
    <v>1038.9000000000001</v>
    <v>1064.6500000000001</v>
    <v>1057.3</v>
    <v>1075.3499999999999</v>
    <v>1100.1500000000001</v>
    <v>1086.0999999999999</v>
    <v>1086.8499999999999</v>
    <v>1075.0999999999999</v>
    <v>1097.25</v>
    <v>1105.75</v>
    <v>1107.0999999999999</v>
    <v>1098.45</v>
    <v>1095.05</v>
    <v>1097.3</v>
    <v>1117.25</v>
    <v>1110.6500000000001</v>
    <v>1109.0999999999999</v>
    <v>1085.3499999999999</v>
    <v>1109.8499999999999</v>
    <v>1110.8499999999999</v>
    <v>1071.3499999999999</v>
    <v>1061.95</v>
    <v>1082.0999999999999</v>
    <v>1073.6500000000001</v>
    <v>1053.95</v>
    <v>1042.5</v>
    <v>1073.6500000000001</v>
    <v>1065.3499999999999</v>
    <v>1056.5999999999999</v>
    <v>1046.25</v>
    <v>1047.8499999999999</v>
    <v>1083.95</v>
    <v>1064.95</v>
    <v>1101.0999999999999</v>
    <v>1092.8499999999999</v>
    <v>1103.55</v>
    <v>1151.5999999999999</v>
    <v>1190.4000000000001</v>
    <v>1219.95</v>
    <v>1217.95</v>
    <v>1232.3</v>
    <v>1306.8499999999999</v>
    <v>1314.1</v>
    <v>1342.75</v>
    <v>1309.3499999999999</v>
    <v>1283.9000000000001</v>
    <v>1297.0999999999999</v>
    <v>1291.7</v>
    <v>1300.55</v>
    <v>1383.15</v>
    <v>1395.65</v>
    <v>1414.15</v>
    <v>1427.4</v>
    <v>1454.75</v>
    <v>1467.65</v>
  </a>
  <a r="1" c="248">
    <v>935.3</v>
    <v>922.4</v>
    <v>909.25</v>
    <v>884.55</v>
    <v>883.15</v>
    <v>880.55</v>
    <v>896.25</v>
    <v>897.75</v>
    <v>898.65</v>
    <v>920.9</v>
    <v>927.2</v>
    <v>933.15</v>
    <v>941.05</v>
    <v>943.75</v>
    <v>938.8</v>
    <v>926.2</v>
    <v>979.65</v>
    <v>1020.3</v>
    <v>1006.8</v>
    <v>993.75</v>
    <v>1011</v>
    <v>1063.05</v>
    <v>1100.3</v>
    <v>1114.8499999999999</v>
    <v>1115.5999999999999</v>
    <v>1131.05</v>
    <v>1153.2</v>
    <v>1129.1500000000001</v>
    <v>1139.6500000000001</v>
    <v>1142.25</v>
    <v>1092.75</v>
    <v>1039.7</v>
    <v>1063.6500000000001</v>
    <v>1084.4000000000001</v>
    <v>1071.6500000000001</v>
    <v>1058.45</v>
    <v>1063.1500000000001</v>
    <v>1062.2</v>
    <v>1067.3499999999999</v>
    <v>1075.3499999999999</v>
    <v>1082.1500000000001</v>
    <v>1094.75</v>
    <v>1089.8</v>
    <v>1076.3499999999999</v>
    <v>1060.75</v>
    <v>1055.5999999999999</v>
    <v>1085.75</v>
    <v>1079.4000000000001</v>
    <v>1060.9000000000001</v>
    <v>1054.4000000000001</v>
    <v>1064.3</v>
    <v>1047.55</v>
    <v>1063.1500000000001</v>
    <v>1090.6500000000001</v>
    <v>1067.0999999999999</v>
    <v>1084.3499999999999</v>
    <v>1060.7</v>
    <v>1000.9</v>
    <v>1056.8</v>
    <v>1056.5999999999999</v>
    <v>1064.05</v>
    <v>1084.8499999999999</v>
    <v>1071.5</v>
    <v>1082.75</v>
    <v>1092.4000000000001</v>
    <v>1099.7</v>
    <v>1081.2</v>
    <v>1146.25</v>
    <v>1151</v>
    <v>1147.0999999999999</v>
    <v>1139.4000000000001</v>
    <v>1120.6500000000001</v>
    <v>1142.1500000000001</v>
    <v>1127</v>
    <v>1135.55</v>
    <v>1154.2</v>
    <v>1152.6500000000001</v>
    <v>1131.4000000000001</v>
    <v>1132.55</v>
    <v>1177.3499999999999</v>
    <v>1173.25</v>
    <v>1147.55</v>
    <v>1151.0999999999999</v>
    <v>1155.5999999999999</v>
    <v>1155.6500000000001</v>
    <v>1175.9000000000001</v>
    <v>1200.7</v>
    <v>1178.3</v>
    <v>1165.95</v>
    <v>1167.45</v>
    <v>1164.5</v>
    <v>1164.5</v>
    <v>1166.8499999999999</v>
    <v>1144.45</v>
    <v>1137.45</v>
    <v>1169.2</v>
    <v>1169.6500000000001</v>
    <v>1140.55</v>
    <v>1128.8</v>
    <v>1077.5999999999999</v>
    <v>1073.75</v>
    <v>1051.2</v>
    <v>1086.5999999999999</v>
    <v>1128.3</v>
    <v>1142.4000000000001</v>
    <v>1152.3</v>
    <v>1130</v>
    <v>1139.3499999999999</v>
    <v>1157.3</v>
    <v>1146.8</v>
    <v>1133.2</v>
    <v>1165.05</v>
    <v>1223.7</v>
    <v>1211.05</v>
    <v>1201.2</v>
    <v>1229.1500000000001</v>
    <v>1198.7</v>
    <v>1204.8499999999999</v>
    <v>1213.25</v>
    <v>1195.4000000000001</v>
    <v>1151.9000000000001</v>
    <v>1147.8499999999999</v>
    <v>1120.3499999999999</v>
    <v>1128.5</v>
    <v>1185.4000000000001</v>
    <v>1217.55</v>
    <v>1213.8499999999999</v>
    <v>1221.0999999999999</v>
    <v>1241.5</v>
    <v>1253.3499999999999</v>
    <v>1271.95</v>
    <v>1327.75</v>
    <v>1314.7</v>
    <v>1369.2</v>
    <v>1411.2</v>
    <v>1393.5</v>
    <v>1393.1</v>
    <v>1479.95</v>
    <v>1536.65</v>
    <v>1624</v>
    <v>1505.8</v>
    <v>1445.8</v>
    <v>1446.45</v>
    <v>1468.75</v>
    <v>1489.8</v>
    <v>1492.6</v>
    <v>1499.3</v>
    <v>1483.05</v>
    <v>1497.25</v>
    <v>1478.15</v>
    <v>1462.2</v>
    <v>1458.95</v>
    <v>1478.6</v>
    <v>1463.25</v>
    <v>1432.65</v>
    <v>1474.95</v>
    <v>1482.95</v>
    <v>1518.6</v>
    <v>1493.5</v>
    <v>1501.25</v>
    <v>1467.35</v>
    <v>1516.4</v>
    <v>1539.35</v>
    <v>1527.7</v>
    <v>1517.85</v>
    <v>1505.9</v>
    <v>1513.85</v>
    <v>1490.5</v>
    <v>1467.85</v>
    <v>1462.7</v>
    <v>1472.4</v>
    <v>1506.55</v>
    <v>1506.1</v>
    <v>1517.6</v>
    <v>1532.9</v>
    <v>1540.95</v>
    <v>1550.3</v>
    <v>1538.8</v>
    <v>1546.3</v>
    <v>1541.3</v>
    <v>1532.1</v>
    <v>1547.8</v>
    <v>1524.45</v>
    <v>1501.5</v>
    <v>1506.55</v>
    <v>1415.45</v>
    <v>1407.15</v>
    <v>1457.25</v>
    <v>1550.8</v>
    <v>1524.65</v>
    <v>1577.1</v>
    <v>1594.35</v>
    <v>1674.95</v>
    <v>1655.05</v>
    <v>1711</v>
    <v>1727.85</v>
    <v>1708</v>
    <v>1588.6</v>
    <v>1637.4</v>
    <v>1643.25</v>
    <v>1673.6</v>
    <v>1630.6</v>
    <v>1619.75</v>
    <v>1571.75</v>
    <v>1590.65</v>
    <v>1583.65</v>
    <v>1591.4</v>
    <v>1579.95</v>
    <v>1572.3</v>
    <v>1570.55</v>
    <v>1578.65</v>
    <v>1583.9</v>
    <v>1546.1</v>
    <v>1493.35</v>
    <v>1506.35</v>
    <v>1496.3</v>
    <v>1475.5</v>
    <v>1456.3</v>
    <v>1415.65</v>
    <v>1429.35</v>
    <v>1429.35</v>
    <v>1383.3</v>
    <v>1357.95</v>
    <v>1347.55</v>
    <v>1358.2</v>
    <v>1385.7</v>
    <v>1428.5</v>
    <v>1482</v>
    <v>1486.4</v>
    <v>1488.75</v>
    <v>1511.5</v>
    <v>1505.65</v>
    <v>1510.15</v>
    <v>1511.5</v>
    <v>1493.55</v>
    <v>1497.5</v>
    <v>1490.3</v>
    <v>1474.75</v>
    <v>1428.3</v>
    <v>1410.75</v>
    <v>1397.6</v>
    <v>1409.3</v>
    <v>1378.65</v>
    <v>1373.7</v>
    <v>1371.2</v>
    <v>1373.95</v>
    <v>1416.45</v>
    <v>1508.5</v>
  </a>
  <a r="1" c="248">
    <v>1888.05</v>
    <v>1868.5</v>
    <v>1886.75</v>
    <v>1859.1</v>
    <v>1872.65</v>
    <v>1881.6</v>
    <v>1901.2</v>
    <v>1895.05</v>
    <v>1865.05</v>
    <v>1878.65</v>
    <v>1898.95</v>
    <v>1998.05</v>
    <v>1896.25</v>
    <v>1885.45</v>
    <v>1866.15</v>
    <v>1890.6</v>
    <v>1882.85</v>
    <v>1878.35</v>
    <v>1877.25</v>
    <v>1885</v>
    <v>1912.15</v>
    <v>1899.35</v>
    <v>1867.9</v>
    <v>1892.2</v>
    <v>1895.55</v>
    <v>1929.25</v>
    <v>1928.35</v>
    <v>1912.75</v>
    <v>1926.45</v>
    <v>1932.15</v>
    <v>1921.35</v>
    <v>1918.75</v>
    <v>1914.25</v>
    <v>1950.95</v>
    <v>1948.3</v>
    <v>1955.3</v>
    <v>1992.1</v>
    <v>1962.65</v>
    <v>1916.85</v>
    <v>1941.3</v>
    <v>1929.25</v>
    <v>1919.7</v>
    <v>1917.75</v>
    <v>1918.95</v>
    <v>1896.8</v>
    <v>1901.15</v>
    <v>1912.95</v>
    <v>1908.55</v>
    <v>1932.9</v>
    <v>1951.25</v>
    <v>2031.65</v>
    <v>2099.1999999999998</v>
    <v>2113.0500000000002</v>
    <v>2097.9</v>
    <v>2097.4499999999998</v>
    <v>2101.75</v>
    <v>2137.85</v>
    <v>2113.9499999999998</v>
    <v>2116.15</v>
    <v>2111.1999999999998</v>
    <v>2084.6999999999998</v>
    <v>2070.5500000000002</v>
    <v>2126.25</v>
    <v>2133</v>
    <v>2126.9</v>
    <v>2111.15</v>
    <v>2118</v>
    <v>2208.1</v>
    <v>2231.8000000000002</v>
    <v>2261.5</v>
    <v>2268.65</v>
    <v>2292.5500000000002</v>
    <v>2211.1999999999998</v>
    <v>2217.15</v>
    <v>2227.5500000000002</v>
    <v>2251.4499999999998</v>
    <v>2237</v>
    <v>2136.65</v>
    <v>2117.65</v>
    <v>2220.6</v>
    <v>2304.9</v>
    <v>2261.4499999999998</v>
    <v>2231.65</v>
    <v>2228.6</v>
    <v>2293.75</v>
    <v>2462.5</v>
    <v>2723.95</v>
    <v>2758.05</v>
    <v>2746.2</v>
    <v>2744.8</v>
    <v>2773.6</v>
    <v>2783.4</v>
    <v>2814</v>
    <v>2623.1</v>
    <v>2635.75</v>
    <v>2671.25</v>
    <v>2602.4499999999998</v>
    <v>2579.0500000000002</v>
    <v>2552.85</v>
    <v>2526.6</v>
    <v>2489.5</v>
    <v>2396.75</v>
    <v>2561.9</v>
    <v>2588.6</v>
    <v>2562.0500000000002</v>
    <v>2537.6</v>
    <v>2568.5</v>
    <v>2606.0500000000002</v>
    <v>2634.2</v>
    <v>2624.7</v>
    <v>2525.65</v>
    <v>2558.6999999999998</v>
    <v>2546.6</v>
    <v>2542.9</v>
    <v>2565.0500000000002</v>
    <v>2588.5</v>
    <v>2637.3</v>
    <v>2640.2</v>
    <v>2633.7</v>
    <v>2732.05</v>
    <v>2647.7</v>
    <v>2542.1999999999998</v>
    <v>2496.35</v>
    <v>2542.9</v>
    <v>2471.5</v>
    <v>2438.85</v>
    <v>2490.35</v>
    <v>2495.85</v>
    <v>2487.9</v>
    <v>2532.85</v>
    <v>2545.4499999999998</v>
    <v>2553.75</v>
    <v>2261.6999999999998</v>
    <v>2217.5</v>
    <v>2237.5</v>
    <v>2207.9499999999998</v>
    <v>2210.6</v>
    <v>2220.6999999999998</v>
    <v>2224.0500000000002</v>
    <v>2207.1999999999998</v>
    <v>2203.4499999999998</v>
    <v>2199.5500000000002</v>
    <v>2195.3000000000002</v>
    <v>2227.3000000000002</v>
    <v>2203.15</v>
    <v>2227.25</v>
    <v>2240.6</v>
    <v>2244.3000000000002</v>
    <v>2264.9499999999998</v>
    <v>2306.9499999999998</v>
    <v>2311.0500000000002</v>
    <v>2292.65</v>
    <v>2278.9</v>
    <v>2273.5500000000002</v>
    <v>2250.3000000000002</v>
    <v>2254.4</v>
    <v>2253.1999999999998</v>
    <v>2242.8000000000002</v>
    <v>2317.25</v>
    <v>2313.8000000000002</v>
    <v>2226.8000000000002</v>
    <v>2238.75</v>
    <v>2236.65</v>
    <v>2174.6</v>
    <v>2135.75</v>
    <v>2200.75</v>
    <v>2208.3000000000002</v>
    <v>2202.35</v>
    <v>2180.1</v>
    <v>2185.4</v>
    <v>2188.6999999999998</v>
    <v>2191.1</v>
    <v>2168.1</v>
    <v>2158.15</v>
    <v>2145.8000000000002</v>
    <v>2150</v>
    <v>2147.9499999999998</v>
    <v>2165.0500000000002</v>
    <v>2221</v>
    <v>2200.8000000000002</v>
    <v>2180.1</v>
    <v>2149.75</v>
    <v>2160.85</v>
    <v>2119.65</v>
    <v>2115.3000000000002</v>
    <v>2110.15</v>
    <v>2105.65</v>
    <v>2089.65</v>
    <v>2100.5500000000002</v>
    <v>2029</v>
    <v>2022.35</v>
    <v>2009</v>
    <v>1978.6</v>
    <v>2015.3</v>
    <v>2004.4</v>
    <v>1978.35</v>
    <v>1929.9</v>
    <v>1916.9</v>
    <v>1744.8</v>
    <v>1871.65</v>
    <v>1934.55</v>
    <v>1943.15</v>
    <v>1937.85</v>
    <v>1904.7</v>
    <v>2016.55</v>
    <v>2032.6</v>
    <v>1979.95</v>
    <v>1951.9</v>
    <v>1934.55</v>
    <v>1916.1</v>
    <v>1902.85</v>
    <v>1920</v>
    <v>1897.35</v>
    <v>1866.7</v>
    <v>1831.45</v>
    <v>1824.6</v>
    <v>1793.35</v>
    <v>1735.75</v>
    <v>1712.25</v>
    <v>1727.6</v>
    <v>1721.15</v>
    <v>1728</v>
    <v>1716.8</v>
    <v>1687.7</v>
    <v>1697.2</v>
    <v>1704.8</v>
    <v>1681.6</v>
    <v>1672.8</v>
    <v>1683.75</v>
    <v>1771.5</v>
    <v>1896.05</v>
    <v>1885.5</v>
    <v>1953.6</v>
    <v>1949.3</v>
    <v>1921.1</v>
    <v>1877.5</v>
    <v>1883.35</v>
    <v>1865.35</v>
    <v>1820.05</v>
    <v>1822.2</v>
    <v>1818.65</v>
    <v>1773.95</v>
    <v>1790.85</v>
    <v>1868.25</v>
    <v>1905</v>
    <v>1894.4</v>
    <v>1884.05</v>
    <v>1908.8</v>
  </a>
  <a r="1" c="248">
    <v>117.7</v>
    <v>121.85</v>
    <v>121.1</v>
    <v>123.4</v>
    <v>121.35</v>
    <v>118</v>
    <v>121.25</v>
    <v>121.95</v>
    <v>121.9</v>
    <v>120.45</v>
    <v>119.9</v>
    <v>121.15</v>
    <v>119.75</v>
    <v>118.3</v>
    <v>119.95</v>
    <v>122.65</v>
    <v>123.35</v>
    <v>121</v>
    <v>119.5</v>
    <v>119.8</v>
    <v>118.1</v>
    <v>118.25</v>
    <v>118.35</v>
    <v>117.95</v>
    <v>118</v>
    <v>127.75</v>
    <v>133.75</v>
    <v>130.94999999999999</v>
    <v>129.9</v>
    <v>131.15</v>
    <v>128.75</v>
    <v>132</v>
    <v>129.05000000000001</v>
    <v>127.6</v>
    <v>128.69999999999999</v>
    <v>130.19999999999999</v>
    <v>129.1</v>
    <v>126.6</v>
    <v>127.45</v>
    <v>128.15</v>
    <v>133.1</v>
    <v>132.94999999999999</v>
    <v>130.75</v>
    <v>129.4</v>
    <v>127.85</v>
    <v>130</v>
    <v>130.75</v>
    <v>132.9</v>
    <v>131.4</v>
    <v>133.55000000000001</v>
    <v>138.30000000000001</v>
    <v>137.05000000000001</v>
    <v>138.69999999999999</v>
    <v>141.05000000000001</v>
    <v>140.6</v>
    <v>139.9</v>
    <v>144.6</v>
    <v>155.19999999999999</v>
    <v>159.1</v>
    <v>167.2</v>
    <v>167.15</v>
    <v>168.05</v>
    <v>158</v>
    <v>164.8</v>
    <v>176.85</v>
    <v>169.55</v>
    <v>174.35</v>
    <v>168.75</v>
    <v>173</v>
    <v>176.8</v>
    <v>173.85</v>
    <v>171.8</v>
    <v>171.05</v>
    <v>166.45</v>
    <v>173.55</v>
    <v>169.05</v>
    <v>168.85</v>
    <v>169</v>
    <v>174.2</v>
    <v>168.1</v>
    <v>168.55</v>
    <v>166.4</v>
    <v>190.85</v>
    <v>192.7</v>
    <v>200.6</v>
    <v>209.35</v>
    <v>241.8</v>
    <v>231.65</v>
    <v>230.55</v>
    <v>223.4</v>
    <v>231.8</v>
    <v>234.25</v>
    <v>248.3</v>
    <v>223.55</v>
    <v>224.5</v>
    <v>228.25</v>
    <v>222.75</v>
    <v>216.2</v>
    <v>219.2</v>
    <v>211.05</v>
    <v>221.2</v>
    <v>228</v>
    <v>224.8</v>
    <v>223.25</v>
    <v>220.3</v>
    <v>223.9</v>
    <v>221.35</v>
    <v>215.6</v>
    <v>214.2</v>
    <v>218.95</v>
    <v>209.4</v>
    <v>211.7</v>
    <v>212.75</v>
    <v>218.6</v>
    <v>227.1</v>
    <v>223.45</v>
    <v>239</v>
    <v>232.2</v>
    <v>233.05</v>
    <v>235</v>
    <v>215.65</v>
    <v>210.95</v>
    <v>217.75</v>
    <v>224.05</v>
    <v>220.85</v>
    <v>222.65</v>
    <v>221.3</v>
    <v>232.9</v>
    <v>231.85</v>
    <v>240.55</v>
    <v>246.8</v>
    <v>248.35</v>
    <v>247.85</v>
    <v>251.2</v>
    <v>253.95</v>
    <v>254.1</v>
    <v>252.55</v>
    <v>248</v>
    <v>271.14999999999998</v>
    <v>263.10000000000002</v>
    <v>270.95</v>
    <v>281.55</v>
    <v>292.14999999999998</v>
    <v>287.05</v>
    <v>291.45</v>
    <v>285.95</v>
    <v>290.5</v>
    <v>282</v>
    <v>286.3</v>
    <v>289.60000000000002</v>
    <v>285.8</v>
    <v>285.35000000000002</v>
    <v>287.14999999999998</v>
    <v>294.2</v>
    <v>289.45</v>
    <v>287.55</v>
    <v>299.2</v>
    <v>297</v>
    <v>300.95</v>
    <v>314.8</v>
    <v>289.25</v>
    <v>291.55</v>
    <v>296.35000000000002</v>
    <v>297.75</v>
    <v>296.5</v>
    <v>293.45</v>
    <v>338</v>
    <v>353.05</v>
    <v>353.95</v>
    <v>363.25</v>
    <v>355.25</v>
    <v>355.85</v>
    <v>347.15</v>
    <v>349.25</v>
    <v>351.3</v>
    <v>352.95</v>
    <v>355.5</v>
    <v>365.55</v>
    <v>359.45</v>
    <v>362.85</v>
    <v>363</v>
    <v>386.8</v>
    <v>444</v>
    <v>387.25</v>
    <v>397.4</v>
    <v>437.75</v>
    <v>430.15</v>
    <v>423.65</v>
    <v>437.45</v>
    <v>419.95</v>
    <v>419</v>
    <v>409.6</v>
    <v>410.65</v>
    <v>424.65</v>
    <v>432.35</v>
    <v>396.85</v>
    <v>363.3</v>
    <v>366.5</v>
    <v>376.4</v>
    <v>384.95</v>
    <v>378.7</v>
    <v>390.25</v>
    <v>389.8</v>
    <v>375.8</v>
    <v>380.35</v>
    <v>407.75</v>
    <v>424.85</v>
    <v>469.95</v>
    <v>454.45</v>
    <v>448.95</v>
    <v>446.55</v>
    <v>458.9</v>
    <v>440.65</v>
    <v>438.3</v>
    <v>418.2</v>
    <v>421.35</v>
    <v>411.25</v>
    <v>385.3</v>
    <v>308.25</v>
    <v>339.05</v>
    <v>350.75</v>
    <v>354</v>
    <v>346.8</v>
    <v>349.9</v>
    <v>358.05</v>
    <v>360.25</v>
    <v>364.25</v>
    <v>368.1</v>
    <v>363.75</v>
    <v>389</v>
    <v>390.05</v>
    <v>391.3</v>
    <v>385.55</v>
    <v>395.55</v>
    <v>391.9</v>
    <v>386.2</v>
    <v>382.9</v>
    <v>378.6</v>
    <v>366.4</v>
    <v>367</v>
    <v>364.1</v>
    <v>364.5</v>
    <v>379</v>
    <v>386.6</v>
    <v>396.25</v>
    <v>395.75</v>
    <v>403.6</v>
    <v>399.15</v>
  </a>
  <a r="1" c="248">
    <v>487.15</v>
    <v>489.5</v>
    <v>497.75</v>
    <v>500.3</v>
    <v>520</v>
    <v>521.70000000000005</v>
    <v>539.4</v>
    <v>547.25</v>
    <v>534</v>
    <v>546.6</v>
    <v>542.9</v>
    <v>532.85</v>
    <v>521.54999999999995</v>
    <v>535.79999999999995</v>
    <v>528.85</v>
    <v>529.85</v>
    <v>531.9</v>
    <v>528.35</v>
    <v>539.15</v>
    <v>536.5</v>
    <v>533.1</v>
    <v>541.54999999999995</v>
    <v>530.20000000000005</v>
    <v>531.75</v>
    <v>529.04999999999995</v>
    <v>528.04999999999995</v>
    <v>532.95000000000005</v>
    <v>530.6</v>
    <v>535.35</v>
    <v>528.85</v>
    <v>529.65</v>
    <v>509.85</v>
    <v>514.4</v>
    <v>520</v>
    <v>522.45000000000005</v>
    <v>515.79999999999995</v>
    <v>512.85</v>
    <v>514</v>
    <v>506.9</v>
    <v>516.35</v>
    <v>519.85</v>
    <v>514.9</v>
    <v>515.85</v>
    <v>514.85</v>
    <v>509.9</v>
    <v>515.79999999999995</v>
    <v>523.95000000000005</v>
    <v>535.29999999999995</v>
    <v>534.29999999999995</v>
    <v>540.15</v>
    <v>542.85</v>
    <v>542.4</v>
    <v>547.25</v>
    <v>544.4</v>
    <v>543.35</v>
    <v>553.95000000000005</v>
    <v>563.4</v>
    <v>572.1</v>
    <v>580.79999999999995</v>
    <v>594.70000000000005</v>
    <v>597.29999999999995</v>
    <v>591.54999999999995</v>
    <v>565.1</v>
    <v>570.1</v>
    <v>567.04999999999995</v>
    <v>554.6</v>
    <v>563.45000000000005</v>
    <v>557.75</v>
    <v>556.54999999999995</v>
    <v>556.5</v>
    <v>554.5</v>
    <v>560.35</v>
    <v>555.65</v>
    <v>549.70000000000005</v>
    <v>554.5</v>
    <v>566.9</v>
    <v>566.85</v>
    <v>590.9</v>
    <v>611.35</v>
    <v>586.79999999999995</v>
    <v>589</v>
    <v>585.95000000000005</v>
    <v>590.35</v>
    <v>579.95000000000005</v>
    <v>579.4</v>
    <v>595.6</v>
    <v>592.25</v>
    <v>583.25</v>
    <v>578.9</v>
    <v>575.04999999999995</v>
    <v>583.65</v>
    <v>591.9</v>
    <v>605.29999999999995</v>
    <v>583.65</v>
    <v>571.6</v>
    <v>587</v>
    <v>599.25</v>
    <v>598.9</v>
    <v>603.20000000000005</v>
    <v>590.95000000000005</v>
    <v>580.04999999999995</v>
    <v>569.4</v>
    <v>577.29999999999995</v>
    <v>590.4</v>
    <v>579.85</v>
    <v>583.4</v>
    <v>585.20000000000005</v>
    <v>573</v>
    <v>572.54999999999995</v>
    <v>569.1</v>
    <v>555.1</v>
    <v>554.25</v>
    <v>559.65</v>
    <v>560.6</v>
    <v>560.1</v>
    <v>559.65</v>
    <v>559.45000000000005</v>
    <v>558.6</v>
    <v>549.4</v>
    <v>540.5</v>
    <v>508.95</v>
    <v>512.75</v>
    <v>546.15</v>
    <v>551.20000000000005</v>
    <v>546.54999999999995</v>
    <v>541.5</v>
    <v>542.54999999999995</v>
    <v>541.45000000000005</v>
    <v>548.45000000000005</v>
    <v>556.15</v>
    <v>563.95000000000005</v>
    <v>562.6</v>
    <v>565.29999999999995</v>
    <v>565.25</v>
    <v>571</v>
    <v>559.95000000000005</v>
    <v>588.25</v>
    <v>579.20000000000005</v>
    <v>585.79999999999995</v>
    <v>579.25</v>
    <v>585.5</v>
    <v>578.15</v>
    <v>575.75</v>
    <v>568.15</v>
    <v>558.25</v>
    <v>554.79999999999995</v>
    <v>558</v>
    <v>562.15</v>
    <v>562.35</v>
    <v>578.75</v>
    <v>572.35</v>
    <v>577.25</v>
    <v>571.79999999999995</v>
    <v>570</v>
    <v>557.75</v>
    <v>555.95000000000005</v>
    <v>558.1</v>
    <v>552.79999999999995</v>
    <v>562.70000000000005</v>
    <v>560.35</v>
    <v>538</v>
    <v>571.4</v>
    <v>577</v>
    <v>578.85</v>
    <v>614.5</v>
    <v>631.79999999999995</v>
    <v>644.5</v>
    <v>645.65</v>
    <v>641.70000000000005</v>
    <v>638.04999999999995</v>
    <v>648.5</v>
    <v>647.1</v>
    <v>638.1</v>
    <v>637.54999999999995</v>
    <v>614.70000000000005</v>
    <v>606.70000000000005</v>
    <v>605.35</v>
    <v>599.5</v>
    <v>589.65</v>
    <v>577.1</v>
    <v>576.95000000000005</v>
    <v>584.95000000000005</v>
    <v>587.04999999999995</v>
    <v>579.95000000000005</v>
    <v>585.70000000000005</v>
    <v>585.4</v>
    <v>597.29999999999995</v>
    <v>596.9</v>
    <v>618.20000000000005</v>
    <v>629.25</v>
    <v>630.35</v>
    <v>639.5</v>
    <v>631.29999999999995</v>
    <v>627.4</v>
    <v>607.54999999999995</v>
    <v>619.35</v>
    <v>593.95000000000005</v>
    <v>583.4</v>
    <v>606.29999999999995</v>
    <v>613.20000000000005</v>
    <v>613.9</v>
    <v>614.79999999999995</v>
    <v>639.85</v>
    <v>612.29999999999995</v>
    <v>612.95000000000005</v>
    <v>649.25</v>
    <v>664.1</v>
    <v>688.1</v>
    <v>660.8</v>
    <v>689.35</v>
    <v>671.35</v>
    <v>694.2</v>
    <v>672.95</v>
    <v>680.2</v>
    <v>681.3</v>
    <v>684.35</v>
    <v>701.35</v>
    <v>686.95</v>
    <v>642.5</v>
    <v>638.9</v>
    <v>641.6</v>
    <v>663.05</v>
    <v>653.79999999999995</v>
    <v>637.85</v>
    <v>678.9</v>
    <v>691.45</v>
    <v>699.6</v>
    <v>681.45</v>
    <v>705.95</v>
    <v>684.2</v>
    <v>678.2</v>
    <v>670.5</v>
    <v>663.15</v>
    <v>662.6</v>
    <v>645.79999999999995</v>
    <v>644</v>
    <v>651.70000000000005</v>
    <v>680</v>
    <v>665.95</v>
    <v>677.4</v>
    <v>677.5</v>
    <v>681.25</v>
    <v>661.2</v>
    <v>665.1</v>
    <v>666.8</v>
    <v>667.4</v>
    <v>647.70000000000005</v>
    <v>636.85</v>
  </a>
  <a r="1" c="248">
    <v>311.60000000000002</v>
    <v>321</v>
    <v>318.95</v>
    <v>315.55</v>
    <v>330.1</v>
    <v>334.15</v>
    <v>332.55</v>
    <v>321.45</v>
    <v>310.64999999999998</v>
    <v>311.35000000000002</v>
    <v>315</v>
    <v>311.85000000000002</v>
    <v>310.39999999999998</v>
    <v>312.39999999999998</v>
    <v>312.10000000000002</v>
    <v>314.45</v>
    <v>334.8</v>
    <v>333.4</v>
    <v>334.85</v>
    <v>334.65</v>
    <v>331.75</v>
    <v>330.7</v>
    <v>340.5</v>
    <v>346.05</v>
    <v>341.65</v>
    <v>342.05</v>
    <v>348.85</v>
    <v>347.15</v>
    <v>340.5</v>
    <v>343.4</v>
    <v>360.1</v>
    <v>359</v>
    <v>366.75</v>
    <v>367.95</v>
    <v>364.5</v>
    <v>365.5</v>
    <v>364.75</v>
    <v>355.95</v>
    <v>350.65</v>
    <v>361.95</v>
    <v>366.7</v>
    <v>363.1</v>
    <v>366.65</v>
    <v>357</v>
    <v>350</v>
    <v>354.35</v>
    <v>367.7</v>
    <v>364.95</v>
    <v>358</v>
    <v>356.8</v>
    <v>352.75</v>
    <v>347.1</v>
    <v>351.5</v>
    <v>351.35</v>
    <v>353.05</v>
    <v>350.8</v>
    <v>350.8</v>
    <v>348.75</v>
    <v>348.65</v>
    <v>346.9</v>
    <v>341.15</v>
    <v>343.9</v>
    <v>337.8</v>
    <v>352</v>
    <v>358.3</v>
    <v>364.6</v>
    <v>384.35</v>
    <v>392.3</v>
    <v>400.15</v>
    <v>411.8</v>
    <v>410.35</v>
    <v>398.6</v>
    <v>388.25</v>
    <v>384.75</v>
    <v>390.25</v>
    <v>386.85</v>
    <v>381.35</v>
    <v>388.75</v>
    <v>391.25</v>
    <v>395.2</v>
    <v>390.05</v>
    <v>387.55</v>
    <v>391.5</v>
    <v>391.05</v>
    <v>400</v>
    <v>399.6</v>
    <v>396.45</v>
    <v>394.3</v>
    <v>406.6</v>
    <v>407.3</v>
    <v>405.2</v>
    <v>410.25</v>
    <v>407.4</v>
    <v>384.1</v>
    <v>388.1</v>
    <v>399.2</v>
    <v>400.95</v>
    <v>393.7</v>
    <v>395.1</v>
    <v>390.7</v>
    <v>386.6</v>
    <v>388.8</v>
    <v>385.3</v>
    <v>394.05</v>
    <v>390.9</v>
    <v>395.4</v>
    <v>397.45</v>
    <v>391.2</v>
    <v>394.65</v>
    <v>398.45</v>
    <v>399.15</v>
    <v>400.15</v>
    <v>400.3</v>
    <v>401.6</v>
    <v>404</v>
    <v>398.7</v>
    <v>400.25</v>
    <v>399.05</v>
    <v>396.4</v>
    <v>400.95</v>
    <v>362.4</v>
    <v>356.65</v>
    <v>359.1</v>
    <v>356.8</v>
    <v>361.35</v>
    <v>361.75</v>
    <v>358.9</v>
    <v>362.3</v>
    <v>364.3</v>
    <v>372.4</v>
    <v>369.95</v>
    <v>371.65</v>
    <v>369.7</v>
    <v>368.95</v>
    <v>371.3</v>
    <v>373.15</v>
    <v>369.95</v>
    <v>373.85</v>
    <v>369.85</v>
    <v>368.05</v>
    <v>373.7</v>
    <v>374.45</v>
    <v>369.35</v>
    <v>372.75</v>
    <v>370.75</v>
    <v>374.8</v>
    <v>380.85</v>
    <v>378.75</v>
    <v>379.25</v>
    <v>376.35</v>
    <v>379.1</v>
    <v>390.05</v>
    <v>383.65</v>
    <v>390.75</v>
    <v>388.25</v>
    <v>381.35</v>
    <v>385.55</v>
    <v>385.7</v>
    <v>399.35</v>
    <v>398.6</v>
    <v>388.3</v>
    <v>397.15</v>
    <v>414.55</v>
    <v>435.45</v>
    <v>432.3</v>
    <v>426.75</v>
    <v>430.2</v>
    <v>433.05</v>
    <v>435.65</v>
    <v>429.45</v>
    <v>430.55</v>
    <v>427.3</v>
    <v>418.7</v>
    <v>424.85</v>
    <v>419.4</v>
    <v>423.05</v>
    <v>416.15</v>
    <v>420.9</v>
    <v>414.8</v>
    <v>411.7</v>
    <v>415.05</v>
    <v>412.2</v>
    <v>401.85</v>
    <v>398.95</v>
    <v>400.9</v>
    <v>378.8</v>
    <v>374.2</v>
    <v>370.3</v>
    <v>381.35</v>
    <v>389.25</v>
    <v>392.6</v>
    <v>386.8</v>
    <v>398.65</v>
    <v>398.65</v>
    <v>395.05</v>
    <v>392.5</v>
    <v>390.9</v>
    <v>392.4</v>
    <v>391.75</v>
    <v>392.55</v>
    <v>399.85</v>
    <v>406.45</v>
    <v>401.25</v>
    <v>395.65</v>
    <v>400</v>
    <v>398.55</v>
    <v>395.45</v>
    <v>399.95</v>
    <v>405.05</v>
    <v>406.05</v>
    <v>409.8</v>
    <v>408.9</v>
    <v>417.55</v>
    <v>420.15</v>
    <v>410.65</v>
    <v>422</v>
    <v>409.85</v>
    <v>414.05</v>
    <v>400.6</v>
    <v>400.6</v>
    <v>400.9</v>
    <v>397.5</v>
    <v>387.25</v>
    <v>379.05</v>
    <v>383.9</v>
    <v>397.8</v>
    <v>397.65</v>
    <v>392.2</v>
    <v>392.35</v>
    <v>405.25</v>
    <v>415.25</v>
    <v>439.85</v>
    <v>437.4</v>
    <v>439.3</v>
    <v>462.45</v>
    <v>454.05</v>
    <v>459.5</v>
    <v>441.9</v>
    <v>429.95</v>
    <v>443.15</v>
    <v>431.4</v>
    <v>426.5</v>
    <v>430.05</v>
    <v>433.1</v>
    <v>434.4</v>
    <v>425.9</v>
    <v>436.95</v>
    <v>443.75</v>
  </a>
  <a r="1" c="248">
    <v>851.65</v>
    <v>843.35</v>
    <v>850.7</v>
    <v>841.65</v>
    <v>843.55</v>
    <v>842.8</v>
    <v>868.9</v>
    <v>899.8</v>
    <v>891.6</v>
    <v>876.25</v>
    <v>875.65</v>
    <v>880.3</v>
    <v>874.25</v>
    <v>867.2</v>
    <v>861.9</v>
    <v>867.25</v>
    <v>869.6</v>
    <v>875.45</v>
    <v>873</v>
    <v>875.45</v>
    <v>897.4</v>
    <v>902.1</v>
    <v>900.15</v>
    <v>900.85</v>
    <v>917.65</v>
    <v>907.15</v>
    <v>902.65</v>
    <v>900.4</v>
    <v>895.25</v>
    <v>902.2</v>
    <v>902.15</v>
    <v>924.5</v>
    <v>918.1</v>
    <v>923.35</v>
    <v>909.3</v>
    <v>914.15</v>
    <v>916.9</v>
    <v>905.1</v>
    <v>899.45</v>
    <v>909.35</v>
    <v>905.8</v>
    <v>900</v>
    <v>909</v>
    <v>906.45</v>
    <v>901.35</v>
    <v>903.4</v>
    <v>917.45</v>
    <v>917</v>
    <v>907.85</v>
    <v>906.05</v>
    <v>911</v>
    <v>900.85</v>
    <v>900.9</v>
    <v>911.35</v>
    <v>939.75</v>
    <v>941.9</v>
    <v>929.65</v>
    <v>921.7</v>
    <v>948.5</v>
    <v>947.35</v>
    <v>947.2</v>
    <v>953.15</v>
    <v>952.1</v>
    <v>946.1</v>
    <v>931.05</v>
    <v>927.05</v>
    <v>939.2</v>
    <v>933.75</v>
    <v>923.7</v>
    <v>929.05</v>
    <v>925</v>
    <v>947.7</v>
    <v>957.05</v>
    <v>929.9</v>
    <v>921.65</v>
    <v>928</v>
    <v>938.6</v>
    <v>929.95</v>
    <v>938.15</v>
    <v>929.15</v>
    <v>927</v>
    <v>931.4</v>
    <v>933.65</v>
    <v>929.5</v>
    <v>928.1</v>
    <v>944.9</v>
    <v>924.3</v>
    <v>930.55</v>
    <v>926.75</v>
    <v>924.9</v>
    <v>923.7</v>
    <v>924.35</v>
    <v>921.45</v>
    <v>912.5</v>
    <v>912.5</v>
    <v>908.3</v>
    <v>893.4</v>
    <v>901.55</v>
    <v>900.2</v>
    <v>910.75</v>
    <v>914.8</v>
    <v>904.3</v>
    <v>905.1</v>
    <v>903.3</v>
    <v>901.05</v>
    <v>900.65</v>
    <v>910.85</v>
    <v>905.75</v>
    <v>906.15</v>
    <v>905.4</v>
    <v>911.15</v>
    <v>903.55</v>
    <v>905.7</v>
    <v>913.8</v>
    <v>910.1</v>
    <v>915.35</v>
    <v>918.55</v>
    <v>927.5</v>
    <v>919.6</v>
    <v>903.2</v>
    <v>891.6</v>
    <v>884.5</v>
    <v>869.85</v>
    <v>896.25</v>
    <v>890.55</v>
    <v>898</v>
    <v>936.6</v>
    <v>910.45</v>
    <v>907.4</v>
    <v>907.6</v>
    <v>905.55</v>
    <v>909</v>
    <v>909.1</v>
    <v>905.55</v>
    <v>903.05</v>
    <v>901.1</v>
    <v>900.4</v>
    <v>899.8</v>
    <v>901.2</v>
    <v>901.35</v>
    <v>900.25</v>
    <v>897.45</v>
    <v>893.3</v>
    <v>887.7</v>
    <v>905.7</v>
    <v>898.25</v>
    <v>910.05</v>
    <v>915.1</v>
    <v>917.45</v>
    <v>914.45</v>
    <v>909.85</v>
    <v>910.45</v>
    <v>918.75</v>
    <v>916.55</v>
    <v>908.95</v>
    <v>921.3</v>
    <v>910</v>
    <v>911.15</v>
    <v>909.45</v>
    <v>908.25</v>
    <v>898.8</v>
    <v>897.85</v>
    <v>898.15</v>
    <v>895.5</v>
    <v>896.5</v>
    <v>895.35</v>
    <v>903.5</v>
    <v>903.4</v>
    <v>902.7</v>
    <v>899.2</v>
    <v>901.6</v>
    <v>902.05</v>
    <v>896.6</v>
    <v>895.05</v>
    <v>891.65</v>
    <v>900</v>
    <v>895.2</v>
    <v>891.85</v>
    <v>891.2</v>
    <v>885.35</v>
    <v>873.45</v>
    <v>871.55</v>
    <v>868.8</v>
    <v>854.8</v>
    <v>854.2</v>
    <v>851.35</v>
    <v>844.85</v>
    <v>845.2</v>
    <v>860.1</v>
    <v>847</v>
    <v>838.85</v>
    <v>845.65</v>
    <v>857.55</v>
    <v>878.75</v>
    <v>859.95</v>
    <v>851.9</v>
    <v>841.75</v>
    <v>867.7</v>
    <v>850.4</v>
    <v>847.6</v>
    <v>842.05</v>
    <v>837.35</v>
    <v>832.1</v>
    <v>841.05</v>
    <v>843</v>
    <v>840.5</v>
    <v>838.3</v>
    <v>834.8</v>
    <v>837.2</v>
    <v>835.7</v>
    <v>837.75</v>
    <v>831.95</v>
    <v>830.55</v>
    <v>834.15</v>
    <v>831.5</v>
    <v>838.4</v>
    <v>826.85</v>
    <v>817.85</v>
    <v>806</v>
    <v>803.2</v>
    <v>887.9</v>
    <v>854.75</v>
    <v>846.45</v>
    <v>834.05</v>
    <v>831.2</v>
    <v>830.8</v>
    <v>815.55</v>
    <v>776.1</v>
    <v>817.3</v>
    <v>822.65</v>
    <v>835.1</v>
    <v>838.4</v>
    <v>842.5</v>
    <v>840.45</v>
    <v>834.85</v>
    <v>826.05</v>
    <v>830.7</v>
    <v>830.2</v>
    <v>823.1</v>
    <v>820.2</v>
    <v>819.85</v>
    <v>814.15</v>
    <v>812.45</v>
    <v>821.8</v>
    <v>823.7</v>
    <v>840.45</v>
    <v>831.25</v>
    <v>832.25</v>
  </a>
  <a r="1" c="248">
    <v>32.35</v>
    <v>32.450000000000003</v>
    <v>33.15</v>
    <v>32.75</v>
    <v>33.1</v>
    <v>32.6</v>
    <v>32.25</v>
    <v>32.700000000000003</v>
    <v>32.75</v>
    <v>28.2</v>
    <v>27.55</v>
    <v>27.8</v>
    <v>27.55</v>
    <v>27.25</v>
    <v>27.25</v>
    <v>27.75</v>
    <v>27.55</v>
    <v>27.5</v>
    <v>27</v>
    <v>27.15</v>
    <v>27</v>
    <v>27.1</v>
    <v>27.25</v>
    <v>27.75</v>
    <v>27.8</v>
    <v>27.35</v>
    <v>28.6</v>
    <v>28.2</v>
    <v>28.1</v>
    <v>28.3</v>
    <v>28.25</v>
    <v>28.15</v>
    <v>28.05</v>
    <v>28.3</v>
    <v>28.35</v>
    <v>30.15</v>
    <v>29.35</v>
    <v>28.65</v>
    <v>28.55</v>
    <v>29.4</v>
    <v>29.05</v>
    <v>28.85</v>
    <v>29.05</v>
    <v>29.5</v>
    <v>29.05</v>
    <v>29.2</v>
    <v>29</v>
    <v>28.9</v>
    <v>28.65</v>
    <v>28.5</v>
    <v>28.35</v>
    <v>28.25</v>
    <v>33.9</v>
    <v>35.65</v>
    <v>33.75</v>
    <v>34.049999999999997</v>
    <v>32.75</v>
    <v>32.200000000000003</v>
    <v>32.450000000000003</v>
    <v>31.45</v>
    <v>33.950000000000003</v>
    <v>33.25</v>
    <v>32.65</v>
    <v>32.4</v>
    <v>33.15</v>
    <v>32.35</v>
    <v>32.549999999999997</v>
    <v>33.799999999999997</v>
    <v>33.4</v>
    <v>32.65</v>
    <v>32.9</v>
    <v>32.799999999999997</v>
    <v>33.65</v>
    <v>32.549999999999997</v>
    <v>33.299999999999997</v>
    <v>33.299999999999997</v>
    <v>32.25</v>
    <v>32.200000000000003</v>
    <v>32.4</v>
    <v>32.75</v>
    <v>35.4</v>
    <v>34.299999999999997</v>
    <v>34.15</v>
    <v>35.6</v>
    <v>35.950000000000003</v>
    <v>36.15</v>
    <v>35.75</v>
    <v>36.4</v>
    <v>36.9</v>
    <v>37.15</v>
    <v>36.9</v>
    <v>35.85</v>
    <v>37.299999999999997</v>
    <v>33.85</v>
    <v>34.65</v>
    <v>34</v>
    <v>33.450000000000003</v>
    <v>33.049999999999997</v>
    <v>33.15</v>
    <v>33</v>
    <v>33.049999999999997</v>
    <v>32.549999999999997</v>
    <v>32.450000000000003</v>
    <v>32.85</v>
    <v>32.299999999999997</v>
    <v>32.549999999999997</v>
    <v>32</v>
    <v>31.8</v>
    <v>32.049999999999997</v>
    <v>31.75</v>
    <v>30.35</v>
    <v>30.85</v>
    <v>31</v>
    <v>31</v>
    <v>31.15</v>
    <v>31.3</v>
    <v>33.4</v>
    <v>32.65</v>
    <v>33.5</v>
    <v>32.200000000000003</v>
    <v>29.55</v>
    <v>29.4</v>
    <v>29.15</v>
    <v>30.15</v>
    <v>29.9</v>
    <v>29.85</v>
    <v>30.55</v>
    <v>30.5</v>
    <v>31.5</v>
    <v>32.25</v>
    <v>31.8</v>
    <v>31.15</v>
    <v>31.3</v>
    <v>30.9</v>
    <v>31.15</v>
    <v>30.65</v>
    <v>30.85</v>
    <v>31.45</v>
    <v>32.75</v>
    <v>32</v>
    <v>31.55</v>
    <v>31.15</v>
    <v>32.5</v>
    <v>31.7</v>
    <v>31.85</v>
    <v>31.7</v>
    <v>31.45</v>
    <v>31.2</v>
    <v>32.5</v>
    <v>32.9</v>
    <v>34.1</v>
    <v>34.200000000000003</v>
    <v>33.4</v>
    <v>33.65</v>
    <v>35.700000000000003</v>
    <v>36.75</v>
    <v>35.65</v>
    <v>34.9</v>
    <v>37.9</v>
    <v>36.85</v>
    <v>33.65</v>
    <v>34.75</v>
    <v>35.5</v>
    <v>36.700000000000003</v>
    <v>35.35</v>
    <v>34.450000000000003</v>
    <v>33.950000000000003</v>
    <v>34.65</v>
    <v>34.15</v>
    <v>33.950000000000003</v>
    <v>34.049999999999997</v>
    <v>39.049999999999997</v>
    <v>41.4</v>
    <v>41.25</v>
    <v>42.1</v>
    <v>41.2</v>
    <v>39.799999999999997</v>
    <v>39.799999999999997</v>
    <v>37.549999999999997</v>
    <v>36.85</v>
    <v>37.049999999999997</v>
    <v>36.25</v>
    <v>37.950000000000003</v>
    <v>35</v>
    <v>35.25</v>
    <v>36.950000000000003</v>
    <v>37</v>
    <v>36.4</v>
    <v>37.549999999999997</v>
    <v>41.4</v>
    <v>41.85</v>
    <v>41.45</v>
    <v>44.8</v>
    <v>41.25</v>
    <v>41.6</v>
    <v>40.450000000000003</v>
    <v>37.299999999999997</v>
    <v>37.85</v>
    <v>38.9</v>
    <v>38.85</v>
    <v>40.15</v>
    <v>39.700000000000003</v>
    <v>40.200000000000003</v>
    <v>38.700000000000003</v>
    <v>39.299999999999997</v>
    <v>38.700000000000003</v>
    <v>37.799999999999997</v>
    <v>37.15</v>
    <v>35.35</v>
    <v>36.15</v>
    <v>35.799999999999997</v>
    <v>36.299999999999997</v>
    <v>35.6</v>
    <v>37.049999999999997</v>
    <v>36.25</v>
    <v>36.65</v>
    <v>35.049999999999997</v>
    <v>33.049999999999997</v>
    <v>29.55</v>
    <v>31.85</v>
    <v>31.2</v>
    <v>30.95</v>
    <v>29.75</v>
    <v>30.3</v>
    <v>30.6</v>
    <v>30.8</v>
    <v>29.85</v>
    <v>29.3</v>
    <v>30.05</v>
    <v>31.55</v>
    <v>32.75</v>
    <v>32.950000000000003</v>
    <v>33.35</v>
    <v>33.299999999999997</v>
    <v>32.35</v>
    <v>31.95</v>
    <v>32.200000000000003</v>
    <v>30.9</v>
    <v>30</v>
    <v>30.05</v>
    <v>29.8</v>
    <v>29.95</v>
    <v>30.1</v>
    <v>31.5</v>
    <v>31.95</v>
    <v>32.1</v>
    <v>31.3</v>
    <v>31.2</v>
  </a>
  <a r="1" c="248">
    <v>6643.25</v>
    <v>6678.45</v>
    <v>6721.3</v>
    <v>6660.25</v>
    <v>6779.3</v>
    <v>6991.95</v>
    <v>7121.85</v>
    <v>7198.35</v>
    <v>7078.6</v>
    <v>7031.6</v>
    <v>7115.7</v>
    <v>7099.15</v>
    <v>6995.6</v>
    <v>7027.35</v>
    <v>6931</v>
    <v>7023.05</v>
    <v>7032.45</v>
    <v>7261</v>
    <v>7467.1</v>
    <v>7494.95</v>
    <v>7422</v>
    <v>7421.55</v>
    <v>7634.5</v>
    <v>7695.95</v>
    <v>7698.15</v>
    <v>7604.5</v>
    <v>7693.05</v>
    <v>7844.65</v>
    <v>7817.6</v>
    <v>7858.5</v>
    <v>7852</v>
    <v>7749.9</v>
    <v>7786.55</v>
    <v>7640.2</v>
    <v>7683.25</v>
    <v>7770.45</v>
    <v>7790.75</v>
    <v>7667.25</v>
    <v>7481.95</v>
    <v>7507.75</v>
    <v>7546.2</v>
    <v>7586.15</v>
    <v>7588.5</v>
    <v>7546.3</v>
    <v>7513.8</v>
    <v>7553.05</v>
    <v>7535.35</v>
    <v>7541.65</v>
    <v>7487.25</v>
    <v>7453.15</v>
    <v>7431.25</v>
    <v>7568.05</v>
    <v>7730.75</v>
    <v>7719.5</v>
    <v>7542.75</v>
    <v>7558.9</v>
    <v>7494.3</v>
    <v>7310.85</v>
    <v>7256.7</v>
    <v>7228.85</v>
    <v>7226.7</v>
    <v>7231.05</v>
    <v>7223.05</v>
    <v>7159.4</v>
    <v>7185.05</v>
    <v>7187.2</v>
    <v>7168.85</v>
    <v>7182.45</v>
    <v>7177.9</v>
    <v>7162</v>
    <v>7159.95</v>
    <v>7084.8</v>
    <v>7113.75</v>
    <v>7073.45</v>
    <v>7065.6</v>
    <v>7080.2</v>
    <v>7008.15</v>
    <v>7016.8</v>
    <v>7024.05</v>
    <v>7106.75</v>
    <v>7278.65</v>
    <v>7301.45</v>
    <v>7374.15</v>
    <v>7383.35</v>
    <v>7402.05</v>
    <v>7247.1</v>
    <v>7284.1</v>
    <v>7319.8</v>
    <v>7405.3</v>
    <v>7356.2</v>
    <v>7399.05</v>
    <v>7366.2</v>
    <v>7402.15</v>
    <v>7366.85</v>
    <v>7264.4</v>
    <v>7310.65</v>
    <v>7234.65</v>
    <v>7288.15</v>
    <v>7301.9</v>
    <v>7285.95</v>
    <v>7254.85</v>
    <v>7267.75</v>
    <v>7310.9</v>
    <v>7301.7</v>
    <v>7228</v>
    <v>7227.15</v>
    <v>7210.7</v>
    <v>7281.9</v>
    <v>7257.2</v>
    <v>7302.75</v>
    <v>7299.4</v>
    <v>7359.4</v>
    <v>7315.1</v>
    <v>7355.3</v>
    <v>7443.75</v>
    <v>7477.05</v>
    <v>7445.35</v>
    <v>7608.9</v>
    <v>7704.05</v>
    <v>7564.4</v>
    <v>7336.45</v>
    <v>7545.25</v>
    <v>7463.5</v>
    <v>7601.6</v>
    <v>7639.25</v>
    <v>7625.2</v>
    <v>7483.4</v>
    <v>7496.9</v>
    <v>7617</v>
    <v>7831.6</v>
    <v>8171.15</v>
    <v>8242.9</v>
    <v>8050.9</v>
    <v>8055.05</v>
    <v>8139.05</v>
    <v>8086.8</v>
    <v>8194.75</v>
    <v>8459.15</v>
    <v>8306.6</v>
    <v>8284.7000000000007</v>
    <v>8423.25</v>
    <v>8389.7000000000007</v>
    <v>8380.35</v>
    <v>8334.5499999999993</v>
    <v>8306.2000000000007</v>
    <v>8388.5499999999993</v>
    <v>8252.7999999999993</v>
    <v>8423.25</v>
    <v>8402.7999999999993</v>
    <v>8392.1</v>
    <v>8454.5499999999993</v>
    <v>8365.4500000000007</v>
    <v>8365.85</v>
    <v>8446.25</v>
    <v>8901.9</v>
    <v>8858.75</v>
    <v>8985.65</v>
    <v>9053.6</v>
    <v>9087.35</v>
    <v>8900.75</v>
    <v>8608.35</v>
    <v>8770.4500000000007</v>
    <v>8870.65</v>
    <v>8860.2999999999993</v>
    <v>8801.5</v>
    <v>8757.9500000000007</v>
    <v>8753.4500000000007</v>
    <v>8744.2000000000007</v>
    <v>8711.4500000000007</v>
    <v>8607.5499999999993</v>
    <v>8639.65</v>
    <v>8645.85</v>
    <v>8584.15</v>
    <v>8643.6</v>
    <v>8755.4500000000007</v>
    <v>8720.7999999999993</v>
    <v>8737.25</v>
    <v>8716.65</v>
    <v>8604.5499999999993</v>
    <v>8597.7999999999993</v>
    <v>8310.7000000000007</v>
    <v>8307.2999999999993</v>
    <v>8290.25</v>
    <v>8195.7000000000007</v>
    <v>7768.45</v>
    <v>7667.15</v>
    <v>7694</v>
    <v>7594.8</v>
    <v>7605.15</v>
    <v>7640.9</v>
    <v>7641</v>
    <v>7601</v>
    <v>7721.8</v>
    <v>7790.15</v>
    <v>7726.4</v>
    <v>7629.35</v>
    <v>7498.6</v>
    <v>7443.3</v>
    <v>7429.55</v>
    <v>7470.2</v>
    <v>7513.45</v>
    <v>7708.65</v>
    <v>7776.3</v>
    <v>7746.2</v>
    <v>7791.05</v>
    <v>7812.3</v>
    <v>7706.9</v>
    <v>7640.6</v>
    <v>7593.65</v>
    <v>7811.05</v>
    <v>7745.25</v>
    <v>7792.65</v>
    <v>7692.9</v>
    <v>7662.45</v>
    <v>7602.3</v>
    <v>7686.75</v>
    <v>7702.95</v>
    <v>7573.9</v>
    <v>7392.8</v>
    <v>7730.6</v>
    <v>7707</v>
    <v>7702.7</v>
    <v>7635.85</v>
    <v>7556.5</v>
    <v>7704.75</v>
    <v>7665</v>
    <v>7693.75</v>
    <v>7674.8</v>
    <v>7785.15</v>
    <v>7745.3</v>
    <v>7701.75</v>
    <v>7997.9</v>
    <v>8027.5</v>
    <v>8041.55</v>
    <v>7922.45</v>
    <v>7900.05</v>
    <v>7846.75</v>
    <v>7753.75</v>
    <v>7525.75</v>
    <v>7530</v>
    <v>7493.35</v>
    <v>7451</v>
    <v>7436.65</v>
    <v>7395.2</v>
    <v>7030.15</v>
    <v>7093.9</v>
    <v>7103.7</v>
    <v>7102.6</v>
  </a>
  <a r="1" c="248">
    <v>3219.4</v>
    <v>3179.9</v>
    <v>3220.7</v>
    <v>3230.7</v>
    <v>3250.6</v>
    <v>3283.25</v>
    <v>3286.8</v>
    <v>3282.15</v>
    <v>3274.3</v>
    <v>3255.05</v>
    <v>3258.15</v>
    <v>3208.7</v>
    <v>3199.85</v>
    <v>3222.85</v>
    <v>3298.7</v>
    <v>3297.05</v>
    <v>3303.35</v>
    <v>3293.5</v>
    <v>3328.9</v>
    <v>3320.35</v>
    <v>3316.2</v>
    <v>3289.5</v>
    <v>3324</v>
    <v>3305.6</v>
    <v>3288.9</v>
    <v>3232.3</v>
    <v>3274.9</v>
    <v>3236.45</v>
    <v>3209.3</v>
    <v>3246.9</v>
    <v>3243.7</v>
    <v>3251.05</v>
    <v>3216.3</v>
    <v>3174.9</v>
    <v>3210.4</v>
    <v>3227.7</v>
    <v>3258.2</v>
    <v>3238.5</v>
    <v>3216.35</v>
    <v>3189.65</v>
    <v>3197.35</v>
    <v>3215.45</v>
    <v>3302.25</v>
    <v>3272.3</v>
    <v>3308.85</v>
    <v>3319.95</v>
    <v>3322.9</v>
    <v>3329.25</v>
    <v>3271.95</v>
    <v>3272.4</v>
    <v>3259.9</v>
    <v>3340.55</v>
    <v>3514.65</v>
    <v>3491.7</v>
    <v>3496.85</v>
    <v>3470.05</v>
    <v>3463.3</v>
    <v>3368.3</v>
    <v>3394.75</v>
    <v>3399.15</v>
    <v>3388.3</v>
    <v>3396.9</v>
    <v>3355.4</v>
    <v>3421.45</v>
    <v>3452.05</v>
    <v>3440.65</v>
    <v>3399.95</v>
    <v>3443.55</v>
    <v>3484.05</v>
    <v>3470.6</v>
    <v>3462.5</v>
    <v>3442.1</v>
    <v>3448.8</v>
    <v>3449.85</v>
    <v>3458.4</v>
    <v>3435.75</v>
    <v>3367.1</v>
    <v>3401.65</v>
    <v>3382.15</v>
    <v>3398.25</v>
    <v>3387.75</v>
    <v>3381.3</v>
    <v>3375.55</v>
    <v>3376.15</v>
    <v>3390.95</v>
    <v>3356.8</v>
    <v>3379.2</v>
    <v>3418.5</v>
    <v>3429.35</v>
    <v>3429.9</v>
    <v>3455.25</v>
    <v>3441.9</v>
    <v>3480.65</v>
    <v>3580.8</v>
    <v>3567.85</v>
    <v>3560.05</v>
    <v>3598.3</v>
    <v>3606.15</v>
    <v>3606.05</v>
    <v>3585.3</v>
    <v>3603.65</v>
    <v>3577.15</v>
    <v>3585.7</v>
    <v>3589.3</v>
    <v>3536.75</v>
    <v>3528.6</v>
    <v>3513.85</v>
    <v>3537.75</v>
    <v>3589.35</v>
    <v>3621.4</v>
    <v>3638.35</v>
    <v>3628.9</v>
    <v>3609.9</v>
    <v>3542.55</v>
    <v>3570.85</v>
    <v>3524.05</v>
    <v>3507.05</v>
    <v>3487.25</v>
    <v>3455.65</v>
    <v>3494.55</v>
    <v>3410.15</v>
    <v>3390.1</v>
    <v>3336.75</v>
    <v>3350.95</v>
    <v>3378.55</v>
    <v>3368.75</v>
    <v>3330.65</v>
    <v>3360.1</v>
    <v>3350.9</v>
    <v>3380.25</v>
    <v>3370.45</v>
    <v>3381.55</v>
    <v>3347.45</v>
    <v>3333.45</v>
    <v>3357.3</v>
    <v>3331.55</v>
    <v>3404.3</v>
    <v>3497.85</v>
    <v>3502.45</v>
    <v>3519.6</v>
    <v>3510.2</v>
    <v>3530.15</v>
    <v>3508.25</v>
    <v>3457.1</v>
    <v>3470.15</v>
    <v>3513.75</v>
    <v>3487.6</v>
    <v>3511.65</v>
    <v>3512.45</v>
    <v>3531.6</v>
    <v>3604.1</v>
    <v>3614.9</v>
    <v>3626.7</v>
    <v>3642.9</v>
    <v>3672.1</v>
    <v>3593.55</v>
    <v>3667.25</v>
    <v>3861</v>
    <v>3859.2</v>
    <v>3816.2</v>
    <v>3780.05</v>
    <v>3787.5</v>
    <v>3824</v>
    <v>3795.55</v>
    <v>3811.2</v>
    <v>3799.9</v>
    <v>3793.4</v>
    <v>3811.1</v>
    <v>3783.2</v>
    <v>3691.75</v>
    <v>3666.8</v>
    <v>3737.9</v>
    <v>3678.3</v>
    <v>3689.9</v>
    <v>3713.05</v>
    <v>3735.55</v>
    <v>3882.8</v>
    <v>3903.8</v>
    <v>3861.3</v>
    <v>3884.6</v>
    <v>3902.6</v>
    <v>3943.05</v>
    <v>3860.65</v>
    <v>3858.25</v>
    <v>3841.8</v>
    <v>3810.3</v>
    <v>3801</v>
    <v>3800.55</v>
    <v>3815.95</v>
    <v>3854.15</v>
    <v>3966.3</v>
    <v>3973.3</v>
    <v>4136</v>
    <v>4083.4</v>
    <v>4134.1000000000004</v>
    <v>4133.7</v>
    <v>4120.7</v>
    <v>4149.5</v>
    <v>4100.1000000000004</v>
    <v>4103.2</v>
    <v>4128.3</v>
    <v>4103.8</v>
    <v>4030.65</v>
    <v>3991.5</v>
    <v>4087.1</v>
    <v>4052.1</v>
    <v>4001.05</v>
    <v>4104.3999999999996</v>
    <v>4118.95</v>
    <v>4095.1</v>
    <v>4094.35</v>
    <v>4107.1000000000004</v>
    <v>4080.7</v>
    <v>4012.1</v>
    <v>4064.3</v>
    <v>4108.6000000000004</v>
    <v>4122.3500000000004</v>
    <v>4192.25</v>
    <v>4149</v>
    <v>4207.6000000000004</v>
    <v>4219.25</v>
    <v>4152.5</v>
    <v>3977.3</v>
    <v>3970.9</v>
    <v>3972.95</v>
    <v>3910.9</v>
    <v>3877.5</v>
    <v>3840.9</v>
    <v>3876.3</v>
    <v>3916.75</v>
    <v>3883.8</v>
    <v>3947.3</v>
    <v>4003.3</v>
    <v>3979.25</v>
    <v>3972.55</v>
    <v>3946.55</v>
    <v>3984.65</v>
    <v>4001.4</v>
    <v>3941.2</v>
    <v>3872.8</v>
    <v>3862</v>
    <v>3826.2</v>
    <v>3864.6</v>
    <v>3874.7</v>
    <v>3831.05</v>
    <v>3852.2</v>
    <v>3821.35</v>
    <v>3870.2</v>
  </a>
</arrayData>
</file>

<file path=xl/richData/rdrichvalue.xml><?xml version="1.0" encoding="utf-8"?>
<rvData xmlns="http://schemas.microsoft.com/office/spreadsheetml/2017/richdata" count="11240">
  <rv s="0">
    <v>https://www.bing.com/financeapi/forcetrigger?t=ahgqim&amp;q=XNSE%3aABCAPITAL&amp;form=skydnc</v>
    <v>Learn more on Bing</v>
  </rv>
  <rv s="1">
    <v>en-US</v>
    <v>ahgqim</v>
    <v>268435456</v>
    <v>1</v>
    <v>Powered by Refinitiv</v>
    <v>0</v>
    <v>ADITYA BIRLA CAPITAL LIMITED (XNSE:ABCAPITAL)</v>
    <v>2</v>
    <v>3</v>
    <v>Finance</v>
    <v>4</v>
    <v>241.65</v>
    <v>155</v>
    <v>1.6835</v>
    <v>9.35</v>
    <v>4.0423999999999995E-2</v>
    <v>INR</v>
    <v>Aditya Birla Capital Limited is an India-based investment company. The Company, through its subsidiaries, is engaged in the provision of financial services consisting of lending, both as a non-banking financial institution (NBFC) and as a housing finance institution, life and health insurance, asset management, general insurance and stock broking and others. Its offerings include protecting, investing, financing, and advisory services. The Company's segments include NBFC, Housing Finance, Life Insurance, Asset Management, General Insurance Broking, Stock and Securities Broking, Health Insurance and Other Financial Services, which includes general insurance advisory, asset reconstruction and private equity. The Company's subsidiaries include Aditya Birla Finance Limited, Aditya Birla Housing Finance Limited, Aditya Birla Money Limited, Aditya Birla Insurance Brokers Limited, Aditya Birla Money Mart Limited, and Aditya Birla Money Insurance Advisory Services Limited and others.</v>
    <v>34000</v>
    <v>National Stock Exchange of India</v>
    <v>XNSE</v>
    <v>XNSE</v>
    <v>One World Centre, Tower 1, 18th Floor, Jupiter Mill Compound, 841, Senapati Bapat Marg, Elphinstone Road, MUMBAI, MAHARASHTRA, 400013 IN</v>
    <v>241.65</v>
    <v>Insurance</v>
    <v>Stock</v>
    <v>45411.486643518518</v>
    <v>0</v>
    <v>229.7</v>
    <v>601504600000</v>
    <v>ADITYA BIRLA CAPITAL LIMITED</v>
    <v>ADITYA BIRLA CAPITAL LIMITED</v>
    <v>233</v>
    <v>22.4146</v>
    <v>231.3</v>
    <v>240.65</v>
    <v>2600539000</v>
    <v>ABCAPITAL</v>
    <v>ADITYA BIRLA CAPITAL LIMITED (XNSE:ABCAPITAL)</v>
    <v>18028623</v>
    <v>15070990</v>
    <v>2007</v>
  </rv>
  <rv s="2">
    <v>1</v>
  </rv>
  <rv s="0">
    <v>https://www.bing.com/financeapi/forcetrigger?t=br7hhw&amp;q=XNSE%3aAFFLE&amp;form=skydnc</v>
    <v>Learn more on Bing</v>
  </rv>
  <rv s="1">
    <v>en-US</v>
    <v>br7hhw</v>
    <v>268435456</v>
    <v>1</v>
    <v>Powered by Refinitiv</v>
    <v>0</v>
    <v>AFFLE (INDIA) LIMITED (XNSE:AFFLE)</v>
    <v>2</v>
    <v>3</v>
    <v>Finance</v>
    <v>4</v>
    <v>1336.9</v>
    <v>866.5</v>
    <v>1.6782999999999999</v>
    <v>0.35</v>
    <v>3.166E-4</v>
    <v>INR</v>
    <v>Affle (India) Limited is a global technology company. The Company provides a consumer intelligence platform that delivers consumer engagement, acquisitions, and transactions through relevant mobile advertising. Its segments include the Consumer Platform and the Enterprise Platform. The Consumer Platform segment delivers consumer recommendations and conversions through relevant mobile advertising. Its user acquisition and engagement solutions help applications, businesses, and brands to advertise and discover as well as re-engage their valuable customers. The Enterprise Platform segment offers an array of digital transformation services to build audience-centric digital assets. Its platforms include appnext, Jampp, MAAS, RevX, and Vizury, among others. It also provides end-to-end solutions for enterprises to enhance their engagement with mobile users, such as developing applications, enabling offline to online commerce for offline businesses with e-commerce aspirations and others.</v>
    <v>562</v>
    <v>National Stock Exchange of India</v>
    <v>XNSE</v>
    <v>XNSE</v>
    <v>8th floor, Unitech Commercial Tower - 2, Sector - 45, GURGAON, HARYANA, 122003 IN</v>
    <v>1131</v>
    <v>Media &amp; Publishing</v>
    <v>Stock</v>
    <v>45411.486643518518</v>
    <v>3</v>
    <v>1093</v>
    <v>154871400000</v>
    <v>AFFLE (INDIA) LIMITED</v>
    <v>AFFLE (INDIA) LIMITED</v>
    <v>1093</v>
    <v>53.988100000000003</v>
    <v>1105.4000000000001</v>
    <v>1105.75</v>
    <v>140104400</v>
    <v>AFFLE</v>
    <v>AFFLE (INDIA) LIMITED (XNSE:AFFLE)</v>
    <v>418132</v>
    <v>222360</v>
    <v>1994</v>
  </rv>
  <rv s="2">
    <v>4</v>
  </rv>
  <rv s="0">
    <v>https://www.bing.com/financeapi/forcetrigger?t=ahgz6h&amp;q=XNSE%3aASIANPAINT&amp;form=skydnc</v>
    <v>Learn more on Bing</v>
  </rv>
  <rv s="1">
    <v>en-US</v>
    <v>ahgz6h</v>
    <v>268435456</v>
    <v>1</v>
    <v>Powered by Refinitiv</v>
    <v>0</v>
    <v>ASIAN PAINTS LIMITED (XNSE:ASIANPAINT)</v>
    <v>2</v>
    <v>3</v>
    <v>Finance</v>
    <v>4</v>
    <v>3568</v>
    <v>2766.15</v>
    <v>0.63370000000000004</v>
    <v>24.05</v>
    <v>8.456E-3</v>
    <v>INR</v>
    <v>Asian Paints Limited is an India-based company, which is engaged in the business of manufacturing, selling and distribution of paints, coatings, products related to home decor, bath fittings and providing related services. The Company operates through the Paints and Home Decor segment. The Company manufactures paints, varnishes, enamels, and thinners. It also manufactures organic and inorganic chemical compounds; metal sanitary ware such as bath, sinks, washbasins and similar articles and cosmetics and toiletries. Its Home Decor business offers modular kitchens and wardrobes, bath fittings and sanitaryware, decorative lightings, unplasticized polyvinyl chloride (uPVC) windows and doors, wall coverings, furniture, furnishing, and rugs. It offers a range of services, such as interior design service, safe painting service, wood solutions, waterproofing solutions, color consultancy online and contractor finder services.</v>
    <v>8056</v>
    <v>National Stock Exchange of India</v>
    <v>XNSE</v>
    <v>XNSE</v>
    <v>Asian Paints House, 6A, Shantinagar, Santacruz (EAST), MUMBAI, MAHARASHTRA, 400055 IN</v>
    <v>2873.95</v>
    <v>Chemicals</v>
    <v>Stock</v>
    <v>45411.486643518518</v>
    <v>6</v>
    <v>2839</v>
    <v>2727091000000</v>
    <v>ASIAN PAINTS LIMITED</v>
    <v>ASIAN PAINTS LIMITED</v>
    <v>2844.15</v>
    <v>50.524999999999999</v>
    <v>2844.15</v>
    <v>2868.2</v>
    <v>958842200</v>
    <v>ASIANPAINT</v>
    <v>ASIAN PAINTS LIMITED (XNSE:ASIANPAINT)</v>
    <v>566219</v>
    <v>1117550</v>
    <v>1945</v>
  </rv>
  <rv s="2">
    <v>7</v>
  </rv>
  <rv s="0">
    <v>https://www.bing.com/financeapi/forcetrigger?t=bwd9im&amp;q=XNSE%3aCAMS&amp;form=skydnc</v>
    <v>Learn more on Bing</v>
  </rv>
  <rv s="1">
    <v>en-US</v>
    <v>bwd9im</v>
    <v>268435456</v>
    <v>1</v>
    <v>Powered by Refinitiv</v>
    <v>0</v>
    <v>COMPUTER AGE MANAGEMENT SERVICES LIMITED (XNSE:CAMS)</v>
    <v>2</v>
    <v>3</v>
    <v>Finance</v>
    <v>4</v>
    <v>3340</v>
    <v>2026.2</v>
    <v>0.60560000000000003</v>
    <v>85.15</v>
    <v>2.6554999999999999E-2</v>
    <v>INR</v>
    <v>Computer Age Management Services Limited is an India-based technology company focused on the capital markets, and banking, financial services and insurance (BFSI). The Company provides financial infrastructure and services to mutual funds (MFs), alternative investment funds (AIFs), insurance companies and other financial institutions. It also provides services in electronic payments, know your customer (KYC) and national pension system (NPS) registration, insurance repository services and account aggregation. It offers platform-based services to investors, such as digital on-boarding, anti-money laundering (AML) services, fund accounting and reporting, reconciliation and creation of management information system and reporting systems to alternative investment and other types of funds. It offers a policyholder platform through insurance repository to hold policies in dematerialized form. It provides account aggregator services to banks, NBFCs and investment advisors, amongst others.</v>
    <v>5174</v>
    <v>National Stock Exchange of India</v>
    <v>XNSE</v>
    <v>XNSE</v>
    <v>No.158, Rayala Towers, Tower - I, 3rd Floor, Anna Salai,, CHENNAI, TAMIL NADU, 600 002 IN</v>
    <v>3326</v>
    <v>Professional &amp; Commercial Services</v>
    <v>Stock</v>
    <v>45411.486655092594</v>
    <v>9</v>
    <v>3219.7</v>
    <v>157577400000</v>
    <v>COMPUTER AGE MANAGEMENT SERVICES LIMITED</v>
    <v>COMPUTER AGE MANAGEMENT SERVICES LIMITED</v>
    <v>3230</v>
    <v>48.45</v>
    <v>3206.5</v>
    <v>3291.65</v>
    <v>49143120</v>
    <v>CAMS</v>
    <v>COMPUTER AGE MANAGEMENT SERVICES LIMITED (XNSE:CAMS)</v>
    <v>424255</v>
    <v>485740</v>
    <v>1988</v>
  </rv>
  <rv s="2">
    <v>10</v>
  </rv>
  <rv s="0">
    <v>https://www.bing.com/financeapi/forcetrigger?t=ahhcf2&amp;q=XNSE%3aCDSL&amp;form=skydnc</v>
    <v>Learn more on Bing</v>
  </rv>
  <rv s="1">
    <v>en-US</v>
    <v>ahhcf2</v>
    <v>268435456</v>
    <v>1</v>
    <v>Powered by Refinitiv</v>
    <v>0</v>
    <v>CENTRAL DEPOSITORY SERVICES (INDIA) LIMITED (XNSE:CDSL)</v>
    <v>2</v>
    <v>3</v>
    <v>Finance</v>
    <v>4</v>
    <v>2195.35</v>
    <v>973.5</v>
    <v>0.83760000000000001</v>
    <v>-9.75</v>
    <v>-4.5999999999999999E-3</v>
    <v>INR</v>
    <v>Central Depository Services (India) Limited is an India-based company, which is engaged in providing depository services, data processing services, and others. The Company operates through three segments: Depository Segment, Data Entry and Storage, and Repository. Depository Segment includes providing various services to the investors like dematerialization, rematerialization, holding, transfer and pledge of securities in electronic form and providing e-voting services to companies. Data Entry and Storage segment relates to Centralized record keeping of Know Your Customer (KYC) documents of capital market investors. Repository segment provides policyholders/warehouse receipts holder a facility to keep insurance policies/ warehouse receipts in electronic form and to undertake changes, modifications and revisions in the policy/receipt. It also offers e-Locker, Myeasi Mobile App, M-Voting, e-Voting, SMART, and electronic access to securities information &amp; execution of secure transactions.</v>
    <v>279</v>
    <v>National Stock Exchange of India</v>
    <v>XNSE</v>
    <v>XNSE</v>
    <v>Marathon Futurex, Unit No, A-2501, Mafatlal Mills, Compound, N. M. Joshi Marg,, MUMBAI, MAHARASHTRA, 400013 IN</v>
    <v>2128</v>
    <v>Investment Banking &amp; Investment Services</v>
    <v>Stock</v>
    <v>45411.486655092594</v>
    <v>12</v>
    <v>2051.5500000000002</v>
    <v>221487800000</v>
    <v>CENTRAL DEPOSITORY SERVICES (INDIA) LIMITED</v>
    <v>CENTRAL DEPOSITORY SERVICES (INDIA) LIMITED</v>
    <v>2103</v>
    <v>62.75</v>
    <v>2119.5</v>
    <v>2109.75</v>
    <v>104500000</v>
    <v>CDSL</v>
    <v>CENTRAL DEPOSITORY SERVICES (INDIA) LIMITED (XNSE:CDSL)</v>
    <v>1790696</v>
    <v>3239540</v>
    <v>1997</v>
  </rv>
  <rv s="2">
    <v>13</v>
  </rv>
  <rv s="0">
    <v>https://www.bing.com/financeapi/forcetrigger?t=c2rtxm&amp;q=XNSE%3aCLEAN&amp;form=skydnc</v>
    <v>Learn more on Bing</v>
  </rv>
  <rv s="1">
    <v>en-US</v>
    <v>c2rtxm</v>
    <v>268435456</v>
    <v>1</v>
    <v>Powered by Refinitiv</v>
    <v>0</v>
    <v>CLEAN SCIENCE AND TECHNOLOGY LIMITED (XNSE:CLEAN)</v>
    <v>2</v>
    <v>3</v>
    <v>Finance</v>
    <v>4</v>
    <v>1622</v>
    <v>1277.2</v>
    <v>1.127</v>
    <v>10.199999999999999</v>
    <v>7.7690000000000007E-3</v>
    <v>INR</v>
    <v>Clean Science and Technology Limited is an India-based fine and specialty chemical manufacturing company. The Company is engaged in the business of manufacturing organic and inorganic chemicals. It operates through the Speciality Chemicals segment. Its specialty chemical chemistry is diversified into three segments, such as FMCG Chemical, Performance Chemicals, and Pharmaceutical Chemicals. Its FMCG chemicals include Anisole, 4-Methoxy Acetophenone, Guaiacol, Butylated Hydroxy Anisole, Tertiary Butyl Hydroquinone, Ortho Methoxy Toluene, and L-Ascorbyl Palmitate, among others. Its performance chemicals include Clean Light Stab 770, 4-Hydroxy Tempo, Monomethyl Ether of Hydroquinone, 2,5-Di-Tertiary Butyl Hydroquinone, Tertiary Butyl Hydroquinone, Dimethyl Sebacate (DMS), and others. Its pharma and agro intermediates include Para Benzoquinone, Para Di-Methoxy Benzene (1,4-DMB), Ortho Methoxy Toluene, and others. The Company caters to both domestic and international markets.</v>
    <v>502</v>
    <v>National Stock Exchange of India</v>
    <v>XNSE</v>
    <v>XNSE</v>
    <v>Plot No. D-28, MIDC, Kurkumbh, Tal. Daund, PUNE, MAHARASHTRA, 413802 IN</v>
    <v>1333</v>
    <v>Chemicals</v>
    <v>Stock</v>
    <v>45411.486655092594</v>
    <v>15</v>
    <v>1311.1</v>
    <v>139503600000</v>
    <v>CLEAN SCIENCE AND TECHNOLOGY LIMITED</v>
    <v>CLEAN SCIENCE AND TECHNOLOGY LIMITED</v>
    <v>1333</v>
    <v>54.88</v>
    <v>1312.95</v>
    <v>1323.15</v>
    <v>106252000</v>
    <v>CLEAN</v>
    <v>CLEAN SCIENCE AND TECHNOLOGY LIMITED (XNSE:CLEAN)</v>
    <v>87408</v>
    <v>105510</v>
    <v>2003</v>
  </rv>
  <rv s="2">
    <v>16</v>
  </rv>
  <rv s="0">
    <v>https://www.bing.com/financeapi/forcetrigger?t=ahhhk2&amp;q=XNSE%3aDABUR&amp;form=skydnc</v>
    <v>Learn more on Bing</v>
  </rv>
  <rv s="1">
    <v>en-US</v>
    <v>ahhhk2</v>
    <v>268435456</v>
    <v>1</v>
    <v>Powered by Refinitiv</v>
    <v>0</v>
    <v>DABUR INDIA LIMITED (XNSE:DABUR)</v>
    <v>2</v>
    <v>3</v>
    <v>Finance</v>
    <v>4</v>
    <v>597.1</v>
    <v>489.2</v>
    <v>0.38150000000000001</v>
    <v>-2.2999999999999998</v>
    <v>-4.5190000000000004E-3</v>
    <v>INR</v>
    <v>Dabur India Limited is a fast-moving consumer goods (FMCG) company. Its segments include Consumer care business, Food business, Retail business and Other segments. Its Consumer care business segment includes home care, personal care, and health care. Its Food business segment includes juices, beverages, and culinary. Its Retail business segment includes retail stores. Its Other segments include Guar gum, pharma and others. Its product categories include hair care, oral care, health care, skin care, home care and Energizers, Ethicals. Its FMCG portfolio includes eight brands, including Dabur Chyawanprash, Dabur Honey, Dabur PudinHara, Dabur Lal Tail and Dabur Honitus in the healthcare space; Dabur Amla and Dabur Red Paste in the personal care category, and Real in the food and Beverage’s category. In addition, Vatika is an international brand. Its products include Real Juices, Dabur Red Paste, Odonil, Odomos, Dabur Hommade Tasty Masala, Rheumatil Oil, Dabur Badam Oil, and Odopic.</v>
    <v>5321</v>
    <v>National Stock Exchange of India</v>
    <v>XNSE</v>
    <v>XNSE</v>
    <v>Dabur Corporate Office,, Kaushambi, Sahibabad, Ghaziabad, GHAZIABAD, UTTAR PRADESH, 201010 IN</v>
    <v>512.79999999999995</v>
    <v>Personal &amp; Household Products &amp; Services</v>
    <v>Stock</v>
    <v>45411.486655092594</v>
    <v>18</v>
    <v>506</v>
    <v>901967900000</v>
    <v>DABUR INDIA LIMITED</v>
    <v>DABUR INDIA LIMITED</v>
    <v>512.4</v>
    <v>50.0276</v>
    <v>509</v>
    <v>506.7</v>
    <v>1772039000</v>
    <v>DABUR</v>
    <v>DABUR INDIA LIMITED (XNSE:DABUR)</v>
    <v>1373441</v>
    <v>2284690</v>
    <v>1975</v>
  </rv>
  <rv s="2">
    <v>19</v>
  </rv>
  <rv s="0">
    <v>https://www.bing.com/financeapi/forcetrigger?t=ahhiur&amp;q=XNSE%3aDEEPAKNTR&amp;form=skydnc</v>
    <v>Learn more on Bing</v>
  </rv>
  <rv s="1">
    <v>en-US</v>
    <v>ahhiur</v>
    <v>268435456</v>
    <v>1</v>
    <v>Powered by Refinitiv</v>
    <v>0</v>
    <v>DEEPAK NITRITE LIMITED (XNSE:DEEPAKNTR)</v>
    <v>2</v>
    <v>3</v>
    <v>Finance</v>
    <v>4</v>
    <v>2535</v>
    <v>1829.25</v>
    <v>1.1487000000000001</v>
    <v>-33.200000000000003</v>
    <v>-1.3403E-2</v>
    <v>INR</v>
    <v>Deepak Nitrite Limited is an India-based company, which is engaged in manufacturing and trading of chemicals. The Company operates through two segments: Advanced Intermediates and Phenolics. Its Advanced Intermediates segment offers sodium nitrite, sodium nitrate, nitro toluidines, fuel additives, nitrosyl sulphuric acid, xylidines, oximes, cumidines, specialty agrochemicals, optical brightening agent (OBA), diamino stilbene disulfonic acid (DASDA). Its Phenolics segment offers cumene, phenol, acetone, isopropyl alcohol, ammonium sulfate (AMS). The Company's products cater to several industries, such as colorants, rubber chemicals, explosives, dyes, pigments, food colors, pharmaceuticals, diesel blending, agrochemicals, glass, personal care, paper, detergents and textiles, laminates, ply, adhesive, paints, auto, pharmaceuticals, plastics, and others. The Company's manufacturing facilities are located at Nandesari, Dahej (Gujarat), Roha, Taloja (Maharashtra) and Hyderabad (Telangana).</v>
    <v>1694</v>
    <v>National Stock Exchange of India</v>
    <v>XNSE</v>
    <v>XNSE</v>
    <v>Aaditya-I, National Highway No. 8, Chhani Road, VADODARA, GUJARAT, 390024 IN</v>
    <v>2510</v>
    <v>Chemicals</v>
    <v>Stock</v>
    <v>45411.486655092594</v>
    <v>21</v>
    <v>2425</v>
    <v>337852400000</v>
    <v>DEEPAK NITRITE LIMITED</v>
    <v>DEEPAK NITRITE LIMITED</v>
    <v>2508.9499999999998</v>
    <v>42.147599999999997</v>
    <v>2477.0500000000002</v>
    <v>2443.85</v>
    <v>136393000</v>
    <v>DEEPAKNTR</v>
    <v>DEEPAK NITRITE LIMITED (XNSE:DEEPAKNTR)</v>
    <v>355463</v>
    <v>521490</v>
    <v>1970</v>
  </rv>
  <rv s="2">
    <v>22</v>
  </rv>
  <rv s="0">
    <v>https://www.bing.com/financeapi/forcetrigger?t=ahhkkr&amp;q=XNSE%3aDIXON&amp;form=skydnc</v>
    <v>Learn more on Bing</v>
  </rv>
  <rv s="1">
    <v>en-US</v>
    <v>ahhkkr</v>
    <v>268435456</v>
    <v>1</v>
    <v>Powered by Refinitiv</v>
    <v>0</v>
    <v>DIXON TECHNOLOGIES (INDIA) LIMITED (XNSE:DIXON)</v>
    <v>2</v>
    <v>3</v>
    <v>Finance</v>
    <v>4</v>
    <v>8655</v>
    <v>2820</v>
    <v>1.1014999999999999</v>
    <v>-109.6</v>
    <v>-1.2774000000000001E-2</v>
    <v>INR</v>
    <v>Dixon Technologies (India) Limited is an India-based electronic manufacturing services (EMS) provider. The Company is involved in the manufacturing of consumer durables, home appliances, lighting, mobile phones and security devices. It operates through a single segment, which is Electronics Goods. Its divisions include consumer electronics, home appliances, lighting solution, mobile phones, security surveillance system, reverse logistic, medical electronics, set top box and information technology (IT) hardware. It provides end-to-end solutions to its customers including auto insertion, backward integration into light-emitting diode (LED) panel assembly with clean room, printed circuit board (PCB) assembly, backward light unit and plastic molding. Its home appliance product is washing machines. The Company offers services for repair and refurbishment of multiple products like set-top boxes, LED televisions, mobile phones, closed circuit television, modems and computer peripherals.</v>
    <v>2844</v>
    <v>National Stock Exchange of India</v>
    <v>XNSE</v>
    <v>XNSE</v>
    <v>B 14 &amp; 15, Noida Phase II, Gautam Buddha Nagar, NOIDA, UTTAR PRADESH, 201305 IN</v>
    <v>8655</v>
    <v>Computers, Phones &amp; Household Electronics</v>
    <v>Stock</v>
    <v>45411.486655092594</v>
    <v>24</v>
    <v>8445.0499999999993</v>
    <v>513278300000</v>
    <v>DIXON TECHNOLOGIES (INDIA) LIMITED</v>
    <v>DIXON TECHNOLOGIES (INDIA) LIMITED</v>
    <v>8568.0499999999993</v>
    <v>142.41</v>
    <v>8580.15</v>
    <v>8470.5499999999993</v>
    <v>59821600</v>
    <v>DIXON</v>
    <v>DIXON TECHNOLOGIES (INDIA) LIMITED (XNSE:DIXON)</v>
    <v>299617</v>
    <v>448520</v>
    <v>1993</v>
  </rv>
  <rv s="2">
    <v>25</v>
  </rv>
  <rv s="0">
    <v>https://www.bing.com/financeapi/forcetrigger?t=ahhktc&amp;q=XNSE%3aDMART&amp;form=skydnc</v>
    <v>Learn more on Bing</v>
  </rv>
  <rv s="1">
    <v>en-US</v>
    <v>ahhktc</v>
    <v>268435456</v>
    <v>1</v>
    <v>Powered by Refinitiv</v>
    <v>0</v>
    <v>AVENUE SUPERMARTS LIMITED (XNSE:DMART)</v>
    <v>2</v>
    <v>3</v>
    <v>Finance</v>
    <v>4</v>
    <v>4890</v>
    <v>3352</v>
    <v>0.55349999999999999</v>
    <v>-69.349999999999994</v>
    <v>-1.5231E-2</v>
    <v>INR</v>
    <v>Avenue Supermarts Limited is an India-based company, which is engaged in the business of organized retail and operating supermarkets under the D-Mart brand name. DMart is a supermarket chain that offers customers a range of products with a focus on the foods, non-foods fast-moving consumer goods (FMCG) and general merchandise and apparel product categories. Each DMart store stocks home utility products, including food, toiletries, beauty products, garments, kitchenware, bed and bath linen, home appliances and others. The Company offers its products under various categories, such as bed and bath, dairy and frozen, fruits and vegetables, crockery, toys and games, kids’ apparel, ladies’ garments, apparel for men, home and personal care, daily essentials, grocery, and staples. DMart operates approximately 324 stores and has a presence across Maharashtra, Gujarat, Andhra Pradesh, Madhya Pradesh, Karnataka, Telangana, and Chhattisgarh.</v>
    <v>12108</v>
    <v>National Stock Exchange of India</v>
    <v>XNSE</v>
    <v>XNSE</v>
    <v>Anjaneya Cooperative Housing Society Ltd, Opposite, Hiranandani Foundation School, Orchard Avenue, Powai,, MUMBAI, MAHARASHTRA, 400076 IN</v>
    <v>4562.45</v>
    <v>Food &amp; Drug Retailing</v>
    <v>Stock</v>
    <v>45411.486655092594</v>
    <v>27</v>
    <v>4450</v>
    <v>2962885000000</v>
    <v>AVENUE SUPERMARTS LIMITED</v>
    <v>AVENUE SUPERMARTS LIMITED</v>
    <v>4560.5</v>
    <v>121.59</v>
    <v>4553.1499999999996</v>
    <v>4483.8</v>
    <v>650733100</v>
    <v>DMART</v>
    <v>AVENUE SUPERMARTS LIMITED (XNSE:DMART)</v>
    <v>385596</v>
    <v>410890</v>
    <v>2000</v>
  </rv>
  <rv s="2">
    <v>28</v>
  </rv>
  <rv s="0">
    <v>https://www.bing.com/financeapi/forcetrigger?t=ahhnlh&amp;q=XNSE%3aELECON&amp;form=skydnc</v>
    <v>Learn more on Bing</v>
  </rv>
  <rv s="1">
    <v>en-US</v>
    <v>ahhnlh</v>
    <v>268435456</v>
    <v>1</v>
    <v>Powered by Refinitiv</v>
    <v>0</v>
    <v>ELECON ENGINEERING COMPANY LIMITED (XNSE:ELECON)</v>
    <v>2</v>
    <v>3</v>
    <v>Finance</v>
    <v>4</v>
    <v>1245</v>
    <v>407.55</v>
    <v>1.7236</v>
    <v>32.549999999999997</v>
    <v>2.8902999999999998E-2</v>
    <v>INR</v>
    <v>Elecon Engineering Company Limited is an India-based company that is engaged in the designing and manufacturing of material handling equipment and industrial gear and is also involved in providing erection and commissioning solutions for its products. The Company operates through two segments: Transmission Equipment and Material Handling Equipment. The Transmission Equipment segment is engaged in the manufacturing of transmission equipment like gearboxes, couplings, and elevator traction machines. The Material Handling Equipment segment is engaged in manufacturing of material handling equipment like raw material handling systems, stackers, reclaimers, bagging and weighing machines, wagon and truck loaders, crushers, wagon tipplers, feeders, and port equipment. It is also engaged in executing projects on material handling equipment and systems. The Company has manufacturing units at Vallabh Vidyanagar, Gujarat. Its products are sold in both the national and international markets.</v>
    <v>652</v>
    <v>National Stock Exchange of India</v>
    <v>XNSE</v>
    <v>XNSE</v>
    <v>Anand Sojitra Road, VALLABH VIDYANAGAR, GUJARAT, 388120 IN</v>
    <v>1179</v>
    <v>Machinery, Equipment &amp; Components</v>
    <v>Stock</v>
    <v>45411.486655092594</v>
    <v>30</v>
    <v>1121.45</v>
    <v>126359600000</v>
    <v>ELECON ENGINEERING COMPANY LIMITED</v>
    <v>ELECON ENGINEERING COMPANY LIMITED</v>
    <v>1128.9000000000001</v>
    <v>36.565199999999997</v>
    <v>1126.2</v>
    <v>1158.75</v>
    <v>112200000</v>
    <v>ELECON</v>
    <v>ELECON ENGINEERING COMPANY LIMITED (XNSE:ELECON)</v>
    <v>240956</v>
    <v>642340</v>
    <v>1960</v>
  </rv>
  <rv s="2">
    <v>31</v>
  </rv>
  <rv s="3">
    <v>en-US</v>
    <v>ca7g5r</v>
    <v>268435456</v>
    <v>1</v>
    <v>Powered by Refinitiv</v>
    <v>5</v>
    <v>GENSOL ENGINEERING LIMITED (XNSE:GENSOL)</v>
    <v>6</v>
    <v>7</v>
    <v>Finance</v>
    <v>4</v>
    <v>1376</v>
    <v>436.75</v>
    <v>-22.05</v>
    <v>-2.3382E-2</v>
    <v>INR</v>
    <v>Gensol Engineering Limited offers engineering, procurement and construction (EPC), and solar advisory services. The Company’s segments include EPC of Solar plant and Leasing of electric vehicles. It is engaged in providing technical due diligence, detailed engineering, quality control, construction supervision, and other consulting services for solar projects across several geographies, including India. It provides advisory services to project developers, institutions, solar EPC companies and government policymakers. The Company operates through three segments: EPC, EV Leasing and EV Manufacturing. The EPC segment manages turnkey engineering, construction and procurement contracts internationally. EV Leasing is engaged in the business of buy-and-lease of electric vehicle (EV) cars with multiple logistics and ride-hailing platforms. The EV Manufacturing segment is setting up an EV car manufacturing unit in Pune with a capacity of approximately 12000 cars per year in the first phase.</v>
    <v>National Stock Exchange of India</v>
    <v>XNSE</v>
    <v>XNSE</v>
    <v>15th Floor, Block - A Westgate Business Bay, Makarba, Ahmedabad, GUJARAT, 380051 IN</v>
    <v>960</v>
    <v>Construction &amp; Engineering</v>
    <v>Stock</v>
    <v>45411.486655092594</v>
    <v>919.9</v>
    <v>35716040000</v>
    <v>GENSOL ENGINEERING LIMITED</v>
    <v>GENSOL ENGINEERING LIMITED</v>
    <v>958</v>
    <v>86.49</v>
    <v>943.05</v>
    <v>921</v>
    <v>37872900</v>
    <v>GENSOL</v>
    <v>GENSOL ENGINEERING LIMITED (XNSE:GENSOL)</v>
    <v>91707</v>
    <v>170330</v>
    <v>2012</v>
  </rv>
  <rv s="2">
    <v>33</v>
  </rv>
  <rv s="0">
    <v>https://www.bing.com/financeapi/forcetrigger?t=bvtgbh&amp;q=XNSE%3aHAPPSTMNDS&amp;form=skydnc</v>
    <v>Learn more on Bing</v>
  </rv>
  <rv s="1">
    <v>en-US</v>
    <v>bvtgbh</v>
    <v>268435456</v>
    <v>1</v>
    <v>Powered by Refinitiv</v>
    <v>0</v>
    <v>HAPPIEST MINDS TECHNOLOGIES LIMITED (XNSE:HAPPSTMNDS)</v>
    <v>2</v>
    <v>3</v>
    <v>Finance</v>
    <v>4</v>
    <v>1023</v>
    <v>741</v>
    <v>1.1141000000000001</v>
    <v>-3.15</v>
    <v>-3.8529999999999997E-3</v>
    <v>INR</v>
    <v>Happiest Minds Technologies Limited is an India-based digital transformation information technology (IT) consulting and services company. Its segments include Infrastructure Management &amp; Security Services (IMSS), Product and Digital Engineering Services (PDES) and Generative AI Business Services (GBS). IMSS provides continuous support and managed security services for mid-sized enterprises and technology companies. It also offers solutions, such as robotic process automation (RPA), software-defined networking/network function virtualization (SDN/NFV), big data and advanced analytics, Internet of things (IoT), cloud, business process management (BPM) and security. PDES focuses on digital modernization and transformation for its customers through digital application development and application modernization. It also offers digital foundry, platform engineering and device engineering. GBS offers full-scale generative artificial intelligence (AI) across multiple domains.</v>
    <v>4589</v>
    <v>National Stock Exchange of India</v>
    <v>XNSE</v>
    <v>XNSE</v>
    <v>SMILES 1, SJR Equinox, Sy.No.47/8, Doddathogur Village, Begur Hobli, Electronics City Phase 1, Hosur Road, BANGALORE, KARNATAKA, 560 100 IN</v>
    <v>826.45</v>
    <v>Software &amp; IT Services</v>
    <v>Stock</v>
    <v>45411.486655092594</v>
    <v>35</v>
    <v>810.65</v>
    <v>122089800000</v>
    <v>HAPPIEST MINDS TECHNOLOGIES LIMITED</v>
    <v>HAPPIEST MINDS TECHNOLOGIES LIMITED</v>
    <v>825</v>
    <v>51.267299999999999</v>
    <v>817.45</v>
    <v>814.3</v>
    <v>149354400</v>
    <v>HAPPSTMNDS</v>
    <v>HAPPIEST MINDS TECHNOLOGIES LIMITED (XNSE:HAPPSTMNDS)</v>
    <v>188560</v>
    <v>366100</v>
    <v>2011</v>
  </rv>
  <rv s="2">
    <v>36</v>
  </rv>
  <rv s="0">
    <v>https://www.bing.com/financeapi/forcetrigger?t=ahi2yc&amp;q=XNSE%3aHBLPOWER&amp;form=skydnc</v>
    <v>Learn more on Bing</v>
  </rv>
  <rv s="1">
    <v>en-US</v>
    <v>ahi2yc</v>
    <v>268435456</v>
    <v>1</v>
    <v>Powered by Refinitiv</v>
    <v>0</v>
    <v>HBL POWER SYSTEMS LIMITED (XNSE:HBLPOWER)</v>
    <v>2</v>
    <v>3</v>
    <v>Finance</v>
    <v>4</v>
    <v>612</v>
    <v>99.8</v>
    <v>1.4075</v>
    <v>-8.4</v>
    <v>-1.6187E-2</v>
    <v>INR</v>
    <v>HBL Power Systems Limited is an India-based company that is engaged in design, development and manufacturing of specialized batteries and electronic solutions. The Company is also engaged in service activities related to its products. The Company's segments include Industrial batteries, Defence and Aviation batteries, and Electronics. The Company operates its business under three primary verticals: battery, electronics and defence. Its electronics business vertical is sub-divided into railway electronics and electric mobility. Its flagship products in this vertical are the train collision avoidance system (TCAS), which addresses the issue of safety, and train management system (TMS), which is designed for efficient track utilization. It has developed electric drive train kits for retrofitting light commercial vehicles and passenger buses. It manufactures specialized batteries for various applications, such as fighter aircraft, unmanned aerial vehicles and torpedoes, among others.</v>
    <v>1720</v>
    <v>National Stock Exchange of India</v>
    <v>XNSE</v>
    <v>XNSE</v>
    <v>No. 8-2-601, Road No.10, Banjara Hills, HYDERABAD, TELANGANA, 500034 IN</v>
    <v>531.65</v>
    <v>Machinery, Equipment &amp; Components</v>
    <v>Stock</v>
    <v>45411.486655092594</v>
    <v>38</v>
    <v>507</v>
    <v>143850300000</v>
    <v>HBL POWER SYSTEMS LIMITED</v>
    <v>HBL POWER SYSTEMS LIMITED</v>
    <v>525</v>
    <v>60.9</v>
    <v>518.95000000000005</v>
    <v>510.55</v>
    <v>277194900</v>
    <v>HBLPOWER</v>
    <v>HBL POWER SYSTEMS LIMITED (XNSE:HBLPOWER)</v>
    <v>1347430</v>
    <v>1378740</v>
    <v>1986</v>
  </rv>
  <rv s="2">
    <v>39</v>
  </rv>
  <rv s="0">
    <v>https://www.bing.com/financeapi/forcetrigger?t=ahi3dm&amp;q=XNSE%3aHCLTECH&amp;form=skydnc</v>
    <v>Learn more on Bing</v>
  </rv>
  <rv s="1">
    <v>en-US</v>
    <v>ahi3dm</v>
    <v>268435456</v>
    <v>1</v>
    <v>Powered by Refinitiv</v>
    <v>0</v>
    <v>HCL TECHNOLOGIES LIMITED (XNSE:HCLTECH)</v>
    <v>2</v>
    <v>3</v>
    <v>Finance</v>
    <v>4</v>
    <v>1697.35</v>
    <v>1044.4000000000001</v>
    <v>0.8901</v>
    <v>-86.45</v>
    <v>-5.8656E-2</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221139</v>
    <v>National Stock Exchange of India</v>
    <v>XNSE</v>
    <v>XNSE</v>
    <v>Technology Hub, SEZ, Plot No. 3A, Sector 126, NOIDA, UTTAR PRADESH, 201304 IN</v>
    <v>1436</v>
    <v>Software &amp; IT Services</v>
    <v>Stock</v>
    <v>45411.486655092594</v>
    <v>41</v>
    <v>1381</v>
    <v>3991172000000</v>
    <v>HCL TECHNOLOGIES LIMITED</v>
    <v>HCL TECHNOLOGIES LIMITED</v>
    <v>1415</v>
    <v>23.928899999999999</v>
    <v>1473.85</v>
    <v>1387.4</v>
    <v>2707990000</v>
    <v>HCLTECH</v>
    <v>HCL TECHNOLOGIES LIMITED (XNSE:HCLTECH)</v>
    <v>11493223</v>
    <v>3539380</v>
    <v>1991</v>
  </rv>
  <rv s="2">
    <v>42</v>
  </rv>
  <rv s="0">
    <v>https://www.bing.com/financeapi/forcetrigger?t=ahi3jc&amp;q=XNSE%3aHDFCBANK&amp;form=skydnc</v>
    <v>Learn more on Bing</v>
  </rv>
  <rv s="1">
    <v>en-US</v>
    <v>ahi3jc</v>
    <v>268435456</v>
    <v>1</v>
    <v>Powered by Refinitiv</v>
    <v>0</v>
    <v>HDFC BANK LIMITED (XNSE:HDFCBANK)</v>
    <v>2</v>
    <v>3</v>
    <v>Finance</v>
    <v>4</v>
    <v>1757.5</v>
    <v>1363.55</v>
    <v>1.1367</v>
    <v>19.7</v>
    <v>1.3047999999999999E-2</v>
    <v>INR</v>
    <v>HDFC Bank Limited (the Bank) is a financial services conglomerate that offers a full suite of financial services, from banking to insurance, and mutual funds through its subsidiaries. The Bank caters to a range of banking services covering commercial and investment banking and transactional/branch banking. Its Treasury segment includes net interest earnings from its investment portfolio, money market borrowing and lending, gains or losses on investment operations and on account of trading in foreign exchange and derivative contracts. The Retail Banking segment includes Digital Banking, and Other retail banking. The Wholesale Banking segment provides loans, non-fund facilities and transaction services to large corporates, public sector units, government bodies, financial institutions and medium scale enterprises. Its subsidiaries include HDFC Securities Ltd., HDB Financial Services Ltd., HDFC Asset Management Co. Ltd, and HDFC ERGO General Insurance Co. Ltd.</v>
    <v>208066</v>
    <v>National Stock Exchange of India</v>
    <v>XNSE</v>
    <v>XNSE</v>
    <v>'Hdfc Bank House', Senapati Bapat Road, Lower Parel (West), MUMBAI, MAHARASHTRA, 400013 IN</v>
    <v>1534.45</v>
    <v>Banking Services</v>
    <v>Stock</v>
    <v>45411.486655092594</v>
    <v>44</v>
    <v>1506.55</v>
    <v>11469800000000</v>
    <v>HDFC BANK LIMITED</v>
    <v>HDFC BANK LIMITED</v>
    <v>1515</v>
    <v>16.71</v>
    <v>1509.8</v>
    <v>1529.5</v>
    <v>7596898000</v>
    <v>HDFCBANK</v>
    <v>HDFC BANK LIMITED (XNSE:HDFCBANK)</v>
    <v>18046675</v>
    <v>15296130</v>
    <v>1994</v>
  </rv>
  <rv s="2">
    <v>45</v>
  </rv>
  <rv s="0">
    <v>https://www.bing.com/financeapi/forcetrigger?t=ahi4oc&amp;q=XNSE%3aHFCL&amp;form=skydnc</v>
    <v>Learn more on Bing</v>
  </rv>
  <rv s="1">
    <v>en-US</v>
    <v>ahi4oc</v>
    <v>268435456</v>
    <v>1</v>
    <v>Powered by Refinitiv</v>
    <v>0</v>
    <v>HFCL LIMITED (XNSE:HFCL)</v>
    <v>2</v>
    <v>3</v>
    <v>Finance</v>
    <v>4</v>
    <v>117.8</v>
    <v>61.4</v>
    <v>1.72</v>
    <v>2.15</v>
    <v>2.2443000000000001E-2</v>
    <v>INR</v>
    <v>HFCL Limited is an India-based global technology company. The Company is a telecom infrastructure enabler, which is focused on telecom infrastructure development, system integration, and manufacturing and supply of telecom equipment, optical fiber and optic fiber cable (OFC). The Company provides turnkey solutions to telecom service providers, railways, defense, smart city and surveillance projects. Its segments include Telecom Products, Turnkey Contracts and Services, and Other. Its products include optical fiber and cables, such as optic fiber, micro cable, micro module cable, aerial cable, armored cable, unarmored cable, FTTH cable and passive connectivity solutions; telecom equipment, such as indoor and outdoor Wi-Fi 5 and 6 access point, ethernet L2/L3 switches, point to point unlicensed band radios and cloud based network management system, and electronics, such as electro optical devices, electronic fuses, VMS and video analytics and high-capacity radio relay.</v>
    <v>2108</v>
    <v>National Stock Exchange of India</v>
    <v>XNSE</v>
    <v>XNSE</v>
    <v>8, Commercial Complex,, Masjid Moth, Greater Kailash II,, NEW DELHI, DELHI, 110048 IN</v>
    <v>99</v>
    <v>Communications &amp; Networking</v>
    <v>Stock</v>
    <v>45411.486655092594</v>
    <v>47</v>
    <v>95.65</v>
    <v>138120000000</v>
    <v>HFCL LIMITED</v>
    <v>HFCL LIMITED</v>
    <v>96.35</v>
    <v>46.816699999999997</v>
    <v>95.8</v>
    <v>97.95</v>
    <v>1441754000</v>
    <v>HFCL</v>
    <v>HFCL LIMITED (XNSE:HFCL)</v>
    <v>20542524</v>
    <v>14238150</v>
    <v>1987</v>
  </rv>
  <rv s="2">
    <v>48</v>
  </rv>
  <rv s="0">
    <v>https://www.bing.com/financeapi/forcetrigger?t=ahi62w&amp;q=XNSE%3aHINDUNILVR&amp;form=skydnc</v>
    <v>Learn more on Bing</v>
  </rv>
  <rv s="1">
    <v>en-US</v>
    <v>ahi62w</v>
    <v>268435456</v>
    <v>1</v>
    <v>Powered by Refinitiv</v>
    <v>0</v>
    <v>HINDUSTAN UNILEVER LIMITED (XNSE:HINDUNILVR)</v>
    <v>2</v>
    <v>3</v>
    <v>Finance</v>
    <v>4</v>
    <v>2769.65</v>
    <v>2172.0500000000002</v>
    <v>0.19220000000000001</v>
    <v>3.45</v>
    <v>1.552E-3</v>
    <v>INR</v>
    <v>Hindustan Unilever Limited is an India-based consumer goods company. The Company operates through five segments: Beauty &amp; Wellbeing, Personal Care, Home Care, Nutrition, and Ice Cream. Its Beauty &amp; Wellbeing segment is engaged in the sales of hair care (shampoo, conditioner, styling), skin care (face, hand, and body moisturizers) and includes Prestige Beauty and Health &amp; Wellbeing. Its Personal Care segment is engaged in the sales of skin cleansing (soap, shower), deodorant and oral care (toothpaste, toothbrush, mouthwash) products. Its Home Care segment is engaged in the sales of fabric care (washing powders and liquids, rinse conditioners) and a wide range of cleaning products. Its Nutrition segment is engaged in the sales of scratch cooking aids (soups, bouillons, seasonings), dressings (mayonnaise, ketchup) and tea products. Its Ice Cream segment is engaged in the sale of ice cream products. Its Home Care brands include Domex, Comfort, Surf excel, and others.</v>
    <v>16000</v>
    <v>National Stock Exchange of India</v>
    <v>XNSE</v>
    <v>XNSE</v>
    <v>Unilever House,, B D Sawant Marg, Chakala,, Andheri (E), MUMBAI, MAHARASHTRA, 400099 IN</v>
    <v>2234</v>
    <v>Personal &amp; Household Products &amp; Services</v>
    <v>Stock</v>
    <v>45411.486655092594</v>
    <v>50</v>
    <v>2220</v>
    <v>5222319000000</v>
    <v>HINDUSTAN UNILEVER LIMITED</v>
    <v>HINDUSTAN UNILEVER LIMITED</v>
    <v>2234</v>
    <v>50.82</v>
    <v>2222.65</v>
    <v>2226.1</v>
    <v>2349591000</v>
    <v>HINDUNILVR</v>
    <v>HINDUSTAN UNILEVER LIMITED (XNSE:HINDUNILVR)</v>
    <v>1395292</v>
    <v>2930880</v>
    <v>1933</v>
  </rv>
  <rv s="2">
    <v>51</v>
  </rv>
  <rv s="0">
    <v>https://www.bing.com/financeapi/forcetrigger?t=ahi7ar&amp;q=XNSE%3aHPL&amp;form=skydnc</v>
    <v>Learn more on Bing</v>
  </rv>
  <rv s="1">
    <v>en-US</v>
    <v>ahi7ar</v>
    <v>268435456</v>
    <v>1</v>
    <v>Powered by Refinitiv</v>
    <v>0</v>
    <v>HPL ELECTRIC &amp; POWER LIMITED (XNSE:HPL)</v>
    <v>2</v>
    <v>3</v>
    <v>Finance</v>
    <v>4</v>
    <v>396.8</v>
    <v>88.5</v>
    <v>1.7067000000000001</v>
    <v>-5.55</v>
    <v>-1.5169999999999999E-2</v>
    <v>INR</v>
    <v>HPL Electric &amp; Power Limited is an India-based company, which is a multiproduct electric equipment manufacturer. The Company’s product portfolio covers a wide range of low-voltage electric products including metering solutions, switchgears, lighting products, wires and cables, solar solutions, and modular switches. The Company operates through two segments: Metering and Systems, and the Consumer &amp; Industrial Segment. The Company has its presence across five key verticals: Metering Solutions, Switchgears, light emitting diodes (LED) Lighting, Wires and Cables, Solar Solutions and Modular Switches. Its Metering vertical offers smart meter, net meter, prepaid meter, Tri vector meter and others. Its Switchgear vertical includes Industrial Applications, which include air circuit breaker (ACB), molded case circuit breaker (MCCB), and phase selector. The Company’s manufacturing units are located at Gurugram, Kundli, Gharaunda and Sonepat in Haryana and Jabli in Himachal Pradesh.</v>
    <v>1165</v>
    <v>National Stock Exchange of India</v>
    <v>XNSE</v>
    <v>XNSE</v>
    <v>76B, HSIIDC Industrial Estate Phase IV, Sector 57, Kundli, SONIPAT, HARYANA, 131028 IN</v>
    <v>370.8</v>
    <v>Machinery, Equipment &amp; Components</v>
    <v>Stock</v>
    <v>45411.486655092594</v>
    <v>53</v>
    <v>357.8</v>
    <v>23524330000</v>
    <v>HPL ELECTRIC &amp; POWER LIMITED</v>
    <v>HPL ELECTRIC &amp; POWER LIMITED</v>
    <v>368.8</v>
    <v>56.244100000000003</v>
    <v>365.85</v>
    <v>360.3</v>
    <v>64300490</v>
    <v>HPL</v>
    <v>HPL ELECTRIC &amp; POWER LIMITED (XNSE:HPL)</v>
    <v>308575</v>
    <v>863890</v>
    <v>1992</v>
  </rv>
  <rv s="2">
    <v>54</v>
  </rv>
  <rv s="0">
    <v>https://www.bing.com/financeapi/forcetrigger?t=ahi8ww&amp;q=XNSE%3aIDFC&amp;form=skydnc</v>
    <v>Learn more on Bing</v>
  </rv>
  <rv s="1">
    <v>en-US</v>
    <v>ahi8ww</v>
    <v>268435456</v>
    <v>1</v>
    <v>Powered by Refinitiv</v>
    <v>0</v>
    <v>IDFC Limited (XNSE:IDFC)</v>
    <v>2</v>
    <v>3</v>
    <v>Finance</v>
    <v>4</v>
    <v>137</v>
    <v>82.05</v>
    <v>1.4538</v>
    <v>-5.6</v>
    <v>-4.4008000000000005E-2</v>
    <v>INR</v>
    <v>IDFC Limited is an India-based non-banking finance company (NBFC). The Company is engaged in investment activity. The Company operated through Financing segment. The Financing segment is engaged in investing. Its business includes IDFC Bank, IDFC Securities, IDFC Mutual Fund, IDFC IFL and IDFC Foundation. IDFC Securities provides a full suite of investment banking services to a diverse group of Indian and multinational corporations, banks and financial institutions across industry sectors. IDFC Bank offers savings account, senior citizen saving account, first power account, current account, NRI savings account and TASC institutional account. It also provides personal loans, consumer durable loans, home loan, new car loan and others. It manages different mutual fund products for institutional and retail investors. IDFC Foundation includes government advisory services, policy advocacy, capacity building initiatives and community engagement.</v>
    <v>328</v>
    <v>National Stock Exchange of India</v>
    <v>XNSE</v>
    <v>XNSE</v>
    <v>906/907, 9th Floor, Embassy Centre,, Jamnalal Bajaj Road,, MUMBAI, MAHARASHTRA, 400021 IN</v>
    <v>123</v>
    <v>Investment Banking &amp; Investment Services</v>
    <v>Stock</v>
    <v>45411.486655092594</v>
    <v>56</v>
    <v>119</v>
    <v>203598000000</v>
    <v>IDFC Limited</v>
    <v>IDFC Limited</v>
    <v>123</v>
    <v>32.698500000000003</v>
    <v>127.25</v>
    <v>121.65</v>
    <v>1599984000</v>
    <v>IDFC</v>
    <v>IDFC Limited (XNSE:IDFC)</v>
    <v>17493125</v>
    <v>5216950</v>
    <v>1997</v>
  </rv>
  <rv s="2">
    <v>57</v>
  </rv>
  <rv s="0">
    <v>https://www.bing.com/financeapi/forcetrigger?t=ahi8zr&amp;q=XNSE%3aIDFCFIRSTB&amp;form=skydnc</v>
    <v>Learn more on Bing</v>
  </rv>
  <rv s="1">
    <v>en-US</v>
    <v>ahi8zr</v>
    <v>268435456</v>
    <v>1</v>
    <v>Powered by Refinitiv</v>
    <v>0</v>
    <v>IDFC FIRST BANK LIMITED (XNSE:IDFCFIRSTB)</v>
    <v>2</v>
    <v>3</v>
    <v>Finance</v>
    <v>4</v>
    <v>100.7</v>
    <v>56.45</v>
    <v>1.3170999999999999</v>
    <v>-3.15</v>
    <v>-3.7145999999999998E-2</v>
    <v>INR</v>
    <v>IDFC FIRST Bank Limited is an India-based banking company. The Company operates through four segments: Treasury, Corporate/Wholesale Banking, Retail Banking, and Other Banking Business. The Treasury segment primarily consists of Bank’s investment portfolio, money market borrowing and lending, investment operations and the entire foreign exchange and derivative portfolio of the Bank. The Corporate/Wholesale Banking segment provides loans, non-fund facilities and transaction services to corporate relationship not included under Retail Banking and syndication. The Retail Banking segment constitutes lending to individuals/business banking customers through the branch network and other delivery channels subject to the orientation, nature of product, granularity of the exposure and the quantum thereof. The Other Banking Business segment includes revenue from distribution of third-party products. The Company operates approximately 809 branches and over 925 automated teller machines (ATMs).</v>
    <v>35352</v>
    <v>National Stock Exchange of India</v>
    <v>XNSE</v>
    <v>XNSE</v>
    <v>IDFC FIRST Bank Tower, (The Square),, C-61, G Block, Bandra-Kurla Complex,, Bandra (East), MUMBAI, MAHARASHTRA, 400051 IN</v>
    <v>83.5</v>
    <v>Banking Services</v>
    <v>Stock</v>
    <v>45411.486655092594</v>
    <v>59</v>
    <v>80</v>
    <v>599529600000</v>
    <v>IDFC FIRST BANK LIMITED</v>
    <v>IDFC FIRST BANK LIMITED</v>
    <v>83.4</v>
    <v>17.7712</v>
    <v>84.8</v>
    <v>81.650000000000006</v>
    <v>7069924000</v>
    <v>IDFCFIRSTB</v>
    <v>IDFC FIRST BANK LIMITED (XNSE:IDFCFIRSTB)</v>
    <v>106192496</v>
    <v>36489860</v>
    <v>2014</v>
  </rv>
  <rv s="2">
    <v>60</v>
  </rv>
  <rv s="0">
    <v>https://www.bing.com/financeapi/forcetrigger?t=bsg5qh&amp;q=XNSE%3aIRCTC&amp;form=skydnc</v>
    <v>Learn more on Bing</v>
  </rv>
  <rv s="1">
    <v>en-US</v>
    <v>bsg5qh</v>
    <v>268435456</v>
    <v>1</v>
    <v>Powered by Refinitiv</v>
    <v>0</v>
    <v>INDIAN RAILWAY CATERING AND TOURISM CORPORATION LIMITED (XNSE:IRCTC)</v>
    <v>2</v>
    <v>3</v>
    <v>Finance</v>
    <v>4</v>
    <v>1068.8</v>
    <v>597.29999999999995</v>
    <v>1.2135</v>
    <v>0.8</v>
    <v>7.6599999999999997E-4</v>
    <v>INR</v>
    <v>Indian Railway Catering and Tourism Corporation Limited is engaged in providing online railway tickets, catering services to railways and packaged drinking water at railway stations and trains in India. The Company's segments include Catering, Rail Neer, Internet Ticketing, Tourism and State Teertha. Its catering services include mobile catering services, e-catering services and static catering services. It offers static catering through food plaza, fast food units, refreshment rooms, jan aahar, base kitchens and other facilities at station premises, executive lounge, and retiring rooms and dormitories. Rail Neer is the Company's branded bottled drinking water. It operates approximately 16 Rail Neer plants, with four in-house manufacturing units and 12 under the public-private partnership (PPP) model. Its rail tour packages offer confirmed berths to passengers and all-inclusive services, such as road transportation, accommodation, sightseeing and accidental insurance, among others.</v>
    <v>2229</v>
    <v>National Stock Exchange of India</v>
    <v>XNSE</v>
    <v>XNSE</v>
    <v>IRCTC Ltd, 11th Floor, B ? 148, Statesman House, Barakhamba Road, New Delhi ? 110 001, Delhi, Indi, DELHI, DELHI, 110001 IN</v>
    <v>1068</v>
    <v>Passenger Transportation Services</v>
    <v>Stock</v>
    <v>45411.486655092594</v>
    <v>62</v>
    <v>1037.6500000000001</v>
    <v>835560000000</v>
    <v>INDIAN RAILWAY CATERING AND TOURISM CORPORATION LIMITED</v>
    <v>INDIAN RAILWAY CATERING AND TOURISM CORPORATION LIMITED</v>
    <v>1052</v>
    <v>75.650700000000001</v>
    <v>1044.45</v>
    <v>1045.25</v>
    <v>800000000</v>
    <v>IRCTC</v>
    <v>INDIAN RAILWAY CATERING AND TOURISM CORPORATION LIMITED (XNSE:IRCTC)</v>
    <v>3571796</v>
    <v>3410380</v>
    <v>1999</v>
  </rv>
  <rv s="2">
    <v>63</v>
  </rv>
  <rv s="0">
    <v>https://www.bing.com/financeapi/forcetrigger?t=ahie2w&amp;q=XNSE%3aITC&amp;form=skydnc</v>
    <v>Learn more on Bing</v>
  </rv>
  <rv s="1">
    <v>en-US</v>
    <v>ahie2w</v>
    <v>268435456</v>
    <v>1</v>
    <v>Powered by Refinitiv</v>
    <v>0</v>
    <v>ITC LIMITED (XNSE:ITC)</v>
    <v>2</v>
    <v>3</v>
    <v>Finance</v>
    <v>4</v>
    <v>499.7</v>
    <v>399.35</v>
    <v>0.63819999999999999</v>
    <v>-1.8</v>
    <v>-4.091E-3</v>
    <v>INR</v>
    <v>ITC Limited is an India-based holding company. The Company's segments include fast moving consumer goods (FMCG); Hotels; Paperboards, Paper and Packaging, and Agri Business. FMCG segment consists of cigarettes, cigars and others, such as education and stationery products, personal care products, safety matches and agarbattis, and branded packaged foods businesses, which include staples and meals, snacks, dairy and beverages, biscuits and cakes, chocolates, and coffee and confectionery. Paperboards, Paper and Packaging segment includes specialty paper and packaging, including flexibles. Agri Business segment includes Agri commodities such as wheat, rice, spices, coffee, soya and leaf tobacco. Hotel segment has over 120 properties under six distinctive brands: ITC Hotels in the luxury segment, Mementos in the luxury lifestyle segment, Welcomhotel and Storii in the premium segment, Fortune in the mid-market to upscale segment and WelcomHeritage in the leisure and heritage segment.</v>
    <v>23725</v>
    <v>National Stock Exchange of India</v>
    <v>XNSE</v>
    <v>XNSE</v>
    <v>Virginia House, 37 Jawaharlal Nehru Road, KOLKATA, WEST BENGAL, 700071 IN</v>
    <v>442.45</v>
    <v>Food &amp; Tobacco</v>
    <v>Stock</v>
    <v>45411.486655092594</v>
    <v>65</v>
    <v>434.6</v>
    <v>5493278000000</v>
    <v>ITC LIMITED</v>
    <v>ITC LIMITED</v>
    <v>442</v>
    <v>26.68</v>
    <v>440</v>
    <v>438.2</v>
    <v>12484720000</v>
    <v>ITC</v>
    <v>ITC LIMITED (XNSE:ITC)</v>
    <v>11627882</v>
    <v>14366800</v>
    <v>1910</v>
  </rv>
  <rv s="2">
    <v>66</v>
  </rv>
  <rv s="4">
    <v>en-US</v>
    <v>camq9c</v>
    <v>268435456</v>
    <v>1</v>
    <v>Powered by Refinitiv</v>
    <v>8</v>
    <v>JIO FINANCIAL SERVICES LIMITED (XNSE:JIOFIN)</v>
    <v>6</v>
    <v>9</v>
    <v>Finance</v>
    <v>4</v>
    <v>394.7</v>
    <v>202.8</v>
    <v>0.65100000000000002</v>
    <v>-1.25</v>
    <v>-3.2740000000000004E-3</v>
    <v>INR</v>
    <v>Jio Financial Services Ltd is an India-based company. The Company is a non-deposit taking non-banking financial company. The Company provides comprehensive solutions with its infrastructure and physical and digital reach enabling accessibility and convenience for people from all segments of society.</v>
    <v>National Stock Exchange of India</v>
    <v>XNSE</v>
    <v>XNSE</v>
    <v>1st floor, Building 4NA, Maker Maxity, Bandra Kurla Complex, Bandra-East, MUMBAI, MAHARASHTRA, 400051 IN</v>
    <v>384.75</v>
    <v>Banking Services</v>
    <v>Stock</v>
    <v>45411.486655092594</v>
    <v>378.05</v>
    <v>2425366000000</v>
    <v>JIO FINANCIAL SERVICES LIMITED</v>
    <v>JIO FINANCIAL SERVICES LIMITED</v>
    <v>383.6</v>
    <v>151.24</v>
    <v>381.75</v>
    <v>380.5</v>
    <v>6353284000</v>
    <v>JIOFIN</v>
    <v>JIO FINANCIAL SERVICES LIMITED (XNSE:JIOFIN)</v>
    <v>16136167</v>
    <v>38558250</v>
    <v>1999</v>
  </rv>
  <rv s="2">
    <v>68</v>
  </rv>
  <rv s="0">
    <v>https://www.bing.com/financeapi/forcetrigger?t=ahiiyc&amp;q=XNSE%3aJUBLFOOD&amp;form=skydnc</v>
    <v>Learn more on Bing</v>
  </rv>
  <rv s="1">
    <v>en-US</v>
    <v>ahiiyc</v>
    <v>268435456</v>
    <v>1</v>
    <v>Powered by Refinitiv</v>
    <v>0</v>
    <v>Jubilant FoodWorks Limited (XNSE:JUBLFOOD)</v>
    <v>2</v>
    <v>3</v>
    <v>Finance</v>
    <v>4</v>
    <v>586.95000000000005</v>
    <v>421.05</v>
    <v>0.77610000000000001</v>
    <v>1.7</v>
    <v>3.8869999999999998E-3</v>
    <v>INR</v>
    <v>Jubilant FoodWorks Limited is an India-based food service company. The Company is engaged in retail sales of food through international and homegrown brands addressing different food market segments. International brands include Domino’s Pizza, Dunkin’ Donuts and Popeyes. For Domino’s Pizza, the Company has rights to open and operate Domino’s Pizza Restaurants in India, Sri Lanka, Bangladesh and Nepal. In India, it has a network of approximately 1,838 Domino’s restaurants across 394 cities. In Sri Lanka and Bangladesh, the Company operates through its wholly owned subsidiaries, which has approximately 50 and 20 restaurants respectively. Domino’s Pizza is operated by the Company in India and by its subsidiaries in Sri Lanka and Bangladesh. Home grown brands include Hong’s Kitchen and Ekdum, which offers Chinese and Indian cuisine respectively. It also operates in fast-moving consumer goods (FMCG) food vertical with its brand ChefBoss.</v>
    <v>32752</v>
    <v>National Stock Exchange of India</v>
    <v>XNSE</v>
    <v>XNSE</v>
    <v>5th Floor, Tower D, Logix Techno Park, Plot No 5, NOIDA, UTTAR PRADESH, 201304 IN</v>
    <v>443.25</v>
    <v>Hotels &amp; Entertainment Services</v>
    <v>Stock</v>
    <v>45411.486655092594</v>
    <v>70</v>
    <v>437.65</v>
    <v>287557900000</v>
    <v>Jubilant FoodWorks Limited</v>
    <v>Jubilant FoodWorks Limited</v>
    <v>439.95</v>
    <v>131.34200000000001</v>
    <v>437.35</v>
    <v>439.05</v>
    <v>657500600</v>
    <v>JUBLFOOD</v>
    <v>Jubilant FoodWorks Limited (XNSE:JUBLFOOD)</v>
    <v>1520447</v>
    <v>2452840</v>
    <v>1995</v>
  </rv>
  <rv s="2">
    <v>71</v>
  </rv>
  <rv s="0">
    <v>https://www.bing.com/financeapi/forcetrigger?t=bpucm7&amp;q=XNSE%3aKPITTECH&amp;form=skydnc</v>
    <v>Learn more on Bing</v>
  </rv>
  <rv s="1">
    <v>en-US</v>
    <v>bpucm7</v>
    <v>268435456</v>
    <v>1</v>
    <v>Powered by Refinitiv</v>
    <v>0</v>
    <v>KPIT TECHNOLOGIES LIMITED (XNSE:KPITTECH)</v>
    <v>2</v>
    <v>3</v>
    <v>Finance</v>
    <v>4</v>
    <v>1764</v>
    <v>840.7</v>
    <v>1.7152000000000001</v>
    <v>92.05</v>
    <v>6.4986000000000002E-2</v>
    <v>INR</v>
    <v>KPIT Technologies Limited is an India-based company that provides embedded software for the automobile and mobility industry. The Company's solutions include autonomous driving and advanced driver assistance system (ADAS), electric and conventional powertrain, connected vehicle, integrated diagnostics and aftersales transformation [iDART], AUTOSAR, vehicle engineering and design, and digital connected solutions. Its autonomous driving and ADAS solutions include cyber security, architecture development and MBSE, requirement authoring and validation, artificial intelligence, machine learning, computer vision, algorithms, model-based development for control functions and release management, among others. The Company has ready-to-use software platforms for all electric vehicles components (Inverter, BMS, Charger, VCU) which are AUTOSAR compliant. Its electric and conventional powertrain solutions include software development and engineering, software integration and control engineering.</v>
    <v>7947</v>
    <v>National Stock Exchange of India</v>
    <v>XNSE</v>
    <v>XNSE</v>
    <v>SEZ Unit, Plot-17, Rajiv Gandhi Infotech Park, MIDC-SEZ, Phase-III, Hinjawadi, PUNE, MAHARASHTRA, 411057 IN</v>
    <v>1529.4</v>
    <v>Software &amp; IT Services</v>
    <v>Stock</v>
    <v>45411.486666666664</v>
    <v>73</v>
    <v>1407</v>
    <v>384165200000</v>
    <v>KPIT TECHNOLOGIES LIMITED</v>
    <v>KPIT TECHNOLOGIES LIMITED</v>
    <v>1439</v>
    <v>70.77</v>
    <v>1416.45</v>
    <v>1508.5</v>
    <v>271216900</v>
    <v>KPITTECH</v>
    <v>KPIT TECHNOLOGIES LIMITED (XNSE:KPITTECH)</v>
    <v>5381391</v>
    <v>854110</v>
    <v>2018</v>
  </rv>
  <rv s="2">
    <v>74</v>
  </rv>
  <rv s="0">
    <v>https://www.bing.com/financeapi/forcetrigger?t=ahipz2&amp;q=XNSE%3aLAURUSLABS&amp;form=skydnc</v>
    <v>Learn more on Bing</v>
  </rv>
  <rv s="1">
    <v>en-US</v>
    <v>ahipz2</v>
    <v>268435456</v>
    <v>1</v>
    <v>Powered by Refinitiv</v>
    <v>0</v>
    <v>LAURUS LABS LIMITED (XNSE:LAURUSLABS)</v>
    <v>2</v>
    <v>3</v>
    <v>Finance</v>
    <v>4</v>
    <v>471</v>
    <v>278.85000000000002</v>
    <v>1.5161</v>
    <v>6.8</v>
    <v>1.5561999999999999E-2</v>
    <v>INR</v>
    <v>Laurus Labs Limited is an India-based pharmaceutical and biotechnology company. The Company offers integrated portfolio of Active Pharma Ingredients (API) including intermediates, Generic Finished dosage forms (FDF) and Contract Research services to cater to the needs of the global pharmaceutical industry. The Company operates through three segments: Laurus Generics, Laurus Synthesis, and Laurus Bio. The Laurus Generics segment comprises API and FDF-Development, manufacture and sale of APIs and advanced intermediates and oral solid formulations/FDF. Laurus Synthesis segment comprises key starting materials (KSM), intermediates and APIs for new chemical entities (NCEs). Laurus Bio segment comprises recombinant products, animal origin free products for safer and viral free bio manufacturing. The Company operates through two geographical segments: Revenue from customers within India-Domestic, and Revenue from customers outside India-Exports. The Company sell its APIs in 56 countries.</v>
    <v>5753</v>
    <v>National Stock Exchange of India</v>
    <v>XNSE</v>
    <v>XNSE</v>
    <v>2nd Floor, Serene Chambers,, Road No. 7, Banjara Hills,, HYDERABAD, TELANGANA, 500034 IN</v>
    <v>446.45</v>
    <v>Pharmaceuticals</v>
    <v>Stock</v>
    <v>45411.486666666664</v>
    <v>76</v>
    <v>430.45</v>
    <v>235501100000</v>
    <v>LAURUS LABS LIMITED</v>
    <v>LAURUS LABS LIMITED</v>
    <v>437.5</v>
    <v>148.90940000000001</v>
    <v>436.95</v>
    <v>443.75</v>
    <v>538965900</v>
    <v>LAURUSLABS</v>
    <v>LAURUS LABS LIMITED (XNSE:LAURUSLABS)</v>
    <v>2183161</v>
    <v>2967130</v>
    <v>2005</v>
  </rv>
  <rv s="2">
    <v>77</v>
  </rv>
  <rv s="0">
    <v>https://www.bing.com/financeapi/forcetrigger?t=ahiqmw&amp;q=XNSE%3aLIBAS&amp;form=skydnc</v>
    <v>Learn more on Bing</v>
  </rv>
  <rv s="5">
    <v>en-US</v>
    <v>ahiqmw</v>
    <v>268435456</v>
    <v>1</v>
    <v>Powered by Refinitiv</v>
    <v>10</v>
    <v>LIBAS CONSUMER PRODUCTS LIMITED (XNSE:LIBAS)</v>
    <v>2</v>
    <v>9</v>
    <v>Finance</v>
    <v>4</v>
    <v>27.35</v>
    <v>11.05</v>
    <v>0.29339999999999999</v>
    <v>-0.15</v>
    <v>-7.0420000000000005E-3</v>
    <v>INR</v>
    <v>Libas Consumer Products Limited is an India-based company, which is engaged in the Business of designing, marketing, and retail of ethnic wear through ready wear and through customization. The Company's customers can choose the colors, fabrics and designs and make changes as per their need. Apart from retail sales, the Company also undertakes wholesale business where it provides its designs to other labels. It also provides solutions to corporates regarding their dressing needs and designing. The Company markets its product under the brand name of Riyaz Gangji Libas. Its Libas Riyaz Gangji label specializes in western contemporary and ethnic Indian men's and women's wear, business suits, shirts, trousers, sherwanis, light range of Indo-Westerns, kurtas, designer wedding suits, fine men's business suits, formal shirts, and trousers. The Company also have a sub-brand that does formal men and women shoes and accessories.</v>
    <v>National Stock Exchange of India</v>
    <v>XNSE</v>
    <v>XNSE</v>
    <v>401, 4th Floor, Crecent Royale,, Off New Link Road Lokhanwala Complex, Andheri (West), MUMBAI, MAHARASHTRA, 400053 IN</v>
    <v>22</v>
    <v>Specialty Retailers</v>
    <v>Stock</v>
    <v>45411.486666666664</v>
    <v>79</v>
    <v>20.6</v>
    <v>561139500</v>
    <v>LIBAS CONSUMER PRODUCTS LIMITED</v>
    <v>LIBAS CONSUMER PRODUCTS LIMITED</v>
    <v>21.65</v>
    <v>18.598299999999998</v>
    <v>21.3</v>
    <v>21.15</v>
    <v>26344580</v>
    <v>LIBAS</v>
    <v>LIBAS CONSUMER PRODUCTS LIMITED (XNSE:LIBAS)</v>
    <v>344233</v>
    <v>176420</v>
    <v>2004</v>
  </rv>
  <rv s="2">
    <v>80</v>
  </rv>
  <rv s="0">
    <v>https://www.bing.com/financeapi/forcetrigger?t=c4jlqh&amp;q=XNSE%3aMAPMYINDIA&amp;form=skydnc</v>
    <v>Learn more on Bing</v>
  </rv>
  <rv s="1">
    <v>en-US</v>
    <v>c4jlqh</v>
    <v>268435456</v>
    <v>1</v>
    <v>Powered by Refinitiv</v>
    <v>0</v>
    <v>C.E. INFO SYSTEMS LIMITED (XNSE:MAPMYINDIA)</v>
    <v>2</v>
    <v>3</v>
    <v>Finance</v>
    <v>4</v>
    <v>2343.9499999999998</v>
    <v>984.05</v>
    <v>0.372</v>
    <v>35.200000000000003</v>
    <v>1.7613E-2</v>
    <v>INR</v>
    <v>CE Info Systems Ltd. is an India-based provider of digital maps, geospatial software and location-based Internet of things (IoT) technologies. The Company's segment is Map data and Map data related services. Its business mainly consists of products like digital map data, GPS navigation and location-based services, licensing, royalty, annuity, subscription and customizing its products for customers. It offers digital maps as a service, software as a service and platform as a service, including its digital map data, software products, platforms, application programming interfaces (APIs), IoT and solutions to tech companies, large businesses, automotive original equipment manufacturers, government organizations, developers, and consumers. The Company's geographic information system and geo-analytics platforms include Insight and mGIS. These consist of location-based APIs capable of ingesting, processing, publishing, visualizing, and analyzing geospatial data to provide locations.</v>
    <v>475</v>
    <v>National Stock Exchange of India</v>
    <v>XNSE</v>
    <v>XNSE</v>
    <v>237, Okhla Industrial Estate Phase 3, Near Modi Mill, NEW DELHI, DELHI, 110020 IN</v>
    <v>2050</v>
    <v>Software &amp; IT Services</v>
    <v>Stock</v>
    <v>45411.486666666664</v>
    <v>82</v>
    <v>1975</v>
    <v>108065600000</v>
    <v>C.E. INFO SYSTEMS LIMITED</v>
    <v>C.E. INFO SYSTEMS LIMITED</v>
    <v>2014.8</v>
    <v>88.001300000000001</v>
    <v>1998.55</v>
    <v>2033.75</v>
    <v>54071990</v>
    <v>MAPMYINDIA</v>
    <v>C.E. INFO SYSTEMS LIMITED (XNSE:MAPMYINDIA)</v>
    <v>100894</v>
    <v>126250</v>
    <v>1995</v>
  </rv>
  <rv s="2">
    <v>83</v>
  </rv>
  <rv s="0">
    <v>https://www.bing.com/financeapi/forcetrigger?t=c111oc&amp;q=XNSE%3aMTARTECH&amp;form=skydnc</v>
    <v>Learn more on Bing</v>
  </rv>
  <rv s="6">
    <v>en-US</v>
    <v>c111oc</v>
    <v>268435456</v>
    <v>1</v>
    <v>Powered by Refinitiv</v>
    <v>11</v>
    <v>MTAR TECHNOLOGIES LIMITED (XNSE:MTARTECH)</v>
    <v>2</v>
    <v>12</v>
    <v>Finance</v>
    <v>4</v>
    <v>2920.35</v>
    <v>1661</v>
    <v>24.75</v>
    <v>1.3137000000000001E-2</v>
    <v>INR</v>
    <v>MTAR Technologies Limited is a precision engineering company. The Company is engaged in the manufacture of mission critical precision components with close tolerances (5-10 microns) and in critical assemblies, to serve projects of high national importance, through its precision machining, assembly, testing, quality control and specialized fabrication competencies, some of which have been indigenously developed and manufactured. The Company operates through six segments: Civilian Nuclear Power, Space, Defense &amp; Aerospace, Clean Energy, Ball Screws &amp; Roller Screws, and Other Segments-Marine. The Civilian Nuclear Power segment has a product portfolio, which includes complex assemblies, such as fuel machining head, drive mechanisms, bridge and column and coolant channel assemblies and others. Space segment provides a range of mission critical assemblies to ISRO for its various missions. It also includes ISRO Geosynchronous Satellite Launch Vehicle and ISRO Polar Satellite Launch Vehicle.</v>
    <v>555</v>
    <v>National Stock Exchange of India</v>
    <v>XNSE</v>
    <v>XNSE</v>
    <v>18, Technocrats Industrial Estate, Balanagar, HYDERABAD, TELANGANA, 500037 IN</v>
    <v>1939.2</v>
    <v>Machinery, Equipment &amp; Components</v>
    <v>Stock</v>
    <v>45411.486666666664</v>
    <v>85</v>
    <v>1866.9</v>
    <v>57952610000</v>
    <v>MTAR TECHNOLOGIES LIMITED</v>
    <v>MTAR TECHNOLOGIES LIMITED</v>
    <v>1901</v>
    <v>71.325000000000003</v>
    <v>1884.05</v>
    <v>1908.8</v>
    <v>30759590</v>
    <v>MTARTECH</v>
    <v>MTAR TECHNOLOGIES LIMITED (XNSE:MTARTECH)</v>
    <v>308637</v>
    <v>264110</v>
    <v>1999</v>
  </rv>
  <rv s="2">
    <v>86</v>
  </rv>
  <rv s="0">
    <v>https://www.bing.com/financeapi/forcetrigger?t=ahj4rw&amp;q=XNSE%3aNAVINFLUOR&amp;form=skydnc</v>
    <v>Learn more on Bing</v>
  </rv>
  <rv s="1">
    <v>en-US</v>
    <v>ahj4rw</v>
    <v>268435456</v>
    <v>1</v>
    <v>Powered by Refinitiv</v>
    <v>0</v>
    <v>NAVIN FLUORINE INTERNATIONAL LIMITED (XNSE:NAVINFLUOR)</v>
    <v>2</v>
    <v>3</v>
    <v>Finance</v>
    <v>4</v>
    <v>4945.87</v>
    <v>2899.25</v>
    <v>0.73370000000000002</v>
    <v>115.1</v>
    <v>3.4776000000000001E-2</v>
    <v>INR</v>
    <v>Navin Fluorine International Limited is an India-based company that is primarily focused on fluorine chemistry, which produces refrigeration gases, inorganic fluorides, specialty organofluorines. The Company operates through the Chemical Business segment. It has two geographical segments based upon the location of its customers, which include within India and outside India. It is the manufacturer of specialty fluorochemicals, which comprises synthetic cryolite, fluorocarbon gases, and hydrofluoric acid and other fluorine chemicals. It offers contract research and manufacturing services. The Company has anhydrous hydrofluoric and diluted hydrofluoric acid manufacturing capacities in India with a multi-product portfolio. It serves industries, including stainless steel, glass, oil and gas, abrasives, electronic products, and life and crop science, among others. The Company’s manufacturing facilities are located at Surat in Gujarat and Dewas in Madhya Pradesh.</v>
    <v>1053</v>
    <v>National Stock Exchange of India</v>
    <v>XNSE</v>
    <v>XNSE</v>
    <v>Office No. 602, Natraj by Rustomjee, Near Western Express Highway,, Sir Mathuradas Vasanji Road, MUMBAI, MAHARASHTRA, 400069 IN</v>
    <v>3454.9</v>
    <v>Chemicals</v>
    <v>Stock</v>
    <v>45411.486666666664</v>
    <v>88</v>
    <v>3317</v>
    <v>164075600000</v>
    <v>NAVIN FLUORINE INTERNATIONAL LIMITED</v>
    <v>NAVIN FLUORINE INTERNATIONAL LIMITED</v>
    <v>3322.85</v>
    <v>50.4512</v>
    <v>3309.75</v>
    <v>3424.85</v>
    <v>49573400</v>
    <v>NAVINFLUOR</v>
    <v>NAVIN FLUORINE INTERNATIONAL LIMITED (XNSE:NAVINFLUOR)</v>
    <v>584654</v>
    <v>328020</v>
    <v>1998</v>
  </rv>
  <rv s="2">
    <v>89</v>
  </rv>
  <rv s="0">
    <v>https://www.bing.com/financeapi/forcetrigger?t=ahjfbh&amp;q=XNSE%3aPIDILITIND&amp;form=skydnc</v>
    <v>Learn more on Bing</v>
  </rv>
  <rv s="1">
    <v>en-US</v>
    <v>ahjfbh</v>
    <v>268435456</v>
    <v>1</v>
    <v>Powered by Refinitiv</v>
    <v>0</v>
    <v>PIDILITE INDUSTRIES LIMITED (XNSE:PIDILITIND)</v>
    <v>2</v>
    <v>3</v>
    <v>Finance</v>
    <v>4</v>
    <v>3074</v>
    <v>2292.5500000000002</v>
    <v>0.59989999999999999</v>
    <v>38.6</v>
    <v>1.2942E-2</v>
    <v>INR</v>
    <v>Pidilite Industries Limited is an India-based manufacturer of adhesives and sealants, construction chemicals, craftsmen products, DIY (Do-It-Yourself) products, and polymer emulsions. The Company, together with its subsidiaries, is focused on consumer and industrial specialty chemicals. The Company's segments include Consumer and Bazaar (C&amp;B), Business to Business (B2B), and Others. The C&amp;B segment covers the sale of products mainly to end consumers, which are retail users such as carpenters, painters, plumbers, mechanics, households, students and offices, among others. The Company's products include adhesives, sealants, art and craft materials and construction and paint chemicals. The B2B segment includes industrial products such as adhesives, synthetic resins, organic pigments, pigment preparations, construction chemicals (projects) and surfactants, among others. It caters to various industries, such as packaging, textiles, joineries, printing inks, paper and leather, among others.</v>
    <v>7310</v>
    <v>National Stock Exchange of India</v>
    <v>XNSE</v>
    <v>XNSE</v>
    <v>Ramkrishna Mandir Road, Andheri - E, Mumbai, MUMBAI, MAHARASHTRA, 400059 IN</v>
    <v>3026</v>
    <v>Chemicals</v>
    <v>Stock</v>
    <v>45411.486666666664</v>
    <v>91</v>
    <v>2985.2</v>
    <v>1516927000000</v>
    <v>PIDILITE INDUSTRIES LIMITED</v>
    <v>PIDILITE INDUSTRIES LIMITED</v>
    <v>2990</v>
    <v>89.729399999999998</v>
    <v>2982.5</v>
    <v>3021.1</v>
    <v>508609300</v>
    <v>PIDILITIND</v>
    <v>PIDILITE INDUSTRIES LIMITED (XNSE:PIDILITIND)</v>
    <v>337877</v>
    <v>314850</v>
    <v>1969</v>
  </rv>
  <rv s="2">
    <v>92</v>
  </rv>
  <rv s="0">
    <v>https://www.bing.com/financeapi/forcetrigger?t=ahjhr7&amp;q=XNSE%3aPRAJIND&amp;form=skydnc</v>
    <v>Learn more on Bing</v>
  </rv>
  <rv s="1">
    <v>en-US</v>
    <v>ahjhr7</v>
    <v>268435456</v>
    <v>1</v>
    <v>Powered by Refinitiv</v>
    <v>0</v>
    <v>PRAJ INDUSTRIES LIMITED (XNSE:PRAJIND)</v>
    <v>2</v>
    <v>3</v>
    <v>Finance</v>
    <v>4</v>
    <v>650.5</v>
    <v>345</v>
    <v>1.4689000000000001</v>
    <v>24.45</v>
    <v>4.6767000000000003E-2</v>
    <v>INR</v>
    <v>Praj Industries Limited is an India-based industrial biotechnology company. The Company is engaged in the business of process and project engineering. It also provides design and engineering services. Its BioMobility platform offers technology solutions globally to produce renewable transportation fuel. The Company's Bio-Prism portfolio comprises of technologies for production of renewable chemicals and materials. The Company's business lines include BioEnergy, Praj HiPurity Systems, critical process equipment and skids, wastewater treatment, and brewery and beverages. Its BioEnergy solutions include first generation (1G) ethanol, which provides solutions for sugary feedstocks and solutions for starchy feedstocks. Its technologies include BIOSYRUP, EcoCool, MAXIMOL, Celluniti and enfinity. The Company provides environment friendly solutions through a zero liquid discharge (ZLD) system. It offers various services, such as fermentation, dehydration and effluent treatment, among others.</v>
    <v>1603</v>
    <v>National Stock Exchange of India</v>
    <v>XNSE</v>
    <v>XNSE</v>
    <v>Praj Tower 274 &amp; 275/2, Bhumkar Chowk, Hinjewadi Road, Hinjewadi, PUNE, MAHARASHTRA, 411057 IN</v>
    <v>550</v>
    <v>Construction &amp; Engineering</v>
    <v>Stock</v>
    <v>45411.486666666664</v>
    <v>94</v>
    <v>524.25</v>
    <v>96097480000</v>
    <v>PRAJ INDUSTRIES LIMITED</v>
    <v>PRAJ INDUSTRIES LIMITED</v>
    <v>525.25</v>
    <v>35.973700000000001</v>
    <v>522.79999999999995</v>
    <v>547.25</v>
    <v>183813100</v>
    <v>PRAJIND</v>
    <v>PRAJ INDUSTRIES LIMITED (XNSE:PRAJIND)</v>
    <v>2034908</v>
    <v>447520</v>
    <v>1985</v>
  </rv>
  <rv s="2">
    <v>95</v>
  </rv>
  <rv s="0">
    <v>https://www.bing.com/financeapi/forcetrigger?t=bzs5r7&amp;q=XNSE%3aRAILTEL&amp;form=skydnc</v>
    <v>Learn more on Bing</v>
  </rv>
  <rv s="6">
    <v>en-US</v>
    <v>bzs5r7</v>
    <v>268435456</v>
    <v>1</v>
    <v>Powered by Refinitiv</v>
    <v>11</v>
    <v>RAILTEL CORPORATION OF INDIA LIMITED (XNSE:RAILTEL)</v>
    <v>2</v>
    <v>12</v>
    <v>Finance</v>
    <v>4</v>
    <v>491.45</v>
    <v>104.25</v>
    <v>-4.45</v>
    <v>-1.1026000000000001E-2</v>
    <v>INR</v>
    <v>RailTel Corporation of India Limited is an India-based neutral telecom infrastructure provider, which owns a Pan-India optic fiber network on right of way (ROW) along a railway track. The Company's segments include Telecom Services and Project Work Services. It provides a range of telecom services to its customers, including managed data services, leased line, virtual private network, Internet leased line, data center, tower collocation, rack and space and national long-distance (NLD) for voice carriage. The Project Work Services segment includes various projects, such as national optical fiber network, telecom and information technology (IT) services related projects and enterprise-specific IT and information technology-enabled services (ITES) projects. The Company's OFC network covers towns and cities and several rural areas in India. It also provides various passenger services, including content on demand services and Wi-Fi across railway stations in India.</v>
    <v>765</v>
    <v>National Stock Exchange of India</v>
    <v>XNSE</v>
    <v>XNSE</v>
    <v>Plate-A, 6th Floor, Office Block Tower-2, East Kidwai Nagar, NEW DELHI, DELHI, 110023 IN</v>
    <v>410.5</v>
    <v>Telecommunications Services</v>
    <v>Stock</v>
    <v>45411.486666666664</v>
    <v>97</v>
    <v>396.85</v>
    <v>129530700000</v>
    <v>RAILTEL CORPORATION OF INDIA LIMITED</v>
    <v>RAILTEL CORPORATION OF INDIA LIMITED</v>
    <v>407.6</v>
    <v>52.292000000000002</v>
    <v>403.6</v>
    <v>399.15</v>
    <v>320938400</v>
    <v>RAILTEL</v>
    <v>RAILTEL CORPORATION OF INDIA LIMITED (XNSE:RAILTEL)</v>
    <v>2685644</v>
    <v>2898360</v>
    <v>2000</v>
  </rv>
  <rv s="2">
    <v>98</v>
  </rv>
  <rv s="0">
    <v>https://www.bing.com/financeapi/forcetrigger?t=ahjnmw&amp;q=XNSE%3aRELAXO&amp;form=skydnc</v>
    <v>Learn more on Bing</v>
  </rv>
  <rv s="1">
    <v>en-US</v>
    <v>ahjnmw</v>
    <v>268435456</v>
    <v>1</v>
    <v>Powered by Refinitiv</v>
    <v>0</v>
    <v>RELAXO FOOTWEARS LIMITED (XNSE:RELAXO)</v>
    <v>2</v>
    <v>3</v>
    <v>Finance</v>
    <v>4</v>
    <v>974</v>
    <v>762.45</v>
    <v>0.48499999999999999</v>
    <v>1</v>
    <v>1.2030000000000001E-3</v>
    <v>INR</v>
    <v>Relaxo Footwears Limited is an India-based footwear manufacturing company. The Company operates in three major categories, such as Relaxo &amp; Bahamas (rubber slippers), Flite (EVA and PU Slippers) and Sparx (sports and canvas shoes, sandals and sporty slippers). Its brands include Relaxo, Flite, Sparx, Bahamas, Boston, Mary Jane, and Kid's Fun. Relaxo is a brand synonymous with rubber slippers, which is a footwear for all segments of society and Flite is a range of semi- formal slippers. Sparx offers sports shoes, sandals and slippers. Bahamas offers flip flops. Boston is a formal footwear for men. MaryJane offers a range of footwear for the modern women. Kid's Fun offers footwear for kids. It offers shoes, such as formals, casuals, running, athleisure, walking and training and gym. Its sandals and slippers include Sandals &amp; Clogs, Flip Flops &amp; Slides and Chappals &amp; Slippers. It also operates more than 350 network of own retail outlets, with availability on all e-commerce portals.</v>
    <v>6736</v>
    <v>National Stock Exchange of India</v>
    <v>XNSE</v>
    <v>XNSE</v>
    <v>Aggarwal City square,Plot no 10, District center,Manglam Palace, Sector-3,Rohini, DELHI, DELHI, 110085 IN</v>
    <v>843.6</v>
    <v>Textiles &amp; Apparel</v>
    <v>Stock</v>
    <v>45411.486666666664</v>
    <v>100</v>
    <v>827.05</v>
    <v>206930200000</v>
    <v>RELAXO FOOTWEARS LIMITED</v>
    <v>RELAXO FOOTWEARS LIMITED</v>
    <v>832</v>
    <v>102.2646</v>
    <v>831.25</v>
    <v>832.25</v>
    <v>248938600</v>
    <v>RELAXO</v>
    <v>RELAXO FOOTWEARS LIMITED (XNSE:RELAXO)</v>
    <v>39870</v>
    <v>57970</v>
    <v>1984</v>
  </rv>
  <rv s="2">
    <v>101</v>
  </rv>
  <rv s="0">
    <v>https://www.bing.com/financeapi/forcetrigger?t=ahjo52&amp;q=XNSE%3aRELIANCE&amp;form=skydnc</v>
    <v>Learn more on Bing</v>
  </rv>
  <rv s="1">
    <v>en-US</v>
    <v>ahjo52</v>
    <v>268435456</v>
    <v>1</v>
    <v>Powered by Refinitiv</v>
    <v>0</v>
    <v>RELIANCE INDUSTRIES LIMITED (XNSE:RELIANCE)</v>
    <v>2</v>
    <v>3</v>
    <v>Finance</v>
    <v>4</v>
    <v>3024.9</v>
    <v>2131.65</v>
    <v>1.0083</v>
    <v>24.95</v>
    <v>8.5880000000000001E-3</v>
    <v>INR</v>
    <v>Reliance Industries Limited is an India-based company, which is engaged in the activities of hydrocarbon exploration and production, petroleum refining and marketing, petrochemicals, advanced materials and composites, renewables (solar and hydrogen), retail and digital services. The Company's segments include Oil to Chemicals (O2C), Oil and Gas, Retail and Digital Services. O2C segment includes refining, petrochemicals, fuel retailing, aviation fuel and bulk wholesale marketing, and also includes transportation fuels, polymers, polyesters and elastomers. O2C business assets include aromatics, gasification, multi-feed and gas crackers along with downstream manufacturing facilities, logistics and supply-chain infrastructure. Oil and Gas segment is engaged in exploration, development and production of crude oil and natural gas. Retail segment includes consumer retail and a range of related services. Digital Services segment is engaged in the provision of a range of digital services.</v>
    <v>389414</v>
    <v>National Stock Exchange of India</v>
    <v>XNSE</v>
    <v>XNSE</v>
    <v>Maker Chambers IV, Nariman Point, MUMBAI, MAHARASHTRA, 400021 IN</v>
    <v>2935.8</v>
    <v>Oil &amp; Gas</v>
    <v>Stock</v>
    <v>45411.486666666664</v>
    <v>103</v>
    <v>2900</v>
    <v>19655000000000</v>
    <v>RELIANCE INDUSTRIES LIMITED</v>
    <v>RELIANCE INDUSTRIES LIMITED</v>
    <v>2900</v>
    <v>28.451899999999998</v>
    <v>2905.1</v>
    <v>2930.05</v>
    <v>6766104000</v>
    <v>RELIANCE</v>
    <v>RELIANCE INDUSTRIES LIMITED (XNSE:RELIANCE)</v>
    <v>3623987</v>
    <v>6667160</v>
    <v>1973</v>
  </rv>
  <rv s="2">
    <v>104</v>
  </rv>
  <rv s="0">
    <v>https://www.bing.com/financeapi/forcetrigger?t=ahjxww&amp;q=XNSE%3aSHRIPISTON&amp;form=skydnc</v>
    <v>Learn more on Bing</v>
  </rv>
  <rv s="1">
    <v>en-US</v>
    <v>ahjxww</v>
    <v>268435456</v>
    <v>1</v>
    <v>Powered by Refinitiv</v>
    <v>0</v>
    <v>SHRIRAM PISTONS &amp; RINGS LIMITED (XNSE:SHRIPISTON)</v>
    <v>2</v>
    <v>3</v>
    <v>Finance</v>
    <v>4</v>
    <v>2206</v>
    <v>551.5</v>
    <v>1.389</v>
    <v>-30.2</v>
    <v>-1.4450000000000001E-2</v>
    <v>INR</v>
    <v>Shriram Pistons &amp; Rings Limited is an India-based company, which is engaged in the manufacturing of various products, such as pistons and piston pins, piston rings, and engine valves. The Company caters to both domestic and international markets. The Company is principally engaged in assembling of automobile pistons. It operates through the automotive components segment. The Company has a diverse product portfolio, across various market segments, including original equipment manufacturers (OEMs), after market and export markets, and across various vehicle segments, including commercial vehicles, passenger vehicles, two/three wheelers, and tractors. It offers a range of Pistons and Piston Pins, including thin-walled piston, diamond-like carbon (DLC) coating on pins, groove anodizing, forged piston, crown anodizing, cooling gallery piston, nano friks, and piston pin bore bushing. Its additional product line includes cylinder liners, crankshafts, connecting rods, filters, and gaskets.</v>
    <v>3907</v>
    <v>National Stock Exchange of India</v>
    <v>XNSE</v>
    <v>XNSE</v>
    <v>3rd Floor, Himalaya House 23, Kasturba Gandhi Marg, NEW DELHI, DELHI, 110001 IN</v>
    <v>2110.9</v>
    <v>Automobiles &amp; Auto Parts</v>
    <v>Stock</v>
    <v>45411.486678240741</v>
    <v>106</v>
    <v>2035</v>
    <v>92059730000</v>
    <v>SHRIRAM PISTONS &amp; RINGS LIMITED</v>
    <v>SHRIRAM PISTONS &amp; RINGS LIMITED</v>
    <v>2107.25</v>
    <v>24.552199999999999</v>
    <v>2089.9</v>
    <v>2059.6999999999998</v>
    <v>44049820</v>
    <v>SHRIPISTON</v>
    <v>SHRIRAM PISTONS &amp; RINGS LIMITED (XNSE:SHRIPISTON)</v>
    <v>88463</v>
    <v>112650</v>
    <v>1963</v>
  </rv>
  <rv s="2">
    <v>107</v>
  </rv>
  <rv s="0">
    <v>https://www.bing.com/financeapi/forcetrigger?t=c2jxar&amp;q=XNSE%3aSONACOMS&amp;form=skydnc</v>
    <v>Learn more on Bing</v>
  </rv>
  <rv s="1">
    <v>en-US</v>
    <v>c2jxar</v>
    <v>268435456</v>
    <v>1</v>
    <v>Powered by Refinitiv</v>
    <v>0</v>
    <v>SONA BLW PRECISION FORGINGS LIMITED (XNSE:SONACOMS)</v>
    <v>2</v>
    <v>3</v>
    <v>Finance</v>
    <v>4</v>
    <v>718.85</v>
    <v>453.35</v>
    <v>1.06</v>
    <v>-10.85</v>
    <v>-1.6752E-2</v>
    <v>INR</v>
    <v>Sona BLW Precision Forgings Limited is an India-based company, which is engaged in the manufacturing of precision forged bevel gears and differential case assemblies for automotive and other applications. The Company is engaged in the production of differential assemblies, differential gears, conventional and micro-hybrid starter motors, belt starter generator (BSG) systems, electric vehicle (EV) traction motors, such as brushless direct current (BLDC) and permanent magnet synchronous motors (PMSM) and motor control units. Its driveline technology products include precision forged gears and couplings, and e-drive, among others. Its products offer application across various vehicle categories includes electric vehicles, conventional passenger vehicles, commercial vehicles, off-highway vehicles, electric cars, electric light commercial vehicles, and electric two and three wheelers. It operates approximately nine manufacturing facilities across India, the United States, Mexico and China.</v>
    <v>4065</v>
    <v>National Stock Exchange of India</v>
    <v>XNSE</v>
    <v>XNSE</v>
    <v>Unit I, Unit II &amp; Unit III Sona Enclave, Village Begumpur Khatola Sector 35, P.O. - 90, GURGAON, HARYANA, 122004 IN</v>
    <v>654.20000000000005</v>
    <v>Automobiles &amp; Auto Parts</v>
    <v>Stock</v>
    <v>45411.486678240741</v>
    <v>109</v>
    <v>633.20000000000005</v>
    <v>379842200000</v>
    <v>SONA BLW PRECISION FORGINGS LIMITED</v>
    <v>SONA BLW PRECISION FORGINGS LIMITED</v>
    <v>650</v>
    <v>76.321600000000004</v>
    <v>647.70000000000005</v>
    <v>636.85</v>
    <v>586447800</v>
    <v>SONACOMS</v>
    <v>SONA BLW PRECISION FORGINGS LIMITED (XNSE:SONACOMS)</v>
    <v>1663062</v>
    <v>2220000</v>
    <v>1995</v>
  </rv>
  <rv s="2">
    <v>110</v>
  </rv>
  <rv s="0">
    <v>https://www.bing.com/financeapi/forcetrigger?t=ahk57w&amp;q=XNSE%3aSUBEXLTD&amp;form=skydnc</v>
    <v>Learn more on Bing</v>
  </rv>
  <rv s="1">
    <v>en-US</v>
    <v>ahk57w</v>
    <v>268435456</v>
    <v>1</v>
    <v>Powered by Refinitiv</v>
    <v>0</v>
    <v>SUBEX LIMITED (XNSE:SUBEXLTD)</v>
    <v>2</v>
    <v>3</v>
    <v>Finance</v>
    <v>4</v>
    <v>45.8</v>
    <v>26.8</v>
    <v>1.3145</v>
    <v>-0.1</v>
    <v>-3.1949999999999999E-3</v>
    <v>INR</v>
    <v>Subex Limited is an India-based provider of telecom analytics solutions. The Company is engaged in providing of operations and business support systems (OSS/BSS) to communication service providers (CSPs) worldwide in the telecom industry. The Company operates across North America, South America, Canada, Europe, Middle East, Singapore, Australia, and Bangladesh. It offers business assurance, fraud and security, network analytics, identity management, OT security, partner ecosystem management. The Company's network security suite offers comprehensive solutions, services, and consulting designed to secure networks and the components, thus ensuring network integrity and availability. Its AI-First Fraud Management on HyperSense is an end-to-end fraud management solution that provides 360-degree protection across various service offerings. The Company's operational technology (OT) and internet of things (IoT) cybersecurity solutions provides converged networks, detect malicious behaviors.</v>
    <v>677</v>
    <v>National Stock Exchange of India</v>
    <v>XNSE</v>
    <v>XNSE</v>
    <v>Pritech Park,, SEZ Block -09, 4th Floor B Wing, Survey No. 51 to 64/4 Outer Ring Road, Bellandur Village Varthur,Hobli, BANGALORE, KARNATAKA, 560103 IN</v>
    <v>32.200000000000003</v>
    <v>Software &amp; IT Services</v>
    <v>Stock</v>
    <v>45411.486678240741</v>
    <v>112</v>
    <v>30.55</v>
    <v>17347270000</v>
    <v>SUBEX LIMITED</v>
    <v>SUBEX LIMITED</v>
    <v>31.55</v>
    <v>0</v>
    <v>31.3</v>
    <v>31.2</v>
    <v>554225900</v>
    <v>SUBEXLTD</v>
    <v>SUBEX LIMITED (XNSE:SUBEXLTD)</v>
    <v>5858786</v>
    <v>7903680</v>
    <v>1994</v>
  </rv>
  <rv s="2">
    <v>113</v>
  </rv>
  <rv s="0">
    <v>https://www.bing.com/financeapi/forcetrigger?t=ahk8vh&amp;q=XNSE%3aTANLA&amp;form=skydnc</v>
    <v>Learn more on Bing</v>
  </rv>
  <rv s="1">
    <v>en-US</v>
    <v>ahk8vh</v>
    <v>268435456</v>
    <v>1</v>
    <v>Powered by Refinitiv</v>
    <v>0</v>
    <v>TANLA PLATFORMS LIMITED (XNSE:TANLA)</v>
    <v>2</v>
    <v>3</v>
    <v>Finance</v>
    <v>4</v>
    <v>1317.95</v>
    <v>615.35</v>
    <v>1.9664999999999999</v>
    <v>-18.899999999999999</v>
    <v>-2.0219999999999998E-2</v>
    <v>INR</v>
    <v>Tanla Platforms Limited is a cloud communication provider. It is a provider of application to person (A2P) messaging platforms. It develops and delivers technology and products, which meet the needs of a diverse clientele, from enterprises to carriers across the world. It provides mobile messaging and payment solutions for A2P messaging services. Its products include Wisely, Trubloq, messaging, voice, and Internet of things (IOT). Wisely is a communication platform as a service, (CPaaS) offering a digital marketplace for enterprises and suppliers. Trubloq is a blockchain-based stack that enables individuals to own, control and manage their commercial communications, enabling businesses to build trusted relationships with their consumers. Its messaging products include short service messaging centers (SMSC's), SMS hobbling, unstructured supplementary service data (USSD) center and push notifications. Its subsidiaries include Karix Mobile Private Limited, Tanla Foundation among others.</v>
    <v>312</v>
    <v>National Stock Exchange of India</v>
    <v>XNSE</v>
    <v>XNSE</v>
    <v>Tanla Technology Centre, Madhapur, HYDERABAD, TELANGANA, 500081 IN</v>
    <v>941</v>
    <v>Software &amp; IT Services</v>
    <v>Stock</v>
    <v>45411.486678240741</v>
    <v>115</v>
    <v>911</v>
    <v>125679600000</v>
    <v>TANLA PLATFORMS LIMITED</v>
    <v>TANLA PLATFORMS LIMITED</v>
    <v>940.1</v>
    <v>22.92</v>
    <v>934.7</v>
    <v>915.8</v>
    <v>134459900</v>
    <v>TANLA</v>
    <v>TANLA PLATFORMS LIMITED (XNSE:TANLA)</v>
    <v>465937</v>
    <v>1099660</v>
    <v>1995</v>
  </rv>
  <rv s="2">
    <v>116</v>
  </rv>
  <rv s="0">
    <v>https://www.bing.com/financeapi/forcetrigger?t=ahk9dm&amp;q=XNSE%3aTATACHEM&amp;form=skydnc</v>
    <v>Learn more on Bing</v>
  </rv>
  <rv s="1">
    <v>en-US</v>
    <v>ahk9dm</v>
    <v>268435456</v>
    <v>1</v>
    <v>Powered by Refinitiv</v>
    <v>0</v>
    <v>TATA CHEMICALS LIMITED (XNSE:TATACHEM)</v>
    <v>2</v>
    <v>3</v>
    <v>Finance</v>
    <v>4</v>
    <v>1349</v>
    <v>929.05</v>
    <v>1.3937999999999999</v>
    <v>-22.5</v>
    <v>-2.0053000000000001E-2</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Specialty Products segment includes three products: specialty silica, prebiotics and Agri inputs. Its specialty silica range serves food, rubber and tire industry. Its prebiotics and formulations are targeted at food, animal feed and pharmaceutical applications. The Company's subsidiary, Rallis India Limited, produces and markets a range of Agri inputs including seeds for Indian and overseas farmers.</v>
    <v>4622</v>
    <v>National Stock Exchange of India</v>
    <v>XNSE</v>
    <v>XNSE</v>
    <v>Bombay House, 24 Homi Mody Street Fort, MUMBAI, MAHARASHTRA, 400001 IN</v>
    <v>1136</v>
    <v>Chemicals</v>
    <v>Stock</v>
    <v>45411.486678240741</v>
    <v>118</v>
    <v>1095.9000000000001</v>
    <v>285836500000</v>
    <v>TATA CHEMICALS LIMITED</v>
    <v>TATA CHEMICALS LIMITED</v>
    <v>1135</v>
    <v>15.71</v>
    <v>1122</v>
    <v>1099.5</v>
    <v>254756300</v>
    <v>TATACHEM</v>
    <v>TATA CHEMICALS LIMITED (XNSE:TATACHEM)</v>
    <v>2083202</v>
    <v>2062950</v>
    <v>1939</v>
  </rv>
  <rv s="2">
    <v>119</v>
  </rv>
  <rv s="0">
    <v>https://www.bing.com/financeapi/forcetrigger?t=ahk9p2&amp;q=XNSE%3aTATACONSUM&amp;form=skydnc</v>
    <v>Learn more on Bing</v>
  </rv>
  <rv s="1">
    <v>en-US</v>
    <v>ahk9p2</v>
    <v>268435456</v>
    <v>1</v>
    <v>Powered by Refinitiv</v>
    <v>0</v>
    <v>TATA CONSUMER PRODUCTS LIMITED (XNSE:TATACONSUM)</v>
    <v>2</v>
    <v>3</v>
    <v>Finance</v>
    <v>4</v>
    <v>1269</v>
    <v>706</v>
    <v>0.91359999999999997</v>
    <v>-4.1500000000000004</v>
    <v>-3.764E-3</v>
    <v>INR</v>
    <v>Tata Consumer Products Limited is an India-based company that is engaged in the trading, production, and distribution of consumer products. The Company operates through two segments: Branded and Non-Branded. Branded segment is sub-categorized as India Business and International Business. Its India Business is engaged in the sale of branded tea, coffee &amp; water, and sale of food products in various value-added forms. Its International Business is engaged in the sale of branded tea, coffee &amp; water, and the sale of food products in various value-added forms. The Company has branded beverage business in India, Europe, United States, Canada and Australia, and food business in India. Non-Branded segment is involved in plantation and extraction business for tea, coffee and other produce in India, Vietnam, and the United States. The Company’s subsidiary is Tata Consumer Products UK Group Ltd.</v>
    <v>3040</v>
    <v>National Stock Exchange of India</v>
    <v>XNSE</v>
    <v>XNSE</v>
    <v>11/13, Botawala Building, 1st Floor, Office #2 -6, Horniman Circle Fort, MUMBAI, MAHARASHTRA, 400001 IN</v>
    <v>1110.4000000000001</v>
    <v>Food &amp; Tobacco</v>
    <v>Stock</v>
    <v>45411.486678240741</v>
    <v>121</v>
    <v>1088.9000000000001</v>
    <v>1050643000000</v>
    <v>TATA CONSUMER PRODUCTS LIMITED</v>
    <v>TATA CONSUMER PRODUCTS LIMITED</v>
    <v>1108.9000000000001</v>
    <v>89.0916</v>
    <v>1102.6500000000001</v>
    <v>1098.5</v>
    <v>952834800</v>
    <v>TATACONSUM</v>
    <v>TATA CONSUMER PRODUCTS LIMITED (XNSE:TATACONSUM)</v>
    <v>2254895</v>
    <v>3012040</v>
    <v>1962</v>
  </rv>
  <rv s="2">
    <v>122</v>
  </rv>
  <rv s="0">
    <v>https://www.bing.com/financeapi/forcetrigger?t=ahk9m7&amp;q=XNSE%3aTATAELXSI&amp;form=skydnc</v>
    <v>Learn more on Bing</v>
  </rv>
  <rv s="1">
    <v>en-US</v>
    <v>ahk9m7</v>
    <v>268435456</v>
    <v>1</v>
    <v>Powered by Refinitiv</v>
    <v>0</v>
    <v>TATA ELXSI LIMITED (XNSE:TATAELXSI)</v>
    <v>2</v>
    <v>3</v>
    <v>Finance</v>
    <v>4</v>
    <v>9200</v>
    <v>6220.05</v>
    <v>1.0880000000000001</v>
    <v>-1.1000000000000001</v>
    <v>-1.548E-4</v>
    <v>INR</v>
    <v>Tata Elxsi Limited is an India-based global design and technology services company. The Company's business segments include system integration and support, and software development and services. It has expertise in automotive engineering spanning areas, such as advanced driver-assistance systems, autonomous driving, electrification, and connected car solutions. The Company supports clients in reimagining their products and services by applying design thinking and digital technologies such as Internet of things (IoT), cloud, mobility, virtual reality and artificial intelligence. The Company offers platforms and solutions such as TETHER, which is a connected vehicle platform; TECockpit, which is an integrated cockpit solution, and Autom@TE, which is a test automation suite. The Company provides digital content creation for the media and entertainment industry. It provides services across industries, including automotive, broadcast, communications, healthcare and transportation.</v>
    <v>11254</v>
    <v>National Stock Exchange of India</v>
    <v>XNSE</v>
    <v>XNSE</v>
    <v>ITPL Road,, Whitefield,, BANGALORE, KARNATAKA, 560048 IN</v>
    <v>7174</v>
    <v>Software &amp; IT Services</v>
    <v>Stock</v>
    <v>45411.486678240741</v>
    <v>124</v>
    <v>7078.05</v>
    <v>442393200000</v>
    <v>TATA ELXSI LIMITED</v>
    <v>TATA ELXSI LIMITED</v>
    <v>7174</v>
    <v>55.83</v>
    <v>7103.7</v>
    <v>7102.6</v>
    <v>62276440</v>
    <v>TATAELXSI</v>
    <v>TATA ELXSI LIMITED (XNSE:TATAELXSI)</v>
    <v>93406</v>
    <v>192560</v>
    <v>1989</v>
  </rv>
  <rv s="2">
    <v>125</v>
  </rv>
  <rv s="0">
    <v>https://www.bing.com/financeapi/forcetrigger?t=ahk9xm&amp;q=XNSE%3aTATAMOTORS&amp;form=skydnc</v>
    <v>Learn more on Bing</v>
  </rv>
  <rv s="1">
    <v>en-US</v>
    <v>ahk9xm</v>
    <v>268435456</v>
    <v>1</v>
    <v>Powered by Refinitiv</v>
    <v>0</v>
    <v>TATA MOTORS LIMITED (XNSE:TATAMOTORS)</v>
    <v>2</v>
    <v>3</v>
    <v>Finance</v>
    <v>4</v>
    <v>1065.5999999999999</v>
    <v>468.3</v>
    <v>1.7930999999999999</v>
    <v>1.1000000000000001</v>
    <v>1.101E-3</v>
    <v>INR</v>
    <v>Tata Motors Limited is a global automobile manufacturing company. The Company’s diverse portfolio includes a range of cars, sports utility vehicles, trucks, buses and defense vehicles. Its segments include automotive operations and other operations. Its automotive segment consists of four reportable sub-segments: Tata Commercial Vehicles, which include small commercial vehicles (SCV) and pickup trucks, medium and heavy commercial vehicles and intermediate light commercial vehicle and CV passenger vehicles manufactured under the Tata and Daewoo brands; Tata Passenger Vehicles, which include passenger vehicles and utility vehicles manufactured under the Tata and Fiat brands; Jaguar Land Rover, which include vehicles manufactured under the Jaguar Land Rover brand; and Vehicle Financing, which include financing of new vehicles and pre-owned vehicles. The Company’s other operations consist of information technology (IT) services, machine tools, and factory automation solutions.</v>
    <v>81811</v>
    <v>National Stock Exchange of India</v>
    <v>XNSE</v>
    <v>XNSE</v>
    <v>4th Floor, Ahura Centre, 82 Mahakali Caves Road, MIDC, Andheri East, MUMBAI, MAHARASHTRA, 400093 IN</v>
    <v>1005.75</v>
    <v>Automobiles &amp; Auto Parts</v>
    <v>Stock</v>
    <v>45411.486678240741</v>
    <v>127</v>
    <v>999</v>
    <v>3664147000000</v>
    <v>TATA MOTORS LIMITED</v>
    <v>TATA MOTORS LIMITED</v>
    <v>1003.05</v>
    <v>15.937200000000001</v>
    <v>999.5</v>
    <v>1000.6</v>
    <v>3832242000</v>
    <v>TATAMOTORS</v>
    <v>TATA MOTORS LIMITED (XNSE:TATAMOTORS)</v>
    <v>4764750</v>
    <v>9886170</v>
    <v>1945</v>
  </rv>
  <rv s="2">
    <v>128</v>
  </rv>
  <rv s="0">
    <v>https://www.bing.com/financeapi/forcetrigger?t=ahka4c&amp;q=XNSE%3aTATAPOWER&amp;form=skydnc</v>
    <v>Learn more on Bing</v>
  </rv>
  <rv s="1">
    <v>en-US</v>
    <v>ahka4c</v>
    <v>268435456</v>
    <v>1</v>
    <v>Powered by Refinitiv</v>
    <v>0</v>
    <v>THE TATA POWER COMPANY LIMITED (XNSE:TATAPOWER)</v>
    <v>2</v>
    <v>3</v>
    <v>Finance</v>
    <v>4</v>
    <v>451.35</v>
    <v>194.8</v>
    <v>1.3050999999999999</v>
    <v>11.1</v>
    <v>2.5405999999999998E-2</v>
    <v>INR</v>
    <v>The Tata Power Company Limited is an India-based integrated power company. The principal business of the Company is generation, transmission and distribution of electricity. The Company’s segments include Generation, Renewables, Transmission and Distribution, and Others. The Generation segment comprises generation of power from hydroelectric sources and thermal sources (coal, gas and oil) from plants owned and operated under lease arrangement and related ancillary services. The Renewables segment comprises of generation of power from renewable energy sources, such as wind and solar. The Transmission and Distribution segment includes transmission and distribution network, sale of power to retail customers through distribution network and related ancillary services. It also comprises of power trading business. The Others segment includes project management contracts/infrastructure management services, property development, lease rent of oil tanks and satellite communication.</v>
    <v>3071</v>
    <v>National Stock Exchange of India</v>
    <v>XNSE</v>
    <v>XNSE</v>
    <v>Bombay House,, 24, Homi Mody Street,, MUMBAI, MAHARASHTRA, 400001 IN</v>
    <v>451.35</v>
    <v>Electrical Utilities &amp; IPPs</v>
    <v>Stock</v>
    <v>45411.486678240741</v>
    <v>130</v>
    <v>437.25</v>
    <v>1396044000000</v>
    <v>THE TATA POWER COMPANY LIMITED</v>
    <v>THE TATA POWER COMPANY LIMITED</v>
    <v>439.85</v>
    <v>39.04</v>
    <v>436.9</v>
    <v>448</v>
    <v>3195340000</v>
    <v>TATAPOWER</v>
    <v>THE TATA POWER COMPANY LIMITED (XNSE:TATAPOWER)</v>
    <v>23566023</v>
    <v>16169250</v>
    <v>1919</v>
  </rv>
  <rv s="2">
    <v>131</v>
  </rv>
  <rv s="0">
    <v>https://www.bing.com/financeapi/forcetrigger?t=ahkaa2&amp;q=XNSE%3aTATASTEEL&amp;form=skydnc</v>
    <v>Learn more on Bing</v>
  </rv>
  <rv s="1">
    <v>en-US</v>
    <v>ahkaa2</v>
    <v>268435456</v>
    <v>1</v>
    <v>Powered by Refinitiv</v>
    <v>0</v>
    <v>TATA STEEL LIMITED (XNSE:TATASTEEL)</v>
    <v>2</v>
    <v>3</v>
    <v>Finance</v>
    <v>4</v>
    <v>170.7</v>
    <v>104.05</v>
    <v>1.5092000000000001</v>
    <v>1.6</v>
    <v>9.6499999999999989E-3</v>
    <v>INR</v>
    <v>Tata Steel Ltd is an India-based steel company. The Company is engaged in the manufacturing and marketing of crude steel products. It operates through three segments: flat products, long products and special products. Its flat products include flat steel, plate, and sheet steel; hot and cold rolled coils; electrical steels, such as mild and high-strength steel bars, wire rods, wires and cables; and stainless steel.</v>
    <v>75263</v>
    <v>National Stock Exchange of India</v>
    <v>XNSE</v>
    <v>XNSE</v>
    <v>Bombay House, 24, Homi Modi Street, MUMBAI, MAHARASHTRA, 400001 IN</v>
    <v>169.6</v>
    <v>Metals &amp; Mining</v>
    <v>Stock</v>
    <v>45411.486678240741</v>
    <v>133</v>
    <v>166.9</v>
    <v>2069770000000</v>
    <v>TATA STEEL LIMITED</v>
    <v>TATA STEEL LIMITED</v>
    <v>168.2</v>
    <v>0</v>
    <v>165.8</v>
    <v>167.4</v>
    <v>12485450000</v>
    <v>TATASTEEL</v>
    <v>TATA STEEL LIMITED (XNSE:TATASTEEL)</v>
    <v>44906151</v>
    <v>53628570</v>
    <v>1907</v>
  </rv>
  <rv s="2">
    <v>134</v>
  </rv>
  <rv s="0">
    <v>https://www.bing.com/financeapi/forcetrigger?t=ahkau2&amp;q=XNSE%3aTCS&amp;form=skydnc</v>
    <v>Learn more on Bing</v>
  </rv>
  <rv s="1">
    <v>en-US</v>
    <v>ahkau2</v>
    <v>268435456</v>
    <v>1</v>
    <v>Powered by Refinitiv</v>
    <v>0</v>
    <v>TATA CONSULTANCY SERVICES LIMITED (XNSE:TCS)</v>
    <v>2</v>
    <v>3</v>
    <v>Finance</v>
    <v>4</v>
    <v>4254.75</v>
    <v>3111.73</v>
    <v>0.55830000000000002</v>
    <v>48.85</v>
    <v>1.2782999999999999E-2</v>
    <v>INR</v>
    <v>Tata Consultancy Services Limited (TCS) is an India-based company engaged in providing information technology (IT) services, consulting, and business solutions. It operates through Banking; Capital Markets; Consumer Goods and Distribution; Communications, Media, and Information Services; Education; Energy, Resources, and Utilities; Healthcare; High Tech; Insurance; Life Sciences; Manufacturing; Public Services; Retail; Travel and Logistics.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Cloud, Cognitive Business Operations, Consulting, Cybersecurity, Data and Analytics, Enterprise Solutions, IoT and Digital Engineering, Sustainability Services, TCS Interactive, TCS and AWS Cloud, TCS Enterprise Cloud, TCS and Google Cloud, TCS and Microsoft Cloud.</v>
    <v>601546</v>
    <v>National Stock Exchange of India</v>
    <v>XNSE</v>
    <v>XNSE</v>
    <v>9th Floor, Nirmal Building,, Nariman Point, MUMBAI, MAHARASHTRA, 400021 IN</v>
    <v>3877.8</v>
    <v>Software &amp; IT Services</v>
    <v>Stock</v>
    <v>45411.486678240741</v>
    <v>136</v>
    <v>3819.2</v>
    <v>13825980000000</v>
    <v>TATA CONSULTANCY SERVICES LIMITED</v>
    <v>TATA CONSULTANCY SERVICES LIMITED</v>
    <v>3838</v>
    <v>30.723500000000001</v>
    <v>3821.35</v>
    <v>3870.2</v>
    <v>3618087000</v>
    <v>TCS</v>
    <v>TATA CONSULTANCY SERVICES LIMITED (XNSE:TCS)</v>
    <v>1110693</v>
    <v>2778980</v>
    <v>1995</v>
  </rv>
  <rv s="2">
    <v>137</v>
  </rv>
  <rv s="0">
    <v>https://www.bing.com/financeapi/forcetrigger?t=ahkaww&amp;q=XNSE%3aTDPOWERSYS&amp;form=skydnc</v>
    <v>Learn more on Bing</v>
  </rv>
  <rv s="1">
    <v>en-US</v>
    <v>ahkaww</v>
    <v>268435456</v>
    <v>1</v>
    <v>Powered by Refinitiv</v>
    <v>0</v>
    <v>TD POWER SYSTEMS LIMITED (XNSE:TDPOWERSYS)</v>
    <v>2</v>
    <v>3</v>
    <v>Finance</v>
    <v>4</v>
    <v>361</v>
    <v>157.55000000000001</v>
    <v>1.3807</v>
    <v>-1.85</v>
    <v>-5.2849999999999998E-3</v>
    <v>INR</v>
    <v>TD Power Systems Limited is an India-based manufacturer of air-condition (AC) generators and electric motors for various applications, which are specifically designed and tailor-made to suit the needs of the customers based on their requirements and specifications. The Company’s products include generators, motors, replacement, refurbishment and spares. It offers various types of generators, including Steam Turbine Generators, Gas Turbine Generators, Hydro Turbine Generators, Wind Turbine Generators, Gas Engine Generators, Diesel Engine Generators, Generators for Marine Application, Generators for Testing Application and Generators for Geothermal Application. The Company offers a range of motors, including Induction Motor, Traction Motor and Synchronous Motor. The Company has its own technology for generators up to 60 megawatts (MW) for four pole generators and is a licensee of Siemens AG for two pole generators from 60 MW up to 200 MW.</v>
    <v>708</v>
    <v>National Stock Exchange of India</v>
    <v>XNSE</v>
    <v>XNSE</v>
    <v>27, 28 and 29, KIADB Industrial Area, Dabaspet, NelamangalaTaluk, Bengaluru Rural District, BANGALORE, KARNATAKA, 562111 IN</v>
    <v>352.9</v>
    <v>Machinery, Equipment &amp; Components</v>
    <v>Stock</v>
    <v>45411.486678240741</v>
    <v>139</v>
    <v>346.2</v>
    <v>54667340000</v>
    <v>TD POWER SYSTEMS LIMITED</v>
    <v>TD POWER SYSTEMS LIMITED</v>
    <v>351.8</v>
    <v>43.8</v>
    <v>350.05</v>
    <v>348.2</v>
    <v>156170100</v>
    <v>TDPOWERSYS</v>
    <v>TD POWER SYSTEMS LIMITED (XNSE:TDPOWERSYS)</v>
    <v>436408</v>
    <v>1309610</v>
    <v>1999</v>
  </rv>
  <rv s="2">
    <v>140</v>
  </rv>
  <rv s="0">
    <v>https://www.bing.com/financeapi/forcetrigger?t=ahkdxm&amp;q=XNSE%3aTITAN&amp;form=skydnc</v>
    <v>Learn more on Bing</v>
  </rv>
  <rv s="1">
    <v>en-US</v>
    <v>ahkdxm</v>
    <v>268435456</v>
    <v>1</v>
    <v>Powered by Refinitiv</v>
    <v>0</v>
    <v>TITAN COMPANY LIMITED (XNSE:TITAN)</v>
    <v>2</v>
    <v>3</v>
    <v>Finance</v>
    <v>4</v>
    <v>3886.95</v>
    <v>2570</v>
    <v>1.0647</v>
    <v>20.05</v>
    <v>5.5929999999999999E-3</v>
    <v>INR</v>
    <v>Titan Company Limited is an India-based consumer lifestyle company. The Company is primarily involved in the manufacturing and sale of Watches, Jewellery, Eyewear and other accessories and products. The Company's segments include Watches and Wearables, Jewellery, Eyewear and Others. The Watches and Wearables segment includes brands, such as Titan, Titan Clock, Fastrack, Sonata, Zoop, Octane, Xylys, Helios, Titan Raga, Favre-Leuba, Nebula and SF. The Jewellery segment includes brands, such as Tanishq, Mia, Zoya and CaratLane. The Eyewear segment includes the Titan EyePlus brand. The Others segment includes Aerospace &amp; Defence, Automation Solutions, Fragrances, Accessories and Indian dress wear. Its new business includes brands, such as Skinn and Taneira. The Company's subsidiaries include Titan Engineering &amp; Automation Limited, Caratlane Trading Private Limited, Favre Leuba AG, Titan Holdings International FZCO, Titan Commodity Trading Limited and TCL North America Inc., among others.</v>
    <v>7857</v>
    <v>National Stock Exchange of India</v>
    <v>XNSE</v>
    <v>XNSE</v>
    <v>Integrity, #193, Veerasandra, Electronic City P.O.,, Off Hosur Main Road,, BANGALORE, KARNATAKA, 560100 IN</v>
    <v>3613.45</v>
    <v>Textiles &amp; Apparel</v>
    <v>Stock</v>
    <v>45411.486678240741</v>
    <v>142</v>
    <v>3573.15</v>
    <v>3182536000000</v>
    <v>TITAN COMPANY LIMITED</v>
    <v>TITAN COMPANY LIMITED</v>
    <v>3585</v>
    <v>92.604900000000001</v>
    <v>3584.8</v>
    <v>3604.85</v>
    <v>887786100</v>
    <v>TITAN</v>
    <v>TITAN COMPANY LIMITED (XNSE:TITAN)</v>
    <v>703524</v>
    <v>1184680</v>
    <v>1984</v>
  </rv>
  <rv s="2">
    <v>143</v>
  </rv>
  <rv s="0">
    <v>https://www.bing.com/financeapi/forcetrigger?t=ahkmim&amp;q=XNSE%3aVOLTAS&amp;form=skydnc</v>
    <v>Learn more on Bing</v>
  </rv>
  <rv s="1">
    <v>en-US</v>
    <v>ahkmim</v>
    <v>268435456</v>
    <v>1</v>
    <v>Powered by Refinitiv</v>
    <v>0</v>
    <v>VOLTAS LIMITED (XNSE:VOLTAS)</v>
    <v>2</v>
    <v>3</v>
    <v>Finance</v>
    <v>4</v>
    <v>1477.35</v>
    <v>745</v>
    <v>0.81159999999999999</v>
    <v>12.9</v>
    <v>8.8680000000000009E-3</v>
    <v>INR</v>
    <v>Voltas Limited is an India-based air conditioning and engineering solutions provider and a projects specialist. The Company's segments include Unitary Cooling Products, Electro - Mechanical Projects and Services, and Engineering Products and Services. Unitary Cooling Products segment includes manufacturing, selling and after sales services of cooling appliances and cold storage products, and facilities maintenance and hard services, such as operations and maintenance contracts in various sectors, retrofits and energy management, among others. Electro - Mechanical Projects and Services segment includes electro-mechanical projects, such as electricals, heating, ventilation and air conditioning, plumbing, extra low voltage and specialized services, and water solutions, such as comprises water treatment solutions for industrial, oil and gas and domestic sewage segments, among others. Engineering Products and Services segment includes textile machinery and mining and construction equipment.</v>
    <v>9614</v>
    <v>National Stock Exchange of India</v>
    <v>XNSE</v>
    <v>XNSE</v>
    <v>Voltas House, A' Block, Dr. Babasaheb Ambedkar Road, MUMBAI, MAHARASHTRA, 400033 IN</v>
    <v>1477.35</v>
    <v>Machinery, Equipment &amp; Components</v>
    <v>Stock</v>
    <v>45411.486678240741</v>
    <v>145</v>
    <v>1454</v>
    <v>481354600000</v>
    <v>VOLTAS LIMITED</v>
    <v>VOLTAS LIMITED</v>
    <v>1465</v>
    <v>172.88</v>
    <v>1454.75</v>
    <v>1467.65</v>
    <v>330884700</v>
    <v>VOLTAS</v>
    <v>VOLTAS LIMITED (XNSE:VOLTAS)</v>
    <v>1670290</v>
    <v>2502450</v>
    <v>1954</v>
  </rv>
  <rv s="2">
    <v>146</v>
  </rv>
  <rv s="0">
    <v>https://www.bing.com/financeapi/forcetrigger?t=bp6ef2&amp;q=Canara+Robeco+Small+Cap+Fund-Dir-Gth&amp;form=skydnc</v>
    <v>Learn more on Bing</v>
  </rv>
  <rv s="7">
    <v>en-US</v>
    <v>bp6ef2</v>
    <v>268435456</v>
    <v>1</v>
    <v>Powered by Refinitiv</v>
    <v>13</v>
    <v>Canara Robeco Small Cap Fund-Dir-Gth</v>
    <v>14</v>
    <v>15</v>
    <v>Finance</v>
    <v>16</v>
    <v>0.08</v>
    <v>2.1090000000000002E-3</v>
    <v>IN</v>
    <v>INR</v>
    <v>4.1999999999999997E-3</v>
    <v>Mutual Fund</v>
    <v>45408</v>
    <v>45409.89591700703</v>
    <v>148</v>
    <v>Canara Robeco Small Cap Fund-Dir-Gth</v>
    <v>37.94</v>
    <v>38.020000000000003</v>
    <v>0</v>
    <v>8.2881999999999997E-2</v>
    <v>3.0072999999999999E-2</v>
    <v>0.46981099999999998</v>
    <v>5.7874000000000002E-2</v>
    <v>0.32369599999999998</v>
    <v>0.29585400000000001</v>
    <v>7.4010999999999993E-2</v>
    <v>Canara Robeco Small Cap Fund-Dir-Gth</v>
  </rv>
  <rv s="2">
    <v>149</v>
  </rv>
  <rv s="0">
    <v>https://www.bing.com/financeapi/forcetrigger?t=ahmo4c&amp;q=Parag+Parikh+Flexi+Cap-Direct-Growth&amp;form=skydnc</v>
    <v>Learn more on Bing</v>
  </rv>
  <rv s="7">
    <v>en-US</v>
    <v>ahmo4c</v>
    <v>268435456</v>
    <v>1</v>
    <v>Powered by Refinitiv</v>
    <v>13</v>
    <v>Parag Parikh Flexi Cap-Direct-Growth</v>
    <v>14</v>
    <v>15</v>
    <v>Finance</v>
    <v>16</v>
    <v>0.42920000000000003</v>
    <v>5.5750000000000001E-3</v>
    <v>IN</v>
    <v>INR</v>
    <v>7.7000000000000002E-3</v>
    <v>Mutual Fund</v>
    <v>45408</v>
    <v>45410.10000973125</v>
    <v>151</v>
    <v>Parag Parikh Flexi Cap-Direct-Growth</v>
    <v>76.989000000000004</v>
    <v>77.418199999999999</v>
    <v>4.7537000000000003</v>
    <v>3.7857000000000002E-2</v>
    <v>2.6761E-2</v>
    <v>0.41212000000000004</v>
    <v>8.7234999999999993E-2</v>
    <v>0.23227399999999998</v>
    <v>0.24167100000000002</v>
    <v>0.10214000000000001</v>
    <v>Parag Parikh Flexi Cap-Direct-Growth</v>
  </rv>
  <rv s="2">
    <v>152</v>
  </rv>
  <rv s="0">
    <v>https://www.bing.com/financeapi/forcetrigger?t=baz1im&amp;q=Quant+Small+Cap-Direct-Growth&amp;form=skydnc</v>
    <v>Learn more on Bing</v>
  </rv>
  <rv s="8">
    <v>en-US</v>
    <v>baz1im</v>
    <v>268435456</v>
    <v>1</v>
    <v>Powered by Refinitiv</v>
    <v>17</v>
    <v>Quant Small Cap-Direct-Growth</v>
    <v>14</v>
    <v>18</v>
    <v>Finance</v>
    <v>16</v>
    <v>1.3052999999999999</v>
    <v>4.862E-3</v>
    <v>IN</v>
    <v>INR</v>
    <v>4.87E-2</v>
    <v>Mutual Fund</v>
    <v>45408</v>
    <v>45409.212044567968</v>
    <v>154</v>
    <v>Quant Small Cap-Direct-Growth</v>
    <v>0</v>
    <v>268.4744</v>
    <v>269.77969999999999</v>
    <v>3.3902000000000001</v>
    <v>0.10785500000000001</v>
    <v>3.1648999999999997E-2</v>
    <v>0.7530119999999999</v>
    <v>0.10700599999999999</v>
    <v>0.41860999999999998</v>
    <v>0.398455</v>
    <v>0.18743600000000002</v>
    <v>Quant Small Cap-Direct-Growth</v>
  </rv>
  <rv s="2">
    <v>155</v>
  </rv>
  <rv s="0">
    <v>https://www.bing.com/financeapi/forcetrigger?t=ahwvhw&amp;q=Axis+Bluechip+Fund-Direct-Growth&amp;form=skydnc</v>
    <v>Learn more on Bing</v>
  </rv>
  <rv s="7">
    <v>en-US</v>
    <v>ahwvhw</v>
    <v>268435456</v>
    <v>1</v>
    <v>Powered by Refinitiv</v>
    <v>13</v>
    <v>Axis Bluechip Fund-Direct-Growth</v>
    <v>14</v>
    <v>15</v>
    <v>Finance</v>
    <v>16</v>
    <v>-0.61</v>
    <v>-9.7509999999999993E-3</v>
    <v>IN</v>
    <v>INR</v>
    <v>5.4000000000000003E-3</v>
    <v>Mutual Fund</v>
    <v>45408</v>
    <v>45410.093357567188</v>
    <v>157</v>
    <v>Axis Bluechip Fund-Direct-Growth</v>
    <v>62.56</v>
    <v>61.95</v>
    <v>2.8121</v>
    <v>1.4742E-2</v>
    <v>5.6820000000000004E-3</v>
    <v>0.297815</v>
    <v>7.6642000000000002E-2</v>
    <v>0.137734</v>
    <v>0.14915500000000001</v>
    <v>6.4615999999999993E-2</v>
    <v>Axis Bluechip Fund-Direct-Growth</v>
  </rv>
  <rv s="2">
    <v>158</v>
  </rv>
  <rv s="0">
    <v>https://www.bing.com/financeapi/forcetrigger?t=ai3fur&amp;q=HDFC+Small+Cap-Direct-Growth&amp;form=skydnc</v>
    <v>Learn more on Bing</v>
  </rv>
  <rv s="7">
    <v>en-US</v>
    <v>ai3fur</v>
    <v>268435456</v>
    <v>1</v>
    <v>Powered by Refinitiv</v>
    <v>13</v>
    <v>HDFC Small Cap-Direct-Growth</v>
    <v>14</v>
    <v>15</v>
    <v>Finance</v>
    <v>16</v>
    <v>6.2E-2</v>
    <v>4.394E-4</v>
    <v>IN</v>
    <v>INR</v>
    <v>8.199999999999999E-3</v>
    <v>Mutual Fund</v>
    <v>45408</v>
    <v>45410.088388965625</v>
    <v>160</v>
    <v>HDFC Small Cap-Direct-Growth</v>
    <v>141.09700000000001</v>
    <v>141.15899999999999</v>
    <v>3.7902999999999998</v>
    <v>7.0667999999999995E-2</v>
    <v>2.5677999999999999E-2</v>
    <v>0.53868099999999997</v>
    <v>6.5970000000000001E-2</v>
    <v>0.33851100000000001</v>
    <v>0.24751500000000001</v>
    <v>8.9274000000000006E-2</v>
    <v>HDFC Small Cap-Direct-Growth</v>
  </rv>
  <rv s="2">
    <v>161</v>
  </rv>
  <rv s="9">
    <v>0</v>
    <v>5</v>
  </rv>
  <rv s="10">
    <fb>45320</fb>
    <v>19</v>
  </rv>
  <rv s="10">
    <fb>2896.1</fb>
    <v>20</v>
  </rv>
  <rv s="10">
    <fb>981.8</fb>
    <v>20</v>
  </rv>
  <rv s="10">
    <fb>45321</fb>
    <v>19</v>
  </rv>
  <rv s="10">
    <fb>2815.25</fb>
    <v>20</v>
  </rv>
  <rv s="10">
    <fb>964.05</fb>
    <v>20</v>
  </rv>
  <rv s="10">
    <fb>45322</fb>
    <v>19</v>
  </rv>
  <rv s="10">
    <fb>2853.25</fb>
    <v>20</v>
  </rv>
  <rv s="10">
    <fb>977.2</fb>
    <v>20</v>
  </rv>
  <rv s="10">
    <fb>45323</fb>
    <v>19</v>
  </rv>
  <rv s="10">
    <fb>2853.3</fb>
    <v>20</v>
  </rv>
  <rv s="10">
    <fb>963.3</fb>
    <v>20</v>
  </rv>
  <rv s="10">
    <fb>45324</fb>
    <v>19</v>
  </rv>
  <rv s="10">
    <fb>2915.4</fb>
    <v>20</v>
  </rv>
  <rv s="10">
    <fb>967.5</fb>
    <v>20</v>
  </rv>
  <rv s="10">
    <fb>45327</fb>
    <v>19</v>
  </rv>
  <rv s="10">
    <fb>2878.05</fb>
    <v>20</v>
  </rv>
  <rv s="10">
    <fb>946.65</fb>
    <v>20</v>
  </rv>
  <rv s="10">
    <fb>45328</fb>
    <v>19</v>
  </rv>
  <rv s="10">
    <fb>2855.6</fb>
    <v>20</v>
  </rv>
  <rv s="10">
    <fb>965.25</fb>
    <v>20</v>
  </rv>
  <rv s="10">
    <fb>45329</fb>
    <v>19</v>
  </rv>
  <rv s="10">
    <fb>2884.3</fb>
    <v>20</v>
  </rv>
  <rv s="10">
    <fb>954.75</fb>
    <v>20</v>
  </rv>
  <rv s="10">
    <fb>45330</fb>
    <v>19</v>
  </rv>
  <rv s="10">
    <fb>2900.25</fb>
    <v>20</v>
  </rv>
  <rv s="10">
    <fb>944.35</fb>
    <v>20</v>
  </rv>
  <rv s="10">
    <fb>45331</fb>
    <v>19</v>
  </rv>
  <rv s="10">
    <fb>2921.5</fb>
    <v>20</v>
  </rv>
  <rv s="10">
    <fb>939.15</fb>
    <v>20</v>
  </rv>
  <rv s="10">
    <fb>45334</fb>
    <v>19</v>
  </rv>
  <rv s="10">
    <fb>2904.7</fb>
    <v>20</v>
  </rv>
  <rv s="10">
    <fb>900.1</fb>
    <v>20</v>
  </rv>
  <rv s="10">
    <fb>45335</fb>
    <v>19</v>
  </rv>
  <rv s="10">
    <fb>2930.2</fb>
    <v>20</v>
  </rv>
  <rv s="10">
    <fb>910.45</fb>
    <v>20</v>
  </rv>
  <rv s="10">
    <fb>45336</fb>
    <v>19</v>
  </rv>
  <rv s="10">
    <fb>2962.75</fb>
    <v>20</v>
  </rv>
  <rv s="10">
    <fb>929.2</fb>
    <v>20</v>
  </rv>
  <rv s="10">
    <fb>45337</fb>
    <v>19</v>
  </rv>
  <rv s="10">
    <fb>2941.2</fb>
    <v>20</v>
  </rv>
  <rv s="10">
    <fb>951.5</fb>
    <v>20</v>
  </rv>
  <rv s="10">
    <fb>45338</fb>
    <v>19</v>
  </rv>
  <rv s="10">
    <fb>2921.15</fb>
    <v>20</v>
  </rv>
  <rv s="10">
    <fb>940.65</fb>
    <v>20</v>
  </rv>
  <rv s="10">
    <fb>45341</fb>
    <v>19</v>
  </rv>
  <rv s="10">
    <fb>2948</fb>
    <v>20</v>
  </rv>
  <rv s="10">
    <fb>946.95</fb>
    <v>20</v>
  </rv>
  <rv s="10">
    <fb>45342</fb>
    <v>19</v>
  </rv>
  <rv s="10">
    <fb>2942.05</fb>
    <v>20</v>
  </rv>
  <rv s="10">
    <fb>951.9</fb>
    <v>20</v>
  </rv>
  <rv s="10">
    <fb>45343</fb>
    <v>19</v>
  </rv>
  <rv s="10">
    <fb>2935.4</fb>
    <v>20</v>
  </rv>
  <rv s="10">
    <fb>925.75</fb>
    <v>20</v>
  </rv>
  <rv s="10">
    <fb>45344</fb>
    <v>19</v>
  </rv>
  <rv s="10">
    <fb>2963.5</fb>
    <v>20</v>
  </rv>
  <rv s="10">
    <fb>935.65</fb>
    <v>20</v>
  </rv>
  <rv s="10">
    <fb>45345</fb>
    <v>19</v>
  </rv>
  <rv s="10">
    <fb>2987.25</fb>
    <v>20</v>
  </rv>
  <rv s="10">
    <fb>964.85</fb>
    <v>20</v>
  </rv>
  <rv s="10">
    <fb>45348</fb>
    <v>19</v>
  </rv>
  <rv s="10">
    <fb>2974.65</fb>
    <v>20</v>
  </rv>
  <rv s="10">
    <fb>968.4</fb>
    <v>20</v>
  </rv>
  <rv s="10">
    <fb>45349</fb>
    <v>19</v>
  </rv>
  <rv s="10">
    <fb>2971.3</fb>
    <v>20</v>
  </rv>
  <rv s="10">
    <fb>952.75</fb>
    <v>20</v>
  </rv>
  <rv s="10">
    <fb>45350</fb>
    <v>19</v>
  </rv>
  <rv s="10">
    <fb>2911.25</fb>
    <v>20</v>
  </rv>
  <rv s="10">
    <fb>924.05</fb>
    <v>20</v>
  </rv>
  <rv s="10">
    <fb>45351</fb>
    <v>19</v>
  </rv>
  <rv s="10">
    <fb>2921.6</fb>
    <v>20</v>
  </rv>
  <rv s="10">
    <fb>927.4</fb>
    <v>20</v>
  </rv>
  <rv s="10">
    <fb>45352</fb>
    <v>19</v>
  </rv>
  <rv s="10">
    <fb>2984.25</fb>
    <v>20</v>
  </rv>
  <rv s="10">
    <fb>929.3</fb>
    <v>20</v>
  </rv>
  <rv s="10">
    <fb>45353</fb>
    <v>19</v>
  </rv>
  <rv s="10">
    <fb>2982.15</fb>
    <v>20</v>
  </rv>
  <rv s="10">
    <fb>933.7</fb>
    <v>20</v>
  </rv>
  <rv s="10">
    <fb>45355</fb>
    <v>19</v>
  </rv>
  <rv s="10">
    <fb>3014.8</fb>
    <v>20</v>
  </rv>
  <rv s="10">
    <fb>938</fb>
    <v>20</v>
  </rv>
  <rv s="10">
    <fb>45356</fb>
    <v>19</v>
  </rv>
  <rv s="10">
    <fb>3000.4</fb>
    <v>20</v>
  </rv>
  <rv s="10">
    <fb>935.8</fb>
    <v>20</v>
  </rv>
  <rv s="10">
    <fb>45357</fb>
    <v>19</v>
  </rv>
  <rv s="10">
    <fb>3006</fb>
    <v>20</v>
  </rv>
  <rv s="10">
    <fb>929.05</fb>
    <v>20</v>
  </rv>
  <rv s="10">
    <fb>45358</fb>
    <v>19</v>
  </rv>
  <rv s="10">
    <fb>2957.85</fb>
    <v>20</v>
  </rv>
  <rv s="10">
    <fb>937.2</fb>
    <v>20</v>
  </rv>
  <rv s="10">
    <fb>45362</fb>
    <v>19</v>
  </rv>
  <rv s="10">
    <fb>2933.2</fb>
    <v>20</v>
  </rv>
  <rv s="10">
    <fb>938.6</fb>
    <v>20</v>
  </rv>
  <rv s="10">
    <fb>45363</fb>
    <v>19</v>
  </rv>
  <rv s="10">
    <fb>2950.85</fb>
    <v>20</v>
  </rv>
  <rv s="10">
    <fb>920.95</fb>
    <v>20</v>
  </rv>
  <rv s="10">
    <fb>45364</fb>
    <v>19</v>
  </rv>
  <rv s="10">
    <fb>2864.35</fb>
    <v>20</v>
  </rv>
  <rv s="10">
    <fb>880.65</fb>
    <v>20</v>
  </rv>
  <rv s="10">
    <fb>45365</fb>
    <v>19</v>
  </rv>
  <rv s="10">
    <fb>2862.95</fb>
    <v>20</v>
  </rv>
  <rv s="10">
    <fb>898.75</fb>
    <v>20</v>
  </rv>
  <rv s="10">
    <fb>45366</fb>
    <v>19</v>
  </rv>
  <rv s="10">
    <fb>2836.45</fb>
    <v>20</v>
  </rv>
  <rv s="10">
    <fb>912.5</fb>
    <v>20</v>
  </rv>
  <rv s="10">
    <fb>45369</fb>
    <v>19</v>
  </rv>
  <rv s="10">
    <fb>2878.95</fb>
    <v>20</v>
  </rv>
  <rv s="10">
    <fb>918.9</fb>
    <v>20</v>
  </rv>
  <rv s="10">
    <fb>45370</fb>
    <v>19</v>
  </rv>
  <rv s="10">
    <fb>2850.5</fb>
    <v>20</v>
  </rv>
  <rv s="10">
    <fb>906.4</fb>
    <v>20</v>
  </rv>
  <rv s="10">
    <fb>45371</fb>
    <v>19</v>
  </rv>
  <rv s="10">
    <fb>2887.5</fb>
    <v>20</v>
  </rv>
  <rv s="10">
    <fb>901.9</fb>
    <v>20</v>
  </rv>
  <rv s="10">
    <fb>45372</fb>
    <v>19</v>
  </rv>
  <rv s="10">
    <fb>2901.95</fb>
    <v>20</v>
  </rv>
  <rv s="10">
    <fb>934.75</fb>
    <v>20</v>
  </rv>
  <rv s="10">
    <fb>45373</fb>
    <v>19</v>
  </rv>
  <rv s="10">
    <fb>2910.05</fb>
    <v>20</v>
  </rv>
  <rv s="10">
    <fb>928.7</fb>
    <v>20</v>
  </rv>
  <rv s="10">
    <fb>45377</fb>
    <v>19</v>
  </rv>
  <rv s="10">
    <fb>2883.15</fb>
    <v>20</v>
  </rv>
  <rv s="10">
    <fb>928.75</fb>
    <v>20</v>
  </rv>
  <rv s="10">
    <fb>45378</fb>
    <v>19</v>
  </rv>
  <rv s="10">
    <fb>2985.7</fb>
    <v>20</v>
  </rv>
  <rv s="10">
    <fb>929.95</fb>
    <v>20</v>
  </rv>
  <rv s="10">
    <fb>45379</fb>
    <v>19</v>
  </rv>
  <rv s="10">
    <fb>2971.7</fb>
    <v>20</v>
  </rv>
  <rv s="10">
    <fb>929.7</fb>
    <v>20</v>
  </rv>
  <rv s="10">
    <fb>45383</fb>
    <v>19</v>
  </rv>
  <rv s="10">
    <fb>2969.55</fb>
    <v>20</v>
  </rv>
  <rv s="10">
    <fb>970.15</fb>
    <v>20</v>
  </rv>
  <rv s="10">
    <fb>45384</fb>
    <v>19</v>
  </rv>
  <rv s="10">
    <fb>2973.9</fb>
    <v>20</v>
  </rv>
  <rv s="10">
    <fb>1003.8</fb>
    <v>20</v>
  </rv>
  <rv s="10">
    <fb>45385</fb>
    <v>19</v>
  </rv>
  <rv s="10">
    <fb>2943.2</fb>
    <v>20</v>
  </rv>
  <rv s="10">
    <fb>1014.65</fb>
    <v>20</v>
  </rv>
  <rv s="10">
    <fb>45386</fb>
    <v>19</v>
  </rv>
  <rv s="10">
    <fb>2925.85</fb>
    <v>20</v>
  </rv>
  <rv s="10">
    <fb>998.15</fb>
    <v>20</v>
  </rv>
  <rv s="10">
    <fb>45387</fb>
    <v>19</v>
  </rv>
  <rv s="10">
    <fb>2920.2</fb>
    <v>20</v>
  </rv>
  <rv s="10">
    <fb>1002.95</fb>
    <v>20</v>
  </rv>
  <rv s="10">
    <fb>45390</fb>
    <v>19</v>
  </rv>
  <rv s="10">
    <fb>2971.95</fb>
    <v>20</v>
  </rv>
  <rv s="10">
    <fb>1014.8</fb>
    <v>20</v>
  </rv>
  <rv s="10">
    <fb>45391</fb>
    <v>19</v>
  </rv>
  <rv s="10">
    <fb>2927.3</fb>
    <v>20</v>
  </rv>
  <rv s="10">
    <fb>1010.45</fb>
    <v>20</v>
  </rv>
  <rv s="10">
    <fb>45392</fb>
    <v>19</v>
  </rv>
  <rv s="10">
    <fb>2959.15</fb>
    <v>20</v>
  </rv>
  <rv s="10">
    <fb>1023</fb>
    <v>20</v>
  </rv>
  <rv s="10">
    <fb>45394</fb>
    <v>19</v>
  </rv>
  <rv s="10">
    <fb>2934.3</fb>
    <v>20</v>
  </rv>
  <rv s="10">
    <fb>1057.6500000000001</fb>
    <v>20</v>
  </rv>
  <rv s="10">
    <fb>45397</fb>
    <v>19</v>
  </rv>
  <rv s="10">
    <fb>2929.65</fb>
    <v>20</v>
  </rv>
  <rv s="10">
    <fb>1029.5</fb>
    <v>20</v>
  </rv>
  <rv s="10">
    <fb>45398</fb>
    <v>19</v>
  </rv>
  <rv s="10">
    <fb>2931.5</fb>
    <v>20</v>
  </rv>
  <rv s="10">
    <fb>1016.45</fb>
    <v>20</v>
  </rv>
  <rv s="10">
    <fb>45400</fb>
    <v>19</v>
  </rv>
  <rv s="10">
    <fb>2928.65</fb>
    <v>20</v>
  </rv>
  <rv s="10">
    <fb>992.95</fb>
    <v>20</v>
  </rv>
  <rv s="10">
    <fb>45401</fb>
    <v>19</v>
  </rv>
  <rv s="10">
    <fb>2940.25</fb>
    <v>20</v>
  </rv>
  <rv s="10">
    <fb>992</fb>
    <v>20</v>
  </rv>
  <rv s="10">
    <fb>45404</fb>
    <v>19</v>
  </rv>
  <rv s="10">
    <fb>2959.7</fb>
    <v>20</v>
  </rv>
  <rv s="10">
    <fb>1000.05</fb>
    <v>20</v>
  </rv>
  <rv s="10">
    <fb>45405</fb>
    <v>19</v>
  </rv>
  <rv s="10">
    <fb>2918.65</fb>
    <v>20</v>
  </rv>
  <rv s="10">
    <fb>1016.3</fb>
    <v>20</v>
  </rv>
  <rv s="10">
    <fb>45406</fb>
    <v>19</v>
  </rv>
  <rv s="10">
    <fb>2900.35</fb>
    <v>20</v>
  </rv>
  <rv s="10">
    <fb>1025.3499999999999</fb>
    <v>20</v>
  </rv>
  <rv s="10">
    <fb>45407</fb>
    <v>19</v>
  </rv>
  <rv s="10">
    <fb>2919.95</fb>
    <v>20</v>
  </rv>
  <rv s="10">
    <fb>1027.8</fb>
    <v>20</v>
  </rv>
  <rv s="10">
    <fb>45408</fb>
    <v>19</v>
  </rv>
  <rv s="10">
    <fb>2905.1</fb>
    <v>20</v>
  </rv>
  <rv s="10">
    <fb>1044.45</fb>
    <v>20</v>
  </rv>
  <rv s="10">
    <fb>45411</fb>
    <v>19</v>
  </rv>
  <rv s="10">
    <fb>2930.05</fb>
    <v>20</v>
  </rv>
  <rv s="10">
    <fb>1045.25</fb>
    <v>20</v>
  </rv>
  <rv s="11">
    <v>en-US</v>
    <v>avyo8m</v>
    <v>268435456</v>
    <v>1</v>
    <v>Powered by Refinitiv</v>
    <v>21</v>
    <v>USD/INR</v>
    <v>22</v>
    <v>23</v>
    <v>Finance</v>
    <v>24</v>
    <v>83.739000000000004</v>
    <v>81.575999999999993</v>
    <v>2.5000000000000001E-2</v>
    <v>2.9980000000000002E-4</v>
    <v>INR</v>
    <v>USD</v>
    <v>83.5</v>
    <v>Currency Pair</v>
    <v>45411.63958333333</v>
    <v>83.361000000000004</v>
    <v>US Dollar/Indian Rupee FX Spot Rate</v>
    <v>83.355999999999995</v>
    <v>83.4</v>
    <v>83.424999999999997</v>
    <v>USDINR</v>
    <v>USD/INR</v>
  </rv>
  <rv s="2">
    <v>350</v>
  </rv>
  <rv s="10">
    <fb>45048</fb>
    <v>19</v>
  </rv>
  <rv s="10">
    <fb>45049</fb>
    <v>19</v>
  </rv>
  <rv s="10">
    <fb>45050</fb>
    <v>19</v>
  </rv>
  <rv s="10">
    <fb>45051</fb>
    <v>19</v>
  </rv>
  <rv s="10">
    <fb>45054</fb>
    <v>19</v>
  </rv>
  <rv s="10">
    <fb>45055</fb>
    <v>19</v>
  </rv>
  <rv s="10">
    <fb>45056</fb>
    <v>19</v>
  </rv>
  <rv s="10">
    <fb>45057</fb>
    <v>19</v>
  </rv>
  <rv s="10">
    <fb>45058</fb>
    <v>19</v>
  </rv>
  <rv s="10">
    <fb>45061</fb>
    <v>19</v>
  </rv>
  <rv s="10">
    <fb>45062</fb>
    <v>19</v>
  </rv>
  <rv s="10">
    <fb>45063</fb>
    <v>19</v>
  </rv>
  <rv s="10">
    <fb>45064</fb>
    <v>19</v>
  </rv>
  <rv s="10">
    <fb>45065</fb>
    <v>19</v>
  </rv>
  <rv s="10">
    <fb>45068</fb>
    <v>19</v>
  </rv>
  <rv s="10">
    <fb>45069</fb>
    <v>19</v>
  </rv>
  <rv s="10">
    <fb>45070</fb>
    <v>19</v>
  </rv>
  <rv s="10">
    <fb>45071</fb>
    <v>19</v>
  </rv>
  <rv s="10">
    <fb>45072</fb>
    <v>19</v>
  </rv>
  <rv s="10">
    <fb>45075</fb>
    <v>19</v>
  </rv>
  <rv s="10">
    <fb>45076</fb>
    <v>19</v>
  </rv>
  <rv s="10">
    <fb>45077</fb>
    <v>19</v>
  </rv>
  <rv s="10">
    <fb>45078</fb>
    <v>19</v>
  </rv>
  <rv s="10">
    <fb>45079</fb>
    <v>19</v>
  </rv>
  <rv s="10">
    <fb>45082</fb>
    <v>19</v>
  </rv>
  <rv s="10">
    <fb>45083</fb>
    <v>19</v>
  </rv>
  <rv s="10">
    <fb>45084</fb>
    <v>19</v>
  </rv>
  <rv s="10">
    <fb>45085</fb>
    <v>19</v>
  </rv>
  <rv s="10">
    <fb>45086</fb>
    <v>19</v>
  </rv>
  <rv s="10">
    <fb>45089</fb>
    <v>19</v>
  </rv>
  <rv s="10">
    <fb>45090</fb>
    <v>19</v>
  </rv>
  <rv s="10">
    <fb>45091</fb>
    <v>19</v>
  </rv>
  <rv s="10">
    <fb>45092</fb>
    <v>19</v>
  </rv>
  <rv s="10">
    <fb>45093</fb>
    <v>19</v>
  </rv>
  <rv s="10">
    <fb>45096</fb>
    <v>19</v>
  </rv>
  <rv s="10">
    <fb>45097</fb>
    <v>19</v>
  </rv>
  <rv s="10">
    <fb>45098</fb>
    <v>19</v>
  </rv>
  <rv s="10">
    <fb>45099</fb>
    <v>19</v>
  </rv>
  <rv s="10">
    <fb>45100</fb>
    <v>19</v>
  </rv>
  <rv s="10">
    <fb>45103</fb>
    <v>19</v>
  </rv>
  <rv s="10">
    <fb>45104</fb>
    <v>19</v>
  </rv>
  <rv s="10">
    <fb>45105</fb>
    <v>19</v>
  </rv>
  <rv s="10">
    <fb>45107</fb>
    <v>19</v>
  </rv>
  <rv s="10">
    <fb>45110</fb>
    <v>19</v>
  </rv>
  <rv s="10">
    <fb>45111</fb>
    <v>19</v>
  </rv>
  <rv s="10">
    <fb>45112</fb>
    <v>19</v>
  </rv>
  <rv s="10">
    <fb>45113</fb>
    <v>19</v>
  </rv>
  <rv s="10">
    <fb>45114</fb>
    <v>19</v>
  </rv>
  <rv s="10">
    <fb>45117</fb>
    <v>19</v>
  </rv>
  <rv s="10">
    <fb>45118</fb>
    <v>19</v>
  </rv>
  <rv s="10">
    <fb>45119</fb>
    <v>19</v>
  </rv>
  <rv s="10">
    <fb>45120</fb>
    <v>19</v>
  </rv>
  <rv s="10">
    <fb>45121</fb>
    <v>19</v>
  </rv>
  <rv s="10">
    <fb>45124</fb>
    <v>19</v>
  </rv>
  <rv s="10">
    <fb>45125</fb>
    <v>19</v>
  </rv>
  <rv s="10">
    <fb>45126</fb>
    <v>19</v>
  </rv>
  <rv s="10">
    <fb>45127</fb>
    <v>19</v>
  </rv>
  <rv s="10">
    <fb>45128</fb>
    <v>19</v>
  </rv>
  <rv s="10">
    <fb>45131</fb>
    <v>19</v>
  </rv>
  <rv s="10">
    <fb>45132</fb>
    <v>19</v>
  </rv>
  <rv s="10">
    <fb>45133</fb>
    <v>19</v>
  </rv>
  <rv s="10">
    <fb>45134</fb>
    <v>19</v>
  </rv>
  <rv s="10">
    <fb>45135</fb>
    <v>19</v>
  </rv>
  <rv s="10">
    <fb>45138</fb>
    <v>19</v>
  </rv>
  <rv s="10">
    <fb>45139</fb>
    <v>19</v>
  </rv>
  <rv s="10">
    <fb>45140</fb>
    <v>19</v>
  </rv>
  <rv s="10">
    <fb>45141</fb>
    <v>19</v>
  </rv>
  <rv s="10">
    <fb>45142</fb>
    <v>19</v>
  </rv>
  <rv s="10">
    <fb>45145</fb>
    <v>19</v>
  </rv>
  <rv s="10">
    <fb>45146</fb>
    <v>19</v>
  </rv>
  <rv s="10">
    <fb>45147</fb>
    <v>19</v>
  </rv>
  <rv s="10">
    <fb>45148</fb>
    <v>19</v>
  </rv>
  <rv s="10">
    <fb>45149</fb>
    <v>19</v>
  </rv>
  <rv s="10">
    <fb>45152</fb>
    <v>19</v>
  </rv>
  <rv s="10">
    <fb>45154</fb>
    <v>19</v>
  </rv>
  <rv s="10">
    <fb>45155</fb>
    <v>19</v>
  </rv>
  <rv s="10">
    <fb>45156</fb>
    <v>19</v>
  </rv>
  <rv s="10">
    <fb>45159</fb>
    <v>19</v>
  </rv>
  <rv s="10">
    <fb>45160</fb>
    <v>19</v>
  </rv>
  <rv s="10">
    <fb>45161</fb>
    <v>19</v>
  </rv>
  <rv s="10">
    <fb>45162</fb>
    <v>19</v>
  </rv>
  <rv s="10">
    <fb>45163</fb>
    <v>19</v>
  </rv>
  <rv s="10">
    <fb>45166</fb>
    <v>19</v>
  </rv>
  <rv s="10">
    <fb>45167</fb>
    <v>19</v>
  </rv>
  <rv s="10">
    <fb>45168</fb>
    <v>19</v>
  </rv>
  <rv s="10">
    <fb>45169</fb>
    <v>19</v>
  </rv>
  <rv s="10">
    <fb>45170</fb>
    <v>19</v>
  </rv>
  <rv s="10">
    <fb>45173</fb>
    <v>19</v>
  </rv>
  <rv s="10">
    <fb>45174</fb>
    <v>19</v>
  </rv>
  <rv s="10">
    <fb>45175</fb>
    <v>19</v>
  </rv>
  <rv s="10">
    <fb>45176</fb>
    <v>19</v>
  </rv>
  <rv s="10">
    <fb>45177</fb>
    <v>19</v>
  </rv>
  <rv s="10">
    <fb>45180</fb>
    <v>19</v>
  </rv>
  <rv s="10">
    <fb>45181</fb>
    <v>19</v>
  </rv>
  <rv s="10">
    <fb>45182</fb>
    <v>19</v>
  </rv>
  <rv s="10">
    <fb>45183</fb>
    <v>19</v>
  </rv>
  <rv s="10">
    <fb>45184</fb>
    <v>19</v>
  </rv>
  <rv s="10">
    <fb>45187</fb>
    <v>19</v>
  </rv>
  <rv s="10">
    <fb>45189</fb>
    <v>19</v>
  </rv>
  <rv s="10">
    <fb>45190</fb>
    <v>19</v>
  </rv>
  <rv s="10">
    <fb>45191</fb>
    <v>19</v>
  </rv>
  <rv s="10">
    <fb>45194</fb>
    <v>19</v>
  </rv>
  <rv s="10">
    <fb>45195</fb>
    <v>19</v>
  </rv>
  <rv s="10">
    <fb>45196</fb>
    <v>19</v>
  </rv>
  <rv s="10">
    <fb>45197</fb>
    <v>19</v>
  </rv>
  <rv s="10">
    <fb>45198</fb>
    <v>19</v>
  </rv>
  <rv s="10">
    <fb>45202</fb>
    <v>19</v>
  </rv>
  <rv s="10">
    <fb>45203</fb>
    <v>19</v>
  </rv>
  <rv s="10">
    <fb>45204</fb>
    <v>19</v>
  </rv>
  <rv s="10">
    <fb>45205</fb>
    <v>19</v>
  </rv>
  <rv s="10">
    <fb>45208</fb>
    <v>19</v>
  </rv>
  <rv s="10">
    <fb>45209</fb>
    <v>19</v>
  </rv>
  <rv s="10">
    <fb>45210</fb>
    <v>19</v>
  </rv>
  <rv s="10">
    <fb>45211</fb>
    <v>19</v>
  </rv>
  <rv s="10">
    <fb>45212</fb>
    <v>19</v>
  </rv>
  <rv s="10">
    <fb>45215</fb>
    <v>19</v>
  </rv>
  <rv s="10">
    <fb>45216</fb>
    <v>19</v>
  </rv>
  <rv s="10">
    <fb>45217</fb>
    <v>19</v>
  </rv>
  <rv s="10">
    <fb>45218</fb>
    <v>19</v>
  </rv>
  <rv s="10">
    <fb>45219</fb>
    <v>19</v>
  </rv>
  <rv s="10">
    <fb>45222</fb>
    <v>19</v>
  </rv>
  <rv s="10">
    <fb>45224</fb>
    <v>19</v>
  </rv>
  <rv s="10">
    <fb>45225</fb>
    <v>19</v>
  </rv>
  <rv s="10">
    <fb>45226</fb>
    <v>19</v>
  </rv>
  <rv s="10">
    <fb>45229</fb>
    <v>19</v>
  </rv>
  <rv s="10">
    <fb>45230</fb>
    <v>19</v>
  </rv>
  <rv s="10">
    <fb>45231</fb>
    <v>19</v>
  </rv>
  <rv s="10">
    <fb>45232</fb>
    <v>19</v>
  </rv>
  <rv s="10">
    <fb>45233</fb>
    <v>19</v>
  </rv>
  <rv s="10">
    <fb>45236</fb>
    <v>19</v>
  </rv>
  <rv s="10">
    <fb>45237</fb>
    <v>19</v>
  </rv>
  <rv s="10">
    <fb>45238</fb>
    <v>19</v>
  </rv>
  <rv s="10">
    <fb>45239</fb>
    <v>19</v>
  </rv>
  <rv s="10">
    <fb>45240</fb>
    <v>19</v>
  </rv>
  <rv s="10">
    <fb>45242</fb>
    <v>19</v>
  </rv>
  <rv s="10">
    <fb>45243</fb>
    <v>19</v>
  </rv>
  <rv s="10">
    <fb>45245</fb>
    <v>19</v>
  </rv>
  <rv s="10">
    <fb>45246</fb>
    <v>19</v>
  </rv>
  <rv s="10">
    <fb>45247</fb>
    <v>19</v>
  </rv>
  <rv s="10">
    <fb>45250</fb>
    <v>19</v>
  </rv>
  <rv s="10">
    <fb>45251</fb>
    <v>19</v>
  </rv>
  <rv s="10">
    <fb>45252</fb>
    <v>19</v>
  </rv>
  <rv s="10">
    <fb>45253</fb>
    <v>19</v>
  </rv>
  <rv s="10">
    <fb>45254</fb>
    <v>19</v>
  </rv>
  <rv s="10">
    <fb>45258</fb>
    <v>19</v>
  </rv>
  <rv s="10">
    <fb>45259</fb>
    <v>19</v>
  </rv>
  <rv s="10">
    <fb>45260</fb>
    <v>19</v>
  </rv>
  <rv s="10">
    <fb>45261</fb>
    <v>19</v>
  </rv>
  <rv s="10">
    <fb>45264</fb>
    <v>19</v>
  </rv>
  <rv s="10">
    <fb>45265</fb>
    <v>19</v>
  </rv>
  <rv s="10">
    <fb>45266</fb>
    <v>19</v>
  </rv>
  <rv s="10">
    <fb>45267</fb>
    <v>19</v>
  </rv>
  <rv s="10">
    <fb>45268</fb>
    <v>19</v>
  </rv>
  <rv s="10">
    <fb>45271</fb>
    <v>19</v>
  </rv>
  <rv s="10">
    <fb>45272</fb>
    <v>19</v>
  </rv>
  <rv s="10">
    <fb>45273</fb>
    <v>19</v>
  </rv>
  <rv s="10">
    <fb>45274</fb>
    <v>19</v>
  </rv>
  <rv s="10">
    <fb>45275</fb>
    <v>19</v>
  </rv>
  <rv s="10">
    <fb>45278</fb>
    <v>19</v>
  </rv>
  <rv s="10">
    <fb>45279</fb>
    <v>19</v>
  </rv>
  <rv s="10">
    <fb>45280</fb>
    <v>19</v>
  </rv>
  <rv s="10">
    <fb>45281</fb>
    <v>19</v>
  </rv>
  <rv s="10">
    <fb>45282</fb>
    <v>19</v>
  </rv>
  <rv s="10">
    <fb>45286</fb>
    <v>19</v>
  </rv>
  <rv s="10">
    <fb>45287</fb>
    <v>19</v>
  </rv>
  <rv s="10">
    <fb>45288</fb>
    <v>19</v>
  </rv>
  <rv s="10">
    <fb>45289</fb>
    <v>19</v>
  </rv>
  <rv s="10">
    <fb>45292</fb>
    <v>19</v>
  </rv>
  <rv s="10">
    <fb>45293</fb>
    <v>19</v>
  </rv>
  <rv s="10">
    <fb>45294</fb>
    <v>19</v>
  </rv>
  <rv s="10">
    <fb>45295</fb>
    <v>19</v>
  </rv>
  <rv s="10">
    <fb>45296</fb>
    <v>19</v>
  </rv>
  <rv s="10">
    <fb>45299</fb>
    <v>19</v>
  </rv>
  <rv s="10">
    <fb>45300</fb>
    <v>19</v>
  </rv>
  <rv s="10">
    <fb>45301</fb>
    <v>19</v>
  </rv>
  <rv s="10">
    <fb>45302</fb>
    <v>19</v>
  </rv>
  <rv s="10">
    <fb>45303</fb>
    <v>19</v>
  </rv>
  <rv s="10">
    <fb>45306</fb>
    <v>19</v>
  </rv>
  <rv s="10">
    <fb>45307</fb>
    <v>19</v>
  </rv>
  <rv s="10">
    <fb>45308</fb>
    <v>19</v>
  </rv>
  <rv s="10">
    <fb>45309</fb>
    <v>19</v>
  </rv>
  <rv s="10">
    <fb>45310</fb>
    <v>19</v>
  </rv>
  <rv s="10">
    <fb>45311</fb>
    <v>19</v>
  </rv>
  <rv s="10">
    <fb>45314</fb>
    <v>19</v>
  </rv>
  <rv s="10">
    <fb>45315</fb>
    <v>19</v>
  </rv>
  <rv s="10">
    <fb>45316</fb>
    <v>19</v>
  </rv>
  <rv s="10">
    <fb>167.95</fb>
    <v>20</v>
  </rv>
  <rv s="10">
    <fb>169.3</fb>
    <v>20</v>
  </rv>
  <rv s="10">
    <fb>173.35</fb>
    <v>20</v>
  </rv>
  <rv s="10">
    <fb>170.65</fb>
    <v>20</v>
  </rv>
  <rv s="10">
    <fb>174.3</fb>
    <v>20</v>
  </rv>
  <rv s="10">
    <fb>170.9</fb>
    <v>20</v>
  </rv>
  <rv s="10">
    <fb>163.95</fb>
    <v>20</v>
  </rv>
  <rv s="10">
    <fb>163.25</fb>
    <v>20</v>
  </rv>
  <rv s="10">
    <fb>165.7</fb>
    <v>20</v>
  </rv>
  <rv s="10">
    <fb>165.05</fb>
    <v>20</v>
  </rv>
  <rv s="10">
    <fb>164.55</fb>
    <v>20</v>
  </rv>
  <rv s="10">
    <fb>164.8</fb>
    <v>20</v>
  </rv>
  <rv s="10">
    <fb>163.9</fb>
    <v>20</v>
  </rv>
  <rv s="10">
    <fb>166.2</fb>
    <v>20</v>
  </rv>
  <rv s="10">
    <fb>166.75</fb>
    <v>20</v>
  </rv>
  <rv s="10">
    <fb>164.75</fb>
    <v>20</v>
  </rv>
  <rv s="10">
    <fb>164.9</fb>
    <v>20</v>
  </rv>
  <rv s="10">
    <fb>165.25</fb>
    <v>20</v>
  </rv>
  <rv s="10">
    <fb>165.65</fb>
    <v>20</v>
  </rv>
  <rv s="10">
    <fb>171.1</fb>
    <v>20</v>
  </rv>
  <rv s="10">
    <fb>170.3</fb>
    <v>20</v>
  </rv>
  <rv s="10">
    <fb>171.85</fb>
    <v>20</v>
  </rv>
  <rv s="10">
    <fb>172.55</fb>
    <v>20</v>
  </rv>
  <rv s="10">
    <fb>168.5</fb>
    <v>20</v>
  </rv>
  <rv s="10">
    <fb>171.55</fb>
    <v>20</v>
  </rv>
  <rv s="10">
    <fb>173.45</fb>
    <v>20</v>
  </rv>
  <rv s="10">
    <fb>171.95</fb>
    <v>20</v>
  </rv>
  <rv s="10">
    <fb>173.95</fb>
    <v>20</v>
  </rv>
  <rv s="10">
    <fb>177.35</fb>
    <v>20</v>
  </rv>
  <rv s="10">
    <fb>177.65</fb>
    <v>20</v>
  </rv>
  <rv s="10">
    <fb>175.55</fb>
    <v>20</v>
  </rv>
  <rv s="10">
    <fb>174.2</fb>
    <v>20</v>
  </rv>
  <rv s="10">
    <fb>178</fb>
    <v>20</v>
  </rv>
  <rv s="10">
    <fb>179.45</fb>
    <v>20</v>
  </rv>
  <rv s="10">
    <fb>179.6</fb>
    <v>20</v>
  </rv>
  <rv s="10">
    <fb>180.1</fb>
    <v>20</v>
  </rv>
  <rv s="10">
    <fb>171.65</fb>
    <v>20</v>
  </rv>
  <rv s="10">
    <fb>175</fb>
    <v>20</v>
  </rv>
  <rv s="10">
    <fb>181.25</fb>
    <v>20</v>
  </rv>
  <rv s="10">
    <fb>192.3</fb>
    <v>20</v>
  </rv>
  <rv s="10">
    <fb>193.5</fb>
    <v>20</v>
  </rv>
  <rv s="10">
    <fb>196.3</fb>
    <v>20</v>
  </rv>
  <rv s="10">
    <fb>195.05</fb>
    <v>20</v>
  </rv>
  <rv s="10">
    <fb>193.75</fb>
    <v>20</v>
  </rv>
  <rv s="10">
    <fb>188.85</fb>
    <v>20</v>
  </rv>
  <rv s="10">
    <fb>189.05</fb>
    <v>20</v>
  </rv>
  <rv s="10">
    <fb>189.25</fb>
    <v>20</v>
  </rv>
  <rv s="10">
    <fb>185</fb>
    <v>20</v>
  </rv>
  <rv s="10">
    <fb>183.8</fb>
    <v>20</v>
  </rv>
  <rv s="10">
    <fb>188.45</fb>
    <v>20</v>
  </rv>
  <rv s="10">
    <fb>187.45</fb>
    <v>20</v>
  </rv>
  <rv s="10">
    <fb>189.1</fb>
    <v>20</v>
  </rv>
  <rv s="10">
    <fb>187.7</fb>
    <v>20</v>
  </rv>
  <rv s="10">
    <fb>183.1</fb>
    <v>20</v>
  </rv>
  <rv s="10">
    <fb>185.25</fb>
    <v>20</v>
  </rv>
  <rv s="10">
    <fb>186.05</fb>
    <v>20</v>
  </rv>
  <rv s="10">
    <fb>185.8</fb>
    <v>20</v>
  </rv>
  <rv s="10">
    <fb>188.7</fb>
    <v>20</v>
  </rv>
  <rv s="10">
    <fb>191.55</fb>
    <v>20</v>
  </rv>
  <rv s="10">
    <fb>191.6</fb>
    <v>20</v>
  </rv>
  <rv s="10">
    <fb>193.95</fb>
    <v>20</v>
  </rv>
  <rv s="10">
    <fb>195.8</fb>
    <v>20</v>
  </rv>
  <rv s="10">
    <fb>196.15</fb>
    <v>20</v>
  </rv>
  <rv s="10">
    <fb>189.95</fb>
    <v>20</v>
  </rv>
  <rv s="10">
    <fb>193.1</fb>
    <v>20</v>
  </rv>
  <rv s="10">
    <fb>188.5</fb>
    <v>20</v>
  </rv>
  <rv s="10">
    <fb>185.55</fb>
    <v>20</v>
  </rv>
  <rv s="10">
    <fb>185.65</fb>
    <v>20</v>
  </rv>
  <rv s="10">
    <fb>186.65</fb>
    <v>20</v>
  </rv>
  <rv s="10">
    <fb>185.05</fb>
    <v>20</v>
  </rv>
  <rv s="10">
    <fb>183.55</fb>
    <v>20</v>
  </rv>
  <rv s="10">
    <fb>182.65</fb>
    <v>20</v>
  </rv>
  <rv s="10">
    <fb>181.9</fb>
    <v>20</v>
  </rv>
  <rv s="10">
    <fb>180.7</fb>
    <v>20</v>
  </rv>
  <rv s="10">
    <fb>181.45</fb>
    <v>20</v>
  </rv>
  <rv s="10">
    <fb>182.6</fb>
    <v>20</v>
  </rv>
  <rv s="10">
    <fb>185.85</fb>
    <v>20</v>
  </rv>
  <rv s="10">
    <fb>186.8</fb>
    <v>20</v>
  </rv>
  <rv s="10">
    <fb>184</fb>
    <v>20</v>
  </rv>
  <rv s="10">
    <fb>179.75</fb>
    <v>20</v>
  </rv>
  <rv s="10">
    <fb>180.95</fb>
    <v>20</v>
  </rv>
  <rv s="10">
    <fb>180.4</fb>
    <v>20</v>
  </rv>
  <rv s="10">
    <fb>181.2</fb>
    <v>20</v>
  </rv>
  <rv s="10">
    <fb>181.15</fb>
    <v>20</v>
  </rv>
  <rv s="10">
    <fb>184.1</fb>
    <v>20</v>
  </rv>
  <rv s="10">
    <fb>190.4</fb>
    <v>20</v>
  </rv>
  <rv s="10">
    <fb>191.4</fb>
    <v>20</v>
  </rv>
  <rv s="10">
    <fb>186.7</fb>
    <v>20</v>
  </rv>
  <rv s="10">
    <fb>187.8</fb>
    <v>20</v>
  </rv>
  <rv s="10">
    <fb>186.9</fb>
    <v>20</v>
  </rv>
  <rv s="10">
    <fb>190.5</fb>
    <v>20</v>
  </rv>
  <rv s="10">
    <fb>180.8</fb>
    <v>20</v>
  </rv>
  <rv s="10">
    <fb>181.55</fb>
    <v>20</v>
  </rv>
  <rv s="10">
    <fb>184.55</fb>
    <v>20</v>
  </rv>
  <rv s="10">
    <fb>182.95</fb>
    <v>20</v>
  </rv>
  <rv s="10">
    <fb>180.15</fb>
    <v>20</v>
  </rv>
  <rv s="10">
    <fb>175.8</fb>
    <v>20</v>
  </rv>
  <rv s="10">
    <fb>175.05</fb>
    <v>20</v>
  </rv>
  <rv s="10">
    <fb>176.55</fb>
    <v>20</v>
  </rv>
  <rv s="10">
    <fb>174.55</fb>
    <v>20</v>
  </rv>
  <rv s="10">
    <fb>180.5</fb>
    <v>20</v>
  </rv>
  <rv s="10">
    <fb>175.95</fb>
    <v>20</v>
  </rv>
  <rv s="10">
    <fb>179.95</fb>
    <v>20</v>
  </rv>
  <rv s="10">
    <fb>175.5</fb>
    <v>20</v>
  </rv>
  <rv s="10">
    <fb>175.75</fb>
    <v>20</v>
  </rv>
  <rv s="10">
    <fb>181.5</fb>
    <v>20</v>
  </rv>
  <rv s="10">
    <fb>175.1</fb>
    <v>20</v>
  </rv>
  <rv s="10">
    <fb>177.6</fb>
    <v>20</v>
  </rv>
  <rv s="10">
    <fb>178.75</fb>
    <v>20</v>
  </rv>
  <rv s="10">
    <fb>180.6</fb>
    <v>20</v>
  </rv>
  <rv s="10">
    <fb>180.45</fb>
    <v>20</v>
  </rv>
  <rv s="10">
    <fb>182.7</fb>
    <v>20</v>
  </rv>
  <rv s="10">
    <fb>172.6</fb>
    <v>20</v>
  </rv>
  <rv s="10">
    <fb>172.25</fb>
    <v>20</v>
  </rv>
  <rv s="10">
    <fb>172.05</fb>
    <v>20</v>
  </rv>
  <rv s="10">
    <fb>172.45</fb>
    <v>20</v>
  </rv>
  <rv s="10">
    <fb>170.1</fb>
    <v>20</v>
  </rv>
  <rv s="10">
    <fb>172.7</fb>
    <v>20</v>
  </rv>
  <rv s="10">
    <fb>173.1</fb>
    <v>20</v>
  </rv>
  <rv s="10">
    <fb>171</fb>
    <v>20</v>
  </rv>
  <rv s="10">
    <fb>174.05</fb>
    <v>20</v>
  </rv>
  <rv s="10">
    <fb>174.65</fb>
    <v>20</v>
  </rv>
  <rv s="10">
    <fb>175.6</fb>
    <v>20</v>
  </rv>
  <rv s="10">
    <fb>177.9</fb>
    <v>20</v>
  </rv>
  <rv s="10">
    <fb>181.7</fb>
    <v>20</v>
  </rv>
  <rv s="10">
    <fb>170.95</fb>
    <v>20</v>
  </rv>
  <rv s="10">
    <fb>171.15</fb>
    <v>20</v>
  </rv>
  <rv s="10">
    <fb>168.7</fb>
    <v>20</v>
  </rv>
  <rv s="10">
    <fb>169.15</fb>
    <v>20</v>
  </rv>
  <rv s="10">
    <fb>168</fb>
    <v>20</v>
  </rv>
  <rv s="10">
    <fb>169.9</fb>
    <v>20</v>
  </rv>
  <rv s="10">
    <fb>172.5</fb>
    <v>20</v>
  </rv>
  <rv s="10">
    <fb>173.05</fb>
    <v>20</v>
  </rv>
  <rv s="10">
    <fb>166.6</fb>
    <v>20</v>
  </rv>
  <rv s="10">
    <fb>163.19999999999999</fb>
    <v>20</v>
  </rv>
  <rv s="10">
    <fb>165.45</fb>
    <v>20</v>
  </rv>
  <rv s="10">
    <fb>163.75</fb>
    <v>20</v>
  </rv>
  <rv s="10">
    <fb>164.05</fb>
    <v>20</v>
  </rv>
  <rv s="10">
    <fb>166.3</fb>
    <v>20</v>
  </rv>
  <rv s="10">
    <fb>165.6</fb>
    <v>20</v>
  </rv>
  <rv s="10">
    <fb>165.9</fb>
    <v>20</v>
  </rv>
  <rv s="10">
    <fb>156.94999999999999</fb>
    <v>20</v>
  </rv>
  <rv s="10">
    <fb>159.19999999999999</fb>
    <v>20</v>
  </rv>
  <rv s="10">
    <fb>159.69999999999999</fb>
    <v>20</v>
  </rv>
  <rv s="10">
    <fb>159.9</fb>
    <v>20</v>
  </rv>
  <rv s="10">
    <fb>161.75</fb>
    <v>20</v>
  </rv>
  <rv s="10">
    <fb>161.65</fb>
    <v>20</v>
  </rv>
  <rv s="10">
    <fb>166.4</fb>
    <v>20</v>
  </rv>
  <rv s="10">
    <fb>166.05</fb>
    <v>20</v>
  </rv>
  <rv s="10">
    <fb>170.6</fb>
    <v>20</v>
  </rv>
  <rv s="10">
    <fb>170.4</fb>
    <v>20</v>
  </rv>
  <rv s="10">
    <fb>174.1</fb>
    <v>20</v>
  </rv>
  <rv s="10">
    <fb>175.4</fb>
    <v>20</v>
  </rv>
  <rv s="10">
    <fb>175.15</fb>
    <v>20</v>
  </rv>
  <rv s="10">
    <fb>173.3</fb>
    <v>20</v>
  </rv>
  <rv s="10">
    <fb>180.55</fb>
    <v>20</v>
  </rv>
  <rv s="10">
    <fb>179.35</fb>
    <v>20</v>
  </rv>
  <rv s="10">
    <fb>179.15</fb>
    <v>20</v>
  </rv>
  <rv s="10">
    <fb>179.1</fb>
    <v>20</v>
  </rv>
  <rv s="10">
    <fb>174.7</fb>
    <v>20</v>
  </rv>
  <rv s="10">
    <fb>163.5</fb>
    <v>20</v>
  </rv>
  <rv s="10">
    <fb>165.8</fb>
    <v>20</v>
  </rv>
  <rv s="10">
    <fb>165.75</fb>
    <v>20</v>
  </rv>
  <rv s="10">
    <fb>168.3</fb>
    <v>20</v>
  </rv>
  <rv s="10">
    <fb>168.45</fb>
    <v>20</v>
  </rv>
  <rv s="10">
    <fb>166.85</fb>
    <v>20</v>
  </rv>
  <rv s="10">
    <fb>180.35</fb>
    <v>20</v>
  </rv>
  <rv s="10">
    <fb>178.2</fb>
    <v>20</v>
  </rv>
  <rv s="10">
    <fb>187.6</fb>
    <v>20</v>
  </rv>
  <rv s="10">
    <fb>186.95</fb>
    <v>20</v>
  </rv>
  <rv s="10">
    <fb>187.9</fb>
    <v>20</v>
  </rv>
  <rv s="10">
    <fb>180.05</fb>
    <v>20</v>
  </rv>
  <rv s="10">
    <fb>182.5</fb>
    <v>20</v>
  </rv>
  <rv s="10">
    <fb>181.3</fb>
    <v>20</v>
  </rv>
  <rv s="10">
    <fb>183.95</fb>
    <v>20</v>
  </rv>
  <rv s="10">
    <fb>184.5</fb>
    <v>20</v>
  </rv>
  <rv s="10">
    <fb>187.35</fb>
    <v>20</v>
  </rv>
  <rv s="10">
    <fb>189.35</fb>
    <v>20</v>
  </rv>
  <rv s="10">
    <fb>187.85</fb>
    <v>20</v>
  </rv>
  <rv s="10">
    <fb>181.75</fb>
    <v>20</v>
  </rv>
  <rv s="10">
    <fb>183.65</fb>
    <v>20</v>
  </rv>
  <rv s="10">
    <fb>187.1</fb>
    <v>20</v>
  </rv>
  <rv s="10">
    <fb>186.75</fb>
    <v>20</v>
  </rv>
  <rv s="10">
    <fb>190.95</fb>
    <v>20</v>
  </rv>
  <rv s="10">
    <fb>192</fb>
    <v>20</v>
  </rv>
  <rv s="10">
    <fb>182.1</fb>
    <v>20</v>
  </rv>
  <rv s="10">
    <fb>179.85</fb>
    <v>20</v>
  </rv>
  <rv s="10">
    <fb>183.7</fb>
    <v>20</v>
  </rv>
  <rv s="10">
    <fb>171.4</fb>
    <v>20</v>
  </rv>
  <rv s="10">
    <fb>173.8</fb>
    <v>20</v>
  </rv>
  <rv s="10">
    <fb>172.9</fb>
    <v>20</v>
  </rv>
  <rv s="10">
    <fb>170</fb>
    <v>20</v>
  </rv>
  <rv s="10">
    <fb>169.05</fb>
    <v>20</v>
  </rv>
  <rv s="10">
    <fb>177.1</fb>
    <v>20</v>
  </rv>
  <rv s="10">
    <fb>181.85</fb>
    <v>20</v>
  </rv>
  <rv s="10">
    <fb>201.05</fb>
    <v>20</v>
  </rv>
  <rv s="10">
    <fb>204.2</fb>
    <v>20</v>
  </rv>
  <rv s="10">
    <fb>205.55</fb>
    <v>20</v>
  </rv>
  <rv s="10">
    <fb>204.8</fb>
    <v>20</v>
  </rv>
  <rv s="10">
    <fb>203.15</fb>
    <v>20</v>
  </rv>
  <rv s="10">
    <fb>202.95</fb>
    <v>20</v>
  </rv>
  <rv s="10">
    <fb>202.9</fb>
    <v>20</v>
  </rv>
  <rv s="10">
    <fb>202.55</fb>
    <v>20</v>
  </rv>
  <rv s="10">
    <fb>203.5</fb>
    <v>20</v>
  </rv>
  <rv s="10">
    <fb>201.95</fb>
    <v>20</v>
  </rv>
  <rv s="10">
    <fb>200.9</fb>
    <v>20</v>
  </rv>
  <rv s="10">
    <fb>202.7</fb>
    <v>20</v>
  </rv>
  <rv s="10">
    <fb>216.85</fb>
    <v>20</v>
  </rv>
  <rv s="10">
    <fb>216.3</fb>
    <v>20</v>
  </rv>
  <rv s="10">
    <fb>229.8</fb>
    <v>20</v>
  </rv>
  <rv s="10">
    <fb>231.3</fb>
    <v>20</v>
  </rv>
  <rv s="10">
    <fb>240.65</fb>
    <v>20</v>
  </rv>
  <rv s="10">
    <fb>935</fb>
    <v>20</v>
  </rv>
  <rv s="10">
    <fb>924.2</fb>
    <v>20</v>
  </rv>
  <rv s="10">
    <fb>922.8</fb>
    <v>20</v>
  </rv>
  <rv s="10">
    <fb>928.9</fb>
    <v>20</v>
  </rv>
  <rv s="10">
    <fb>940.35</fb>
    <v>20</v>
  </rv>
  <rv s="10">
    <fb>944.7</fb>
    <v>20</v>
  </rv>
  <rv s="10">
    <fb>936.8</fb>
    <v>20</v>
  </rv>
  <rv s="10">
    <fb>925.55</fb>
    <v>20</v>
  </rv>
  <rv s="10">
    <fb>919.9</fb>
    <v>20</v>
  </rv>
  <rv s="10">
    <fb>921.4</fb>
    <v>20</v>
  </rv>
  <rv s="10">
    <fb>909.05</fb>
    <v>20</v>
  </rv>
  <rv s="10">
    <fb>901.4</fb>
    <v>20</v>
  </rv>
  <rv s="10">
    <fb>911.2</fb>
    <v>20</v>
  </rv>
  <rv s="10">
    <fb>915.1</fb>
    <v>20</v>
  </rv>
  <rv s="10">
    <fb>905.6</fb>
    <v>20</v>
  </rv>
  <rv s="10">
    <fb>908.45</fb>
    <v>20</v>
  </rv>
  <rv s="10">
    <fb>925.2</fb>
    <v>20</v>
  </rv>
  <rv s="10">
    <fb>937.95</fb>
    <v>20</v>
  </rv>
  <rv s="10">
    <fb>924.95</fb>
    <v>20</v>
  </rv>
  <rv s="10">
    <fb>942.3</fb>
    <v>20</v>
  </rv>
  <rv s="10">
    <fb>945.25</fb>
    <v>20</v>
  </rv>
  <rv s="10">
    <fb>959.15</fb>
    <v>20</v>
  </rv>
  <rv s="10">
    <fb>958.85</fb>
    <v>20</v>
  </rv>
  <rv s="10">
    <fb>963.35</fb>
    <v>20</v>
  </rv>
  <rv s="10">
    <fb>986.35</fb>
    <v>20</v>
  </rv>
  <rv s="10">
    <fb>987</fb>
    <v>20</v>
  </rv>
  <rv s="10">
    <fb>995.3</fb>
    <v>20</v>
  </rv>
  <rv s="10">
    <fb>1001.95</fb>
    <v>20</v>
  </rv>
  <rv s="10">
    <fb>1014.3</fb>
    <v>20</v>
  </rv>
  <rv s="10">
    <fb>1016.55</fb>
    <v>20</v>
  </rv>
  <rv s="10">
    <fb>988.8</fb>
    <v>20</v>
  </rv>
  <rv s="10">
    <fb>1003.25</fb>
    <v>20</v>
  </rv>
  <rv s="10">
    <fb>1031.75</fb>
    <v>20</v>
  </rv>
  <rv s="10">
    <fb>1034.3</fb>
    <v>20</v>
  </rv>
  <rv s="10">
    <fb>1024.2</fb>
    <v>20</v>
  </rv>
  <rv s="10">
    <fb>1081.2</fb>
    <v>20</v>
  </rv>
  <rv s="10">
    <fb>1119.5</fb>
    <v>20</v>
  </rv>
  <rv s="10">
    <fb>1117.8</fb>
    <v>20</v>
  </rv>
  <rv s="10">
    <fb>1083.9000000000001</fb>
    <v>20</v>
  </rv>
  <rv s="10">
    <fb>1095.7</fb>
    <v>20</v>
  </rv>
  <rv s="10">
    <fb>1105.9000000000001</fb>
    <v>20</v>
  </rv>
  <rv s="10">
    <fb>1088</fb>
    <v>20</v>
  </rv>
  <rv s="10">
    <fb>1096.3</fb>
    <v>20</v>
  </rv>
  <rv s="10">
    <fb>1073.8499999999999</fb>
    <v>20</v>
  </rv>
  <rv s="10">
    <fb>1062.95</fb>
    <v>20</v>
  </rv>
  <rv s="10">
    <fb>1072.3499999999999</fb>
    <v>20</v>
  </rv>
  <rv s="10">
    <fb>1067.45</fb>
    <v>20</v>
  </rv>
  <rv s="10">
    <fb>1056.75</fb>
    <v>20</v>
  </rv>
  <rv s="10">
    <fb>1032.0999999999999</fb>
    <v>20</v>
  </rv>
  <rv s="10">
    <fb>1070.1500000000001</fb>
    <v>20</v>
  </rv>
  <rv s="10">
    <fb>1057.25</fb>
    <v>20</v>
  </rv>
  <rv s="10">
    <fb>1065.8</fb>
    <v>20</v>
  </rv>
  <rv s="10">
    <fb>1086.3</fb>
    <v>20</v>
  </rv>
  <rv s="10">
    <fb>1086.55</fb>
    <v>20</v>
  </rv>
  <rv s="10">
    <fb>1071.7</fb>
    <v>20</v>
  </rv>
  <rv s="10">
    <fb>1075.3</fb>
    <v>20</v>
  </rv>
  <rv s="10">
    <fb>1064.25</fb>
    <v>20</v>
  </rv>
  <rv s="10">
    <fb>1047.3</fb>
    <v>20</v>
  </rv>
  <rv s="10">
    <fb>1050.6500000000001</fb>
    <v>20</v>
  </rv>
  <rv s="10">
    <fb>1036.3</fb>
    <v>20</v>
  </rv>
  <rv s="10">
    <fb>1076.7</fb>
    <v>20</v>
  </rv>
  <rv s="10">
    <fb>1066.2</fb>
    <v>20</v>
  </rv>
  <rv s="10">
    <fb>1046.8</fb>
    <v>20</v>
  </rv>
  <rv s="10">
    <fb>1073.75</fb>
    <v>20</v>
  </rv>
  <rv s="10">
    <fb>1138.8499999999999</fb>
    <v>20</v>
  </rv>
  <rv s="10">
    <fb>1119.0999999999999</fb>
    <v>20</v>
  </rv>
  <rv s="10">
    <fb>1098.95</fb>
    <v>20</v>
  </rv>
  <rv s="10">
    <fb>1109.3499999999999</fb>
    <v>20</v>
  </rv>
  <rv s="10">
    <fb>1110.55</fb>
    <v>20</v>
  </rv>
  <rv s="10">
    <fb>1111.4000000000001</fb>
    <v>20</v>
  </rv>
  <rv s="10">
    <fb>1121.0999999999999</fb>
    <v>20</v>
  </rv>
  <rv s="10">
    <fb>1100.3</fb>
    <v>20</v>
  </rv>
  <rv s="10">
    <fb>1071.0999999999999</fb>
    <v>20</v>
  </rv>
  <rv s="10">
    <fb>1067.5999999999999</fb>
    <v>20</v>
  </rv>
  <rv s="10">
    <fb>1091.8499999999999</fb>
    <v>20</v>
  </rv>
  <rv s="10">
    <fb>1079.95</fb>
    <v>20</v>
  </rv>
  <rv s="10">
    <fb>1082.8499999999999</fb>
    <v>20</v>
  </rv>
  <rv s="10">
    <fb>1074.7</fb>
    <v>20</v>
  </rv>
  <rv s="10">
    <fb>1083.05</fb>
    <v>20</v>
  </rv>
  <rv s="10">
    <fb>1084.05</fb>
    <v>20</v>
  </rv>
  <rv s="10">
    <fb>1100.25</fb>
    <v>20</v>
  </rv>
  <rv s="10">
    <fb>1090.6500000000001</fb>
    <v>20</v>
  </rv>
  <rv s="10">
    <fb>1090.05</fb>
    <v>20</v>
  </rv>
  <rv s="10">
    <fb>1087.9000000000001</fb>
    <v>20</v>
  </rv>
  <rv s="10">
    <fb>1080.55</fb>
    <v>20</v>
  </rv>
  <rv s="10">
    <fb>1078.25</fb>
    <v>20</v>
  </rv>
  <rv s="10">
    <fb>1077.8499999999999</fb>
    <v>20</v>
  </rv>
  <rv s="10">
    <fb>1081.1500000000001</fb>
    <v>20</v>
  </rv>
  <rv s="10">
    <fb>1095.45</fb>
    <v>20</v>
  </rv>
  <rv s="10">
    <fb>1125.3499999999999</fb>
    <v>20</v>
  </rv>
  <rv s="10">
    <fb>1116.4000000000001</fb>
    <v>20</v>
  </rv>
  <rv s="10">
    <fb>1159.0999999999999</fb>
    <v>20</v>
  </rv>
  <rv s="10">
    <fb>1153.6500000000001</fb>
    <v>20</v>
  </rv>
  <rv s="10">
    <fb>1102.25</fb>
    <v>20</v>
  </rv>
  <rv s="10">
    <fb>1118.8499999999999</fb>
    <v>20</v>
  </rv>
  <rv s="10">
    <fb>1113.8499999999999</fb>
    <v>20</v>
  </rv>
  <rv s="10">
    <fb>1109.9000000000001</fb>
    <v>20</v>
  </rv>
  <rv s="10">
    <fb>1105.0999999999999</fb>
    <v>20</v>
  </rv>
  <rv s="10">
    <fb>1094.0999999999999</fb>
    <v>20</v>
  </rv>
  <rv s="10">
    <fb>1088.25</fb>
    <v>20</v>
  </rv>
  <rv s="10">
    <fb>1080.9000000000001</fb>
    <v>20</v>
  </rv>
  <rv s="10">
    <fb>1064.8499999999999</fb>
    <v>20</v>
  </rv>
  <rv s="10">
    <fb>1076</fb>
    <v>20</v>
  </rv>
  <rv s="10">
    <fb>1092.25</fb>
    <v>20</v>
  </rv>
  <rv s="10">
    <fb>1100.3499999999999</fb>
    <v>20</v>
  </rv>
  <rv s="10">
    <fb>1106.9000000000001</fb>
    <v>20</v>
  </rv>
  <rv s="10">
    <fb>1115</fb>
    <v>20</v>
  </rv>
  <rv s="10">
    <fb>1100.0999999999999</fb>
    <v>20</v>
  </rv>
  <rv s="10">
    <fb>1090.9000000000001</fb>
    <v>20</v>
  </rv>
  <rv s="10">
    <fb>1092.95</fb>
    <v>20</v>
  </rv>
  <rv s="10">
    <fb>1067</fb>
    <v>20</v>
  </rv>
  <rv s="10">
    <fb>1075.8</fb>
    <v>20</v>
  </rv>
  <rv s="10">
    <fb>1080.5999999999999</fb>
    <v>20</v>
  </rv>
  <rv s="10">
    <fb>1077.3</fb>
    <v>20</v>
  </rv>
  <rv s="10">
    <fb>1060.8499999999999</fb>
    <v>20</v>
  </rv>
  <rv s="10">
    <fb>1072.3</fb>
    <v>20</v>
  </rv>
  <rv s="10">
    <fb>1064.55</fb>
    <v>20</v>
  </rv>
  <rv s="10">
    <fb>1071.2</fb>
    <v>20</v>
  </rv>
  <rv s="10">
    <fb>1072.2</fb>
    <v>20</v>
  </rv>
  <rv s="10">
    <fb>1036</fb>
    <v>20</v>
  </rv>
  <rv s="10">
    <fb>1025</fb>
    <v>20</v>
  </rv>
  <rv s="10">
    <fb>1016.25</fb>
    <v>20</v>
  </rv>
  <rv s="10">
    <fb>1043.3</fb>
    <v>20</v>
  </rv>
  <rv s="10">
    <fb>1062.8</fb>
    <v>20</v>
  </rv>
  <rv s="10">
    <fb>1051.3499999999999</fb>
    <v>20</v>
  </rv>
  <rv s="10">
    <fb>1041.1500000000001</fb>
    <v>20</v>
  </rv>
  <rv s="10">
    <fb>1068.3499999999999</fb>
    <v>20</v>
  </rv>
  <rv s="10">
    <fb>1062.9000000000001</fb>
    <v>20</v>
  </rv>
  <rv s="10">
    <fb>1068.25</fb>
    <v>20</v>
  </rv>
  <rv s="10">
    <fb>1025.75</fb>
    <v>20</v>
  </rv>
  <rv s="10">
    <fb>1017.6</fb>
    <v>20</v>
  </rv>
  <rv s="10">
    <fb>1033.8499999999999</fb>
    <v>20</v>
  </rv>
  <rv s="10">
    <fb>1018.8</fb>
    <v>20</v>
  </rv>
  <rv s="10">
    <fb>1026.05</fb>
    <v>20</v>
  </rv>
  <rv s="10">
    <fb>1025.45</fb>
    <v>20</v>
  </rv>
  <rv s="10">
    <fb>1035.8</fb>
    <v>20</v>
  </rv>
  <rv s="10">
    <fb>1041.2</fb>
    <v>20</v>
  </rv>
  <rv s="10">
    <fb>1055.3499999999999</fb>
    <v>20</v>
  </rv>
  <rv s="10">
    <fb>1067.4000000000001</fb>
    <v>20</v>
  </rv>
  <rv s="10">
    <fb>1084.5999999999999</fb>
    <v>20</v>
  </rv>
  <rv s="10">
    <fb>1096.4000000000001</fb>
    <v>20</v>
  </rv>
  <rv s="10">
    <fb>1112.55</fb>
    <v>20</v>
  </rv>
  <rv s="10">
    <fb>1122.05</fb>
    <v>20</v>
  </rv>
  <rv s="10">
    <fb>1115.2</fb>
    <v>20</v>
  </rv>
  <rv s="10">
    <fb>1135.4000000000001</fb>
    <v>20</v>
  </rv>
  <rv s="10">
    <fb>1133.05</fb>
    <v>20</v>
  </rv>
  <rv s="10">
    <fb>1126.05</fb>
    <v>20</v>
  </rv>
  <rv s="10">
    <fb>1129.55</fb>
    <v>20</v>
  </rv>
  <rv s="10">
    <fb>1139.5</fb>
    <v>20</v>
  </rv>
  <rv s="10">
    <fb>1127.5999999999999</fb>
    <v>20</v>
  </rv>
  <rv s="10">
    <fb>1187.45</fb>
    <v>20</v>
  </rv>
  <rv s="10">
    <fb>1197.6500000000001</fb>
    <v>20</v>
  </rv>
  <rv s="10">
    <fb>1194.95</fb>
    <v>20</v>
  </rv>
  <rv s="10">
    <fb>1204.0999999999999</fb>
    <v>20</v>
  </rv>
  <rv s="10">
    <fb>1213.2</fb>
    <v>20</v>
  </rv>
  <rv s="10">
    <fb>1245.8</fb>
    <v>20</v>
  </rv>
  <rv s="10">
    <fb>1254.2</fb>
    <v>20</v>
  </rv>
  <rv s="10">
    <fb>1190</fb>
    <v>20</v>
  </rv>
  <rv s="10">
    <fb>1220.3</fb>
    <v>20</v>
  </rv>
  <rv s="10">
    <fb>1216.95</fb>
    <v>20</v>
  </rv>
  <rv s="10">
    <fb>1225.0999999999999</fb>
    <v>20</v>
  </rv>
  <rv s="10">
    <fb>1217.7</fb>
    <v>20</v>
  </rv>
  <rv s="10">
    <fb>1252.45</fb>
    <v>20</v>
  </rv>
  <rv s="10">
    <fb>1306.0999999999999</fb>
    <v>20</v>
  </rv>
  <rv s="10">
    <fb>1320.1</fb>
    <v>20</v>
  </rv>
  <rv s="10">
    <fb>1309.5999999999999</fb>
    <v>20</v>
  </rv>
  <rv s="10">
    <fb>1309.5</fb>
    <v>20</v>
  </rv>
  <rv s="10">
    <fb>1312.95</fb>
    <v>20</v>
  </rv>
  <rv s="10">
    <fb>1306.3499999999999</fb>
    <v>20</v>
  </rv>
  <rv s="10">
    <fb>1273.55</fb>
    <v>20</v>
  </rv>
  <rv s="10">
    <fb>1269.55</fb>
    <v>20</v>
  </rv>
  <rv s="10">
    <fb>1271.6500000000001</fb>
    <v>20</v>
  </rv>
  <rv s="10">
    <fb>1282.55</fb>
    <v>20</v>
  </rv>
  <rv s="10">
    <fb>1293.9000000000001</fb>
    <v>20</v>
  </rv>
  <rv s="10">
    <fb>1304.2</fb>
    <v>20</v>
  </rv>
  <rv s="10">
    <fb>1290.05</fb>
    <v>20</v>
  </rv>
  <rv s="10">
    <fb>1285.7</fb>
    <v>20</v>
  </rv>
  <rv s="10">
    <fb>1255.7</fb>
    <v>20</v>
  </rv>
  <rv s="10">
    <fb>1265.25</fb>
    <v>20</v>
  </rv>
  <rv s="10">
    <fb>1234.3</fb>
    <v>20</v>
  </rv>
  <rv s="10">
    <fb>1187.2</fb>
    <v>20</v>
  </rv>
  <rv s="10">
    <fb>1224.8</fb>
    <v>20</v>
  </rv>
  <rv s="10">
    <fb>1219.6500000000001</fb>
    <v>20</v>
  </rv>
  <rv s="10">
    <fb>1199.75</fb>
    <v>20</v>
  </rv>
  <rv s="10">
    <fb>1191.6500000000001</fb>
    <v>20</v>
  </rv>
  <rv s="10">
    <fb>1241</fb>
    <v>20</v>
  </rv>
  <rv s="10">
    <fb>1214.2</fb>
    <v>20</v>
  </rv>
  <rv s="10">
    <fb>1230.5999999999999</fb>
    <v>20</v>
  </rv>
  <rv s="10">
    <fb>1195</fb>
    <v>20</v>
  </rv>
  <rv s="10">
    <fb>1184.25</fb>
    <v>20</v>
  </rv>
  <rv s="10">
    <fb>1183.5</fb>
    <v>20</v>
  </rv>
  <rv s="10">
    <fb>1156.45</fb>
    <v>20</v>
  </rv>
  <rv s="10">
    <fb>1114.25</fb>
    <v>20</v>
  </rv>
  <rv s="10">
    <fb>1115.95</fb>
    <v>20</v>
  </rv>
  <rv s="10">
    <fb>1136</fb>
    <v>20</v>
  </rv>
  <rv s="10">
    <fb>1137.9000000000001</fb>
    <v>20</v>
  </rv>
  <rv s="10">
    <fb>1183.2</fb>
    <v>20</v>
  </rv>
  <rv s="10">
    <fb>1161.9000000000001</fb>
    <v>20</v>
  </rv>
  <rv s="10">
    <fb>1160.05</fb>
    <v>20</v>
  </rv>
  <rv s="10">
    <fb>1145.8499999999999</fb>
    <v>20</v>
  </rv>
  <rv s="10">
    <fb>1126.7</fb>
    <v>20</v>
  </rv>
  <rv s="10">
    <fb>1138.3499999999999</fb>
    <v>20</v>
  </rv>
  <rv s="10">
    <fb>1136.6500000000001</fb>
    <v>20</v>
  </rv>
  <rv s="10">
    <fb>1129.3</fb>
    <v>20</v>
  </rv>
  <rv s="10">
    <fb>1120.25</fb>
    <v>20</v>
  </rv>
  <rv s="10">
    <fb>1104.45</fb>
    <v>20</v>
  </rv>
  <rv s="10">
    <fb>1118.1500000000001</fb>
    <v>20</v>
  </rv>
  <rv s="10">
    <fb>1115.3</fb>
    <v>20</v>
  </rv>
  <rv s="10">
    <fb>1125.0999999999999</fb>
    <v>20</v>
  </rv>
  <rv s="10">
    <fb>1117.55</fb>
    <v>20</v>
  </rv>
  <rv s="10">
    <fb>1089.95</fb>
    <v>20</v>
  </rv>
  <rv s="10">
    <fb>1077.5999999999999</fb>
    <v>20</v>
  </rv>
  <rv s="10">
    <fb>1095.0999999999999</fb>
    <v>20</v>
  </rv>
  <rv s="10">
    <fb>1057.95</fb>
    <v>20</v>
  </rv>
  <rv s="10">
    <fb>1048.0999999999999</fb>
    <v>20</v>
  </rv>
  <rv s="10">
    <fb>1022</fb>
    <v>20</v>
  </rv>
  <rv s="10">
    <fb>1033.6500000000001</fb>
    <v>20</v>
  </rv>
  <rv s="10">
    <fb>1022.7</fb>
    <v>20</v>
  </rv>
  <rv s="10">
    <fb>1027.2</fb>
    <v>20</v>
  </rv>
  <rv s="10">
    <fb>1013.6</fb>
    <v>20</v>
  </rv>
  <rv s="10">
    <fb>1025.6500000000001</fb>
    <v>20</v>
  </rv>
  <rv s="10">
    <fb>1060.5999999999999</fb>
    <v>20</v>
  </rv>
  <rv s="10">
    <fb>1090.55</fb>
    <v>20</v>
  </rv>
  <rv s="10">
    <fb>1059.9000000000001</fb>
    <v>20</v>
  </rv>
  <rv s="10">
    <fb>1051.3</fb>
    <v>20</v>
  </rv>
  <rv s="10">
    <fb>1041.7</fb>
    <v>20</v>
  </rv>
  <rv s="10">
    <fb>1078.9000000000001</fb>
    <v>20</v>
  </rv>
  <rv s="10">
    <fb>1092</fb>
    <v>20</v>
  </rv>
  <rv s="10">
    <fb>1107.0999999999999</fb>
    <v>20</v>
  </rv>
  <rv s="10">
    <fb>1095.8</fb>
    <v>20</v>
  </rv>
  <rv s="10">
    <fb>1096</fb>
    <v>20</v>
  </rv>
  <rv s="10">
    <fb>1082.4000000000001</fb>
    <v>20</v>
  </rv>
  <rv s="10">
    <fb>1079.7</fb>
    <v>20</v>
  </rv>
  <rv s="10">
    <fb>1070.25</fb>
    <v>20</v>
  </rv>
  <rv s="10">
    <fb>1066.5999999999999</fb>
    <v>20</v>
  </rv>
  <rv s="10">
    <fb>1079</fb>
    <v>20</v>
  </rv>
  <rv s="10">
    <fb>1082.3</fb>
    <v>20</v>
  </rv>
  <rv s="10">
    <fb>1067.2</fb>
    <v>20</v>
  </rv>
  <rv s="10">
    <fb>1061</fb>
    <v>20</v>
  </rv>
  <rv s="10">
    <fb>1066</fb>
    <v>20</v>
  </rv>
  <rv s="10">
    <fb>1075.2</fb>
    <v>20</v>
  </rv>
  <rv s="10">
    <fb>1065.95</fb>
    <v>20</v>
  </rv>
  <rv s="10">
    <fb>1105.4000000000001</fb>
    <v>20</v>
  </rv>
  <rv s="10">
    <fb>1105.75</fb>
    <v>20</v>
  </rv>
  <rv s="10">
    <fb>2899.55</fb>
    <v>20</v>
  </rv>
  <rv s="10">
    <fb>2929.7</fb>
    <v>20</v>
  </rv>
  <rv s="10">
    <fb>2982.85</fb>
    <v>20</v>
  </rv>
  <rv s="10">
    <fb>3012.95</fb>
    <v>20</v>
  </rv>
  <rv s="10">
    <fb>3019.45</fb>
    <v>20</v>
  </rv>
  <rv s="10">
    <fb>3034.8</fb>
    <v>20</v>
  </rv>
  <rv s="10">
    <fb>3041.4</fb>
    <v>20</v>
  </rv>
  <rv s="10">
    <fb>3139.75</fb>
    <v>20</v>
  </rv>
  <rv s="10">
    <fb>3131.1</fb>
    <v>20</v>
  </rv>
  <rv s="10">
    <fb>3132</fb>
    <v>20</v>
  </rv>
  <rv s="10">
    <fb>3138.1</fb>
    <v>20</v>
  </rv>
  <rv s="10">
    <fb>3092.45</fb>
    <v>20</v>
  </rv>
  <rv s="10">
    <fb>3109.05</fb>
    <v>20</v>
  </rv>
  <rv s="10">
    <fb>3084.45</fb>
    <v>20</v>
  </rv>
  <rv s="10">
    <fb>3084.9</fb>
    <v>20</v>
  </rv>
  <rv s="10">
    <fb>3120.6</fb>
    <v>20</v>
  </rv>
  <rv s="10">
    <fb>3101.5</fb>
    <v>20</v>
  </rv>
  <rv s="10">
    <fb>3123.55</fb>
    <v>20</v>
  </rv>
  <rv s="10">
    <fb>3128.4</fb>
    <v>20</v>
  </rv>
  <rv s="10">
    <fb>3137.4</fb>
    <v>20</v>
  </rv>
  <rv s="10">
    <fb>3144.4</fb>
    <v>20</v>
  </rv>
  <rv s="10">
    <fb>3192.95</fb>
    <v>20</v>
  </rv>
  <rv s="10">
    <fb>3240.7</fb>
    <v>20</v>
  </rv>
  <rv s="10">
    <fb>3237.25</fb>
    <v>20</v>
  </rv>
  <rv s="10">
    <fb>3199.75</fb>
    <v>20</v>
  </rv>
  <rv s="10">
    <fb>3212.75</fb>
    <v>20</v>
  </rv>
  <rv s="10">
    <fb>3224.8</fb>
    <v>20</v>
  </rv>
  <rv s="10">
    <fb>3212.25</fb>
    <v>20</v>
  </rv>
  <rv s="10">
    <fb>3180.55</fb>
    <v>20</v>
  </rv>
  <rv s="10">
    <fb>3194.75</fb>
    <v>20</v>
  </rv>
  <rv s="10">
    <fb>3262.85</fb>
    <v>20</v>
  </rv>
  <rv s="10">
    <fb>3270.2</fb>
    <v>20</v>
  </rv>
  <rv s="10">
    <fb>3294.35</fb>
    <v>20</v>
  </rv>
  <rv s="10">
    <fb>3316.85</fb>
    <v>20</v>
  </rv>
  <rv s="10">
    <fb>3309.7</fb>
    <v>20</v>
  </rv>
  <rv s="10">
    <fb>3318.7</fb>
    <v>20</v>
  </rv>
  <rv s="10">
    <fb>3316.1</fb>
    <v>20</v>
  </rv>
  <rv s="10">
    <fb>3248.05</fb>
    <v>20</v>
  </rv>
  <rv s="10">
    <fb>3297.7</fb>
    <v>20</v>
  </rv>
  <rv s="10">
    <fb>3308.15</fb>
    <v>20</v>
  </rv>
  <rv s="10">
    <fb>3326</fb>
    <v>20</v>
  </rv>
  <rv s="10">
    <fb>3348.25</fb>
    <v>20</v>
  </rv>
  <rv s="10">
    <fb>3362.05</fb>
    <v>20</v>
  </rv>
  <rv s="10">
    <fb>3358.7</fb>
    <v>20</v>
  </rv>
  <rv s="10">
    <fb>3347.7</fb>
    <v>20</v>
  </rv>
  <rv s="10">
    <fb>3374.4</fb>
    <v>20</v>
  </rv>
  <rv s="10">
    <fb>3399.4</fb>
    <v>20</v>
  </rv>
  <rv s="10">
    <fb>3343.7</fb>
    <v>20</v>
  </rv>
  <rv s="10">
    <fb>3343.15</fb>
    <v>20</v>
  </rv>
  <rv s="10">
    <fb>3392.55</fb>
    <v>20</v>
  </rv>
  <rv s="10">
    <fb>3406.75</fb>
    <v>20</v>
  </rv>
  <rv s="10">
    <fb>3398.55</fb>
    <v>20</v>
  </rv>
  <rv s="10">
    <fb>3429.75</fb>
    <v>20</v>
  </rv>
  <rv s="10">
    <fb>3460.4</fb>
    <v>20</v>
  </rv>
  <rv s="10">
    <fb>3513.45</fb>
    <v>20</v>
  </rv>
  <rv s="10">
    <fb>3514.65</fb>
    <v>20</v>
  </rv>
  <rv s="10">
    <fb>3526</fb>
    <v>20</v>
  </rv>
  <rv s="10">
    <fb>3517.7</fb>
    <v>20</v>
  </rv>
  <rv s="10">
    <fb>3543.7</fb>
    <v>20</v>
  </rv>
  <rv s="10">
    <fb>3400.4</fb>
    <v>20</v>
  </rv>
  <rv s="10">
    <fb>3373</fb>
    <v>20</v>
  </rv>
  <rv s="10">
    <fb>3369.4</fb>
    <v>20</v>
  </rv>
  <rv s="10">
    <fb>3390.7</fb>
    <v>20</v>
  </rv>
  <rv s="10">
    <fb>3377.35</fb>
    <v>20</v>
  </rv>
  <rv s="10">
    <fb>3342.95</fb>
    <v>20</v>
  </rv>
  <rv s="10">
    <fb>3362.9</fb>
    <v>20</v>
  </rv>
  <rv s="10">
    <fb>3336.35</fb>
    <v>20</v>
  </rv>
  <rv s="10">
    <fb>3339.65</fb>
    <v>20</v>
  </rv>
  <rv s="10">
    <fb>3343</fb>
    <v>20</v>
  </rv>
  <rv s="10">
    <fb>3348.05</fb>
    <v>20</v>
  </rv>
  <rv s="10">
    <fb>3331</fb>
    <v>20</v>
  </rv>
  <rv s="10">
    <fb>3237.9</fb>
    <v>20</v>
  </rv>
  <rv s="10">
    <fb>3185.35</fb>
    <v>20</v>
  </rv>
  <rv s="10">
    <fb>3202.6</fb>
    <v>20</v>
  </rv>
  <rv s="10">
    <fb>3194.05</fb>
    <v>20</v>
  </rv>
  <rv s="10">
    <fb>3183.25</fb>
    <v>20</v>
  </rv>
  <rv s="10">
    <fb>3163.55</fb>
    <v>20</v>
  </rv>
  <rv s="10">
    <fb>3182.3</fb>
    <v>20</v>
  </rv>
  <rv s="10">
    <fb>3179.7</fb>
    <v>20</v>
  </rv>
  <rv s="10">
    <fb>3168.8</fb>
    <v>20</v>
  </rv>
  <rv s="10">
    <fb>3225.6</fb>
    <v>20</v>
  </rv>
  <rv s="10">
    <fb>3259.3</fb>
    <v>20</v>
  </rv>
  <rv s="10">
    <fb>3259.7</fb>
    <v>20</v>
  </rv>
  <rv s="10">
    <fb>3285.7</fb>
    <v>20</v>
  </rv>
  <rv s="10">
    <fb>3294.7</fb>
    <v>20</v>
  </rv>
  <rv s="10">
    <fb>3256.1</fb>
    <v>20</v>
  </rv>
  <rv s="10">
    <fb>3259.55</fb>
    <v>20</v>
  </rv>
  <rv s="10">
    <fb>3235.55</fb>
    <v>20</v>
  </rv>
  <rv s="10">
    <fb>3223.3</fb>
    <v>20</v>
  </rv>
  <rv s="10">
    <fb>3225.3</fb>
    <v>20</v>
  </rv>
  <rv s="10">
    <fb>3246.35</fb>
    <v>20</v>
  </rv>
  <rv s="10">
    <fb>3238.05</fb>
    <v>20</v>
  </rv>
  <rv s="10">
    <fb>3259.4</fb>
    <v>20</v>
  </rv>
  <rv s="10">
    <fb>3256.85</fb>
    <v>20</v>
  </rv>
  <rv s="10">
    <fb>3277.75</fb>
    <v>20</v>
  </rv>
  <rv s="10">
    <fb>3240.25</fb>
    <v>20</v>
  </rv>
  <rv s="10">
    <fb>3196.65</fb>
    <v>20</v>
  </rv>
  <rv s="10">
    <fb>3206.3</fb>
    <v>20</v>
  </rv>
  <rv s="10">
    <fb>3214.35</fb>
    <v>20</v>
  </rv>
  <rv s="10">
    <fb>3244.2</fb>
    <v>20</v>
  </rv>
  <rv s="10">
    <fb>3274.85</fb>
    <v>20</v>
  </rv>
  <rv s="10">
    <fb>3323.25</fb>
    <v>20</v>
  </rv>
  <rv s="10">
    <fb>3292.8</fb>
    <v>20</v>
  </rv>
  <rv s="10">
    <fb>3301.8</fb>
    <v>20</v>
  </rv>
  <rv s="10">
    <fb>3170.35</fb>
    <v>20</v>
  </rv>
  <rv s="10">
    <fb>3161.05</fb>
    <v>20</v>
  </rv>
  <rv s="10">
    <fb>3166.85</fb>
    <v>20</v>
  </rv>
  <rv s="10">
    <fb>3169.9</fb>
    <v>20</v>
  </rv>
  <rv s="10">
    <fb>3206.25</fb>
    <v>20</v>
  </rv>
  <rv s="10">
    <fb>3195.75</fb>
    <v>20</v>
  </rv>
  <rv s="10">
    <fb>3152.8</fb>
    <v>20</v>
  </rv>
  <rv s="10">
    <fb>3151.5</fb>
    <v>20</v>
  </rv>
  <rv s="10">
    <fb>3163.9</fb>
    <v>20</v>
  </rv>
  <rv s="10">
    <fb>3159.1</fb>
    <v>20</v>
  </rv>
  <rv s="10">
    <fb>3148.8</fb>
    <v>20</v>
  </rv>
  <rv s="10">
    <fb>3112.05</fb>
    <v>20</v>
  </rv>
  <rv s="10">
    <fb>3113.55</fb>
    <v>20</v>
  </rv>
  <rv s="10">
    <fb>3096.45</fb>
    <v>20</v>
  </rv>
  <rv s="10">
    <fb>3101.8</fb>
    <v>20</v>
  </rv>
  <rv s="10">
    <fb>3105.85</fb>
    <v>20</v>
  </rv>
  <rv s="10">
    <fb>3072</fb>
    <v>20</v>
  </rv>
  <rv s="10">
    <fb>3060.8</fb>
    <v>20</v>
  </rv>
  <rv s="10">
    <fb>2960.3</fb>
    <v>20</v>
  </rv>
  <rv s="10">
    <fb>2955.15</fb>
    <v>20</v>
  </rv>
  <rv s="10">
    <fb>2967.1</fb>
    <v>20</v>
  </rv>
  <rv s="10">
    <fb>2995.7</fb>
    <v>20</v>
  </rv>
  <rv s="10">
    <fb>2934.55</fb>
    <v>20</v>
  </rv>
  <rv s="10">
    <fb>2955.4</fb>
    <v>20</v>
  </rv>
  <rv s="10">
    <fb>2977.85</fb>
    <v>20</v>
  </rv>
  <rv s="10">
    <fb>3029.3</fb>
    <v>20</v>
  </rv>
  <rv s="10">
    <fb>3033.35</fb>
    <v>20</v>
  </rv>
  <rv s="10">
    <fb>3095.25</fb>
    <v>20</v>
  </rv>
  <rv s="10">
    <fb>3080.2</fb>
    <v>20</v>
  </rv>
  <rv s="10">
    <fb>3076.45</fb>
    <v>20</v>
  </rv>
  <rv s="10">
    <fb>3098.15</fb>
    <v>20</v>
  </rv>
  <rv s="10">
    <fb>3085.6</fb>
    <v>20</v>
  </rv>
  <rv s="10">
    <fb>3116.2</fb>
    <v>20</v>
  </rv>
  <rv s="10">
    <fb>3130.3</fb>
    <v>20</v>
  </rv>
  <rv s="10">
    <fb>3168.9</fb>
    <v>20</v>
  </rv>
  <rv s="10">
    <fb>3140.35</fb>
    <v>20</v>
  </rv>
  <rv s="10">
    <fb>3133.25</fb>
    <v>20</v>
  </rv>
  <rv s="10">
    <fb>3133</fb>
    <v>20</v>
  </rv>
  <rv s="10">
    <fb>3122.95</fb>
    <v>20</v>
  </rv>
  <rv s="10">
    <fb>3136.15</fb>
    <v>20</v>
  </rv>
  <rv s="10">
    <fb>3148.35</fb>
    <v>20</v>
  </rv>
  <rv s="10">
    <fb>3119.9</fb>
    <v>20</v>
  </rv>
  <rv s="10">
    <fb>3173.4</fb>
    <v>20</v>
  </rv>
  <rv s="10">
    <fb>3194.55</fb>
    <v>20</v>
  </rv>
  <rv s="10">
    <fb>3226.25</fb>
    <v>20</v>
  </rv>
  <rv s="10">
    <fb>3252.55</fb>
    <v>20</v>
  </rv>
  <rv s="10">
    <fb>3251.8</fb>
    <v>20</v>
  </rv>
  <rv s="10">
    <fb>3232</fb>
    <v>20</v>
  </rv>
  <rv s="10">
    <fb>3233</fb>
    <v>20</v>
  </rv>
  <rv s="10">
    <fb>3224.75</fb>
    <v>20</v>
  </rv>
  <rv s="10">
    <fb>3243.65</fb>
    <v>20</v>
  </rv>
  <rv s="10">
    <fb>3241.35</fb>
    <v>20</v>
  </rv>
  <rv s="10">
    <fb>3313.9</fb>
    <v>20</v>
  </rv>
  <rv s="10">
    <fb>3332.05</fb>
    <v>20</v>
  </rv>
  <rv s="10">
    <fb>3336.05</fb>
    <v>20</v>
  </rv>
  <rv s="10">
    <fb>3297.15</fb>
    <v>20</v>
  </rv>
  <rv s="10">
    <fb>3302.95</fb>
    <v>20</v>
  </rv>
  <rv s="10">
    <fb>3341.3</fb>
    <v>20</v>
  </rv>
  <rv s="10">
    <fb>3383.35</fb>
    <v>20</v>
  </rv>
  <rv s="10">
    <fb>3404.45</fb>
    <v>20</v>
  </rv>
  <rv s="10">
    <fb>3397.25</fb>
    <v>20</v>
  </rv>
  <rv s="10">
    <fb>3402.4</fb>
    <v>20</v>
  </rv>
  <rv s="10">
    <fb>3396.1</fb>
    <v>20</v>
  </rv>
  <rv s="10">
    <fb>3391.35</fb>
    <v>20</v>
  </rv>
  <rv s="10">
    <fb>3373.6</fb>
    <v>20</v>
  </rv>
  <rv s="10">
    <fb>3379.95</fb>
    <v>20</v>
  </rv>
  <rv s="10">
    <fb>3355.55</fb>
    <v>20</v>
  </rv>
  <rv s="10">
    <fb>3298.4</fb>
    <v>20</v>
  </rv>
  <rv s="10">
    <fb>3267.5</fb>
    <v>20</v>
  </rv>
  <rv s="10">
    <fb>3286.85</fb>
    <v>20</v>
  </rv>
  <rv s="10">
    <fb>3288.2</fb>
    <v>20</v>
  </rv>
  <rv s="10">
    <fb>3277.8</fb>
    <v>20</v>
  </rv>
  <rv s="10">
    <fb>3273.9</fb>
    <v>20</v>
  </rv>
  <rv s="10">
    <fb>3296.9</fb>
    <v>20</v>
  </rv>
  <rv s="10">
    <fb>3242.3</fb>
    <v>20</v>
  </rv>
  <rv s="10">
    <fb>3163.85</fb>
    <v>20</v>
  </rv>
  <rv s="10">
    <fb>3165.85</fb>
    <v>20</v>
  </rv>
  <rv s="10">
    <fb>3138.8</fb>
    <v>20</v>
  </rv>
  <rv s="10">
    <fb>3054.7</fb>
    <v>20</v>
  </rv>
  <rv s="10">
    <fb>2999.45</fb>
    <v>20</v>
  </rv>
  <rv s="10">
    <fb>2949.2</fb>
    <v>20</v>
  </rv>
  <rv s="10">
    <fb>2976.05</fb>
    <v>20</v>
  </rv>
  <rv s="10">
    <fb>2954.1</fb>
    <v>20</v>
  </rv>
  <rv s="10">
    <fb>2929.35</fb>
    <v>20</v>
  </rv>
  <rv s="10">
    <fb>2936.3</fb>
    <v>20</v>
  </rv>
  <rv s="10">
    <fb>2917.35</fb>
    <v>20</v>
  </rv>
  <rv s="10">
    <fb>2930.95</fb>
    <v>20</v>
  </rv>
  <rv s="10">
    <fb>2981.15</fb>
    <v>20</v>
  </rv>
  <rv s="10">
    <fb>2929.6</fb>
    <v>20</v>
  </rv>
  <rv s="10">
    <fb>2951.65</fb>
    <v>20</v>
  </rv>
  <rv s="10">
    <fb>2953.8</fb>
    <v>20</v>
  </rv>
  <rv s="10">
    <fb>2971.6</fb>
    <v>20</v>
  </rv>
  <rv s="10">
    <fb>2976.4</fb>
    <v>20</v>
  </rv>
  <rv s="10">
    <fb>3016.55</fb>
    <v>20</v>
  </rv>
  <rv s="10">
    <fb>3007.9</fb>
    <v>20</v>
  </rv>
  <rv s="10">
    <fb>2998.1</fb>
    <v>20</v>
  </rv>
  <rv s="10">
    <fb>3011.65</fb>
    <v>20</v>
  </rv>
  <rv s="10">
    <fb>3001.8</fb>
    <v>20</v>
  </rv>
  <rv s="10">
    <fb>3017.4</fb>
    <v>20</v>
  </rv>
  <rv s="10">
    <fb>2985.95</fb>
    <v>20</v>
  </rv>
  <rv s="10">
    <fb>2868.45</fb>
    <v>20</v>
  </rv>
  <rv s="10">
    <fb>2859.55</fb>
    <v>20</v>
  </rv>
  <rv s="10">
    <fb>2794.35</fb>
    <v>20</v>
  </rv>
  <rv s="10">
    <fb>2821.9</fb>
    <v>20</v>
  </rv>
  <rv s="10">
    <fb>2831.75</fb>
    <v>20</v>
  </rv>
  <rv s="10">
    <fb>2849.8</fb>
    <v>20</v>
  </rv>
  <rv s="10">
    <fb>2820.4</fb>
    <v>20</v>
  </rv>
  <rv s="10">
    <fb>2827.3</fb>
    <v>20</v>
  </rv>
  <rv s="10">
    <fb>2870.55</fb>
    <v>20</v>
  </rv>
  <rv s="10">
    <fb>2876.85</fb>
    <v>20</v>
  </rv>
  <rv s="10">
    <fb>2876.15</fb>
    <v>20</v>
  </rv>
  <rv s="10">
    <fb>2860.15</fb>
    <v>20</v>
  </rv>
  <rv s="10">
    <fb>2892.25</fb>
    <v>20</v>
  </rv>
  <rv s="10">
    <fb>2867.55</fb>
    <v>20</v>
  </rv>
  <rv s="10">
    <fb>2846.5</fb>
    <v>20</v>
  </rv>
  <rv s="10">
    <fb>2815.1</fb>
    <v>20</v>
  </rv>
  <rv s="10">
    <fb>2824.9</fb>
    <v>20</v>
  </rv>
  <rv s="10">
    <fb>2821.15</fb>
    <v>20</v>
  </rv>
  <rv s="10">
    <fb>2841.5</fb>
    <v>20</v>
  </rv>
  <rv s="10">
    <fb>2814.65</fb>
    <v>20</v>
  </rv>
  <rv s="10">
    <fb>2830.5</fb>
    <v>20</v>
  </rv>
  <rv s="10">
    <fb>2846.75</fb>
    <v>20</v>
  </rv>
  <rv s="10">
    <fb>2871</fb>
    <v>20</v>
  </rv>
  <rv s="10">
    <fb>2874.2</fb>
    <v>20</v>
  </rv>
  <rv s="10">
    <fb>2869.35</fb>
    <v>20</v>
  </rv>
  <rv s="10">
    <fb>2918.3</fb>
    <v>20</v>
  </rv>
  <rv s="10">
    <fb>2883.45</fb>
    <v>20</v>
  </rv>
  <rv s="10">
    <fb>2892</fb>
    <v>20</v>
  </rv>
  <rv s="10">
    <fb>2857.15</fb>
    <v>20</v>
  </rv>
  <rv s="10">
    <fb>2896.75</fb>
    <v>20</v>
  </rv>
  <rv s="10">
    <fb>2854.5</fb>
    <v>20</v>
  </rv>
  <rv s="10">
    <fb>2844.4</fb>
    <v>20</v>
  </rv>
  <rv s="10">
    <fb>2830</fb>
    <v>20</v>
  </rv>
  <rv s="10">
    <fb>2807.7</fb>
    <v>20</v>
  </rv>
  <rv s="10">
    <fb>2808.55</fb>
    <v>20</v>
  </rv>
  <rv s="10">
    <fb>2841.85</fb>
    <v>20</v>
  </rv>
  <rv s="10">
    <fb>2874.9</fb>
    <v>20</v>
  </rv>
  <rv s="10">
    <fb>2867.75</fb>
    <v>20</v>
  </rv>
  <rv s="10">
    <fb>2861.45</fb>
    <v>20</v>
  </rv>
  <rv s="10">
    <fb>2844.15</fb>
    <v>20</v>
  </rv>
  <rv s="10">
    <fb>2868.2</fb>
    <v>20</v>
  </rv>
  <rv s="10">
    <fb>2049.15</fb>
    <v>20</v>
  </rv>
  <rv s="10">
    <fb>2050.75</fb>
    <v>20</v>
  </rv>
  <rv s="10">
    <fb>2061.6999999999998</fb>
    <v>20</v>
  </rv>
  <rv s="10">
    <fb>2072.25</fb>
    <v>20</v>
  </rv>
  <rv s="10">
    <fb>2055.0500000000002</fb>
    <v>20</v>
  </rv>
  <rv s="10">
    <fb>2110.35</fb>
    <v>20</v>
  </rv>
  <rv s="10">
    <fb>2088.5500000000002</fb>
    <v>20</v>
  </rv>
  <rv s="10">
    <fb>2087</fb>
    <v>20</v>
  </rv>
  <rv s="10">
    <fb>2057.8000000000002</fb>
    <v>20</v>
  </rv>
  <rv s="10">
    <fb>2066</fb>
    <v>20</v>
  </rv>
  <rv s="10">
    <fb>2075.9</fb>
    <v>20</v>
  </rv>
  <rv s="10">
    <fb>2070.85</fb>
    <v>20</v>
  </rv>
  <rv s="10">
    <fb>2069.6999999999998</fb>
    <v>20</v>
  </rv>
  <rv s="10">
    <fb>2081.6999999999998</fb>
    <v>20</v>
  </rv>
  <rv s="10">
    <fb>2134.8000000000002</fb>
    <v>20</v>
  </rv>
  <rv s="10">
    <fb>2190.75</fb>
    <v>20</v>
  </rv>
  <rv s="10">
    <fb>2171.65</fb>
    <v>20</v>
  </rv>
  <rv s="10">
    <fb>2144.9499999999998</fb>
    <v>20</v>
  </rv>
  <rv s="10">
    <fb>2135.1</fb>
    <v>20</v>
  </rv>
  <rv s="10">
    <fb>2138.15</fb>
    <v>20</v>
  </rv>
  <rv s="10">
    <fb>2142.5</fb>
    <v>20</v>
  </rv>
  <rv s="10">
    <fb>2216.9</fb>
    <v>20</v>
  </rv>
  <rv s="10">
    <fb>2229.9499999999998</fb>
    <v>20</v>
  </rv>
  <rv s="10">
    <fb>2197.15</fb>
    <v>20</v>
  </rv>
  <rv s="10">
    <fb>2195.75</fb>
    <v>20</v>
  </rv>
  <rv s="10">
    <fb>2174.0500000000002</fb>
    <v>20</v>
  </rv>
  <rv s="10">
    <fb>2180.0500000000002</fb>
    <v>20</v>
  </rv>
  <rv s="10">
    <fb>2168.6</fb>
    <v>20</v>
  </rv>
  <rv s="10">
    <fb>2151.65</fb>
    <v>20</v>
  </rv>
  <rv s="10">
    <fb>2162.9</fb>
    <v>20</v>
  </rv>
  <rv s="10">
    <fb>2163.9</fb>
    <v>20</v>
  </rv>
  <rv s="10">
    <fb>2185.35</fb>
    <v>20</v>
  </rv>
  <rv s="10">
    <fb>2196.1999999999998</fb>
    <v>20</v>
  </rv>
  <rv s="10">
    <fb>2196.85</fb>
    <v>20</v>
  </rv>
  <rv s="10">
    <fb>2179.4</fb>
    <v>20</v>
  </rv>
  <rv s="10">
    <fb>2184.5500000000002</fb>
    <v>20</v>
  </rv>
  <rv s="10">
    <fb>2187.6999999999998</fb>
    <v>20</v>
  </rv>
  <rv s="10">
    <fb>2176.85</fb>
    <v>20</v>
  </rv>
  <rv s="10">
    <fb>2156.8000000000002</fb>
    <v>20</v>
  </rv>
  <rv s="10">
    <fb>2149.75</fb>
    <v>20</v>
  </rv>
  <rv s="10">
    <fb>2135.4</fb>
    <v>20</v>
  </rv>
  <rv s="10">
    <fb>2158.85</fb>
    <v>20</v>
  </rv>
  <rv s="10">
    <fb>2198.5500000000002</fb>
    <v>20</v>
  </rv>
  <rv s="10">
    <fb>2292.5500000000002</fb>
    <v>20</v>
  </rv>
  <rv s="10">
    <fb>2289.6</fb>
    <v>20</v>
  </rv>
  <rv s="10">
    <fb>2275.0500000000002</fb>
    <v>20</v>
  </rv>
  <rv s="10">
    <fb>2301.3000000000002</fb>
    <v>20</v>
  </rv>
  <rv s="10">
    <fb>2286.0500000000002</fb>
    <v>20</v>
  </rv>
  <rv s="10">
    <fb>2246.35</fb>
    <v>20</v>
  </rv>
  <rv s="10">
    <fb>2249</fb>
    <v>20</v>
  </rv>
  <rv s="10">
    <fb>2232.0500000000002</fb>
    <v>20</v>
  </rv>
  <rv s="10">
    <fb>2241.3000000000002</fb>
    <v>20</v>
  </rv>
  <rv s="10">
    <fb>2272.1</fb>
    <v>20</v>
  </rv>
  <rv s="10">
    <fb>2272.1999999999998</fb>
    <v>20</v>
  </rv>
  <rv s="10">
    <fb>2274.3000000000002</fb>
    <v>20</v>
  </rv>
  <rv s="10">
    <fb>2280.35</fb>
    <v>20</v>
  </rv>
  <rv s="10">
    <fb>2273.85</fb>
    <v>20</v>
  </rv>
  <rv s="10">
    <fb>2295.3000000000002</fb>
    <v>20</v>
  </rv>
  <rv s="10">
    <fb>2335.9</fb>
    <v>20</v>
  </rv>
  <rv s="10">
    <fb>2336.85</fb>
    <v>20</v>
  </rv>
  <rv s="10">
    <fb>2329.6</fb>
    <v>20</v>
  </rv>
  <rv s="10">
    <fb>2336.4</fb>
    <v>20</v>
  </rv>
  <rv s="10">
    <fb>2333.6</fb>
    <v>20</v>
  </rv>
  <rv s="10">
    <fb>2356.9499999999998</fb>
    <v>20</v>
  </rv>
  <rv s="10">
    <fb>2371.1</fb>
    <v>20</v>
  </rv>
  <rv s="10">
    <fb>2371.4</fb>
    <v>20</v>
  </rv>
  <rv s="10">
    <fb>2350.8000000000002</fb>
    <v>20</v>
  </rv>
  <rv s="10">
    <fb>2310.25</fb>
    <v>20</v>
  </rv>
  <rv s="10">
    <fb>2377.35</fb>
    <v>20</v>
  </rv>
  <rv s="10">
    <fb>2379.85</fb>
    <v>20</v>
  </rv>
  <rv s="10">
    <fb>2405.9499999999998</fb>
    <v>20</v>
  </rv>
  <rv s="10">
    <fb>2412.9</fb>
    <v>20</v>
  </rv>
  <rv s="10">
    <fb>2426.4</fb>
    <v>20</v>
  </rv>
  <rv s="10">
    <fb>2454.4499999999998</fb>
    <v>20</v>
  </rv>
  <rv s="10">
    <fb>2497.1999999999998</fb>
    <v>20</v>
  </rv>
  <rv s="10">
    <fb>2536.4</fb>
    <v>20</v>
  </rv>
  <rv s="10">
    <fb>2538.5500000000002</fb>
    <v>20</v>
  </rv>
  <rv s="10">
    <fb>2501.75</fb>
    <v>20</v>
  </rv>
  <rv s="10">
    <fb>2500.35</fb>
    <v>20</v>
  </rv>
  <rv s="10">
    <fb>2494</fb>
    <v>20</v>
  </rv>
  <rv s="10">
    <fb>2437.5</fb>
    <v>20</v>
  </rv>
  <rv s="10">
    <fb>2414.6</fb>
    <v>20</v>
  </rv>
  <rv s="10">
    <fb>2376.0500000000002</fb>
    <v>20</v>
  </rv>
  <rv s="10">
    <fb>2368.0500000000002</fb>
    <v>20</v>
  </rv>
  <rv s="10">
    <fb>2383.9</fb>
    <v>20</v>
  </rv>
  <rv s="10">
    <fb>2375.4499999999998</fb>
    <v>20</v>
  </rv>
  <rv s="10">
    <fb>2356.1</fb>
    <v>20</v>
  </rv>
  <rv s="10">
    <fb>2383.4499999999998</fb>
    <v>20</v>
  </rv>
  <rv s="10">
    <fb>2447.15</fb>
    <v>20</v>
  </rv>
  <rv s="10">
    <fb>2474.75</fb>
    <v>20</v>
  </rv>
  <rv s="10">
    <fb>2442.5500000000002</fb>
    <v>20</v>
  </rv>
  <rv s="10">
    <fb>2464.6</fb>
    <v>20</v>
  </rv>
  <rv s="10">
    <fb>2604.6</fb>
    <v>20</v>
  </rv>
  <rv s="10">
    <fb>2602.9</fb>
    <v>20</v>
  </rv>
  <rv s="10">
    <fb>2590.6999999999998</fb>
    <v>20</v>
  </rv>
  <rv s="10">
    <fb>2615.8000000000002</fb>
    <v>20</v>
  </rv>
  <rv s="10">
    <fb>2596.0500000000002</fb>
    <v>20</v>
  </rv>
  <rv s="10">
    <fb>2537.9499999999998</fb>
    <v>20</v>
  </rv>
  <rv s="10">
    <fb>2544.85</fb>
    <v>20</v>
  </rv>
  <rv s="10">
    <fb>2500.8000000000002</fb>
    <v>20</v>
  </rv>
  <rv s="10">
    <fb>2483.4</fb>
    <v>20</v>
  </rv>
  <rv s="10">
    <fb>2491.9499999999998</fb>
    <v>20</v>
  </rv>
  <rv s="10">
    <fb>2497</fb>
    <v>20</v>
  </rv>
  <rv s="10">
    <fb>2476.0500000000002</fb>
    <v>20</v>
  </rv>
  <rv s="10">
    <fb>2438.15</fb>
    <v>20</v>
  </rv>
  <rv s="10">
    <fb>2510.5500000000002</fb>
    <v>20</v>
  </rv>
  <rv s="10">
    <fb>2517.4499999999998</fb>
    <v>20</v>
  </rv>
  <rv s="10">
    <fb>2449.9499999999998</fb>
    <v>20</v>
  </rv>
  <rv s="10">
    <fb>2473.4499999999998</fb>
    <v>20</v>
  </rv>
  <rv s="10">
    <fb>2489.4</fb>
    <v>20</v>
  </rv>
  <rv s="10">
    <fb>2412.15</fb>
    <v>20</v>
  </rv>
  <rv s="10">
    <fb>2413.5</fb>
    <v>20</v>
  </rv>
  <rv s="10">
    <fb>2415.1</fb>
    <v>20</v>
  </rv>
  <rv s="10">
    <fb>2562.9</fb>
    <v>20</v>
  </rv>
  <rv s="10">
    <fb>2520.65</fb>
    <v>20</v>
  </rv>
  <rv s="10">
    <fb>2495.8000000000002</fb>
    <v>20</v>
  </rv>
  <rv s="10">
    <fb>2570.0500000000002</fb>
    <v>20</v>
  </rv>
  <rv s="10">
    <fb>2596.15</fb>
    <v>20</v>
  </rv>
  <rv s="10">
    <fb>2539.1</fb>
    <v>20</v>
  </rv>
  <rv s="10">
    <fb>2501.1</fb>
    <v>20</v>
  </rv>
  <rv s="10">
    <fb>2414.85</fb>
    <v>20</v>
  </rv>
  <rv s="10">
    <fb>2402.8000000000002</fb>
    <v>20</v>
  </rv>
  <rv s="10">
    <fb>2301.6</fb>
    <v>20</v>
  </rv>
  <rv s="10">
    <fb>2303.75</fb>
    <v>20</v>
  </rv>
  <rv s="10">
    <fb>2280.4</fb>
    <v>20</v>
  </rv>
  <rv s="10">
    <fb>2246.9</fb>
    <v>20</v>
  </rv>
  <rv s="10">
    <fb>2237.5</fb>
    <v>20</v>
  </rv>
  <rv s="10">
    <fb>2263.4499999999998</fb>
    <v>20</v>
  </rv>
  <rv s="10">
    <fb>2390.65</fb>
    <v>20</v>
  </rv>
  <rv s="10">
    <fb>2415.4</fb>
    <v>20</v>
  </rv>
  <rv s="10">
    <fb>2406.9</fb>
    <v>20</v>
  </rv>
  <rv s="10">
    <fb>2428.6999999999998</fb>
    <v>20</v>
  </rv>
  <rv s="10">
    <fb>2376.3000000000002</fb>
    <v>20</v>
  </rv>
  <rv s="10">
    <fb>2425.4</fb>
    <v>20</v>
  </rv>
  <rv s="10">
    <fb>2485.75</fb>
    <v>20</v>
  </rv>
  <rv s="10">
    <fb>2683.1</fb>
    <v>20</v>
  </rv>
  <rv s="10">
    <fb>2804.45</fb>
    <v>20</v>
  </rv>
  <rv s="10">
    <fb>2839.7</fb>
    <v>20</v>
  </rv>
  <rv s="10">
    <fb>2832.95</fb>
    <v>20</v>
  </rv>
  <rv s="10">
    <fb>2854.75</fb>
    <v>20</v>
  </rv>
  <rv s="10">
    <fb>2844.55</fb>
    <v>20</v>
  </rv>
  <rv s="10">
    <fb>2753.4</fb>
    <v>20</v>
  </rv>
  <rv s="10">
    <fb>2791.15</fb>
    <v>20</v>
  </rv>
  <rv s="10">
    <fb>2786.1</fb>
    <v>20</v>
  </rv>
  <rv s="10">
    <fb>2760.75</fb>
    <v>20</v>
  </rv>
  <rv s="10">
    <fb>2784.05</fb>
    <v>20</v>
  </rv>
  <rv s="10">
    <fb>2801.15</fb>
    <v>20</v>
  </rv>
  <rv s="10">
    <fb>2793.4</fb>
    <v>20</v>
  </rv>
  <rv s="10">
    <fb>2893.9</fb>
    <v>20</v>
  </rv>
  <rv s="10">
    <fb>2874.25</fb>
    <v>20</v>
  </rv>
  <rv s="10">
    <fb>2755.65</fb>
    <v>20</v>
  </rv>
  <rv s="10">
    <fb>2811</fb>
    <v>20</v>
  </rv>
  <rv s="10">
    <fb>2744.75</fb>
    <v>20</v>
  </rv>
  <rv s="10">
    <fb>2705.95</fb>
    <v>20</v>
  </rv>
  <rv s="10">
    <fb>2708.25</fb>
    <v>20</v>
  </rv>
  <rv s="10">
    <fb>2705.05</fb>
    <v>20</v>
  </rv>
  <rv s="10">
    <fb>2745.2</fb>
    <v>20</v>
  </rv>
  <rv s="10">
    <fb>2722.05</fb>
    <v>20</v>
  </rv>
  <rv s="10">
    <fb>2690.6</fb>
    <v>20</v>
  </rv>
  <rv s="10">
    <fb>2677.3</fb>
    <v>20</v>
  </rv>
  <rv s="10">
    <fb>2655.35</fb>
    <v>20</v>
  </rv>
  <rv s="10">
    <fb>2712.05</fb>
    <v>20</v>
  </rv>
  <rv s="10">
    <fb>2678.4</fb>
    <v>20</v>
  </rv>
  <rv s="10">
    <fb>2657.35</fb>
    <v>20</v>
  </rv>
  <rv s="10">
    <fb>2659.1</fb>
    <v>20</v>
  </rv>
  <rv s="10">
    <fb>2663.5</fb>
    <v>20</v>
  </rv>
  <rv s="10">
    <fb>2651.4</fb>
    <v>20</v>
  </rv>
  <rv s="10">
    <fb>2648.5</fb>
    <v>20</v>
  </rv>
  <rv s="10">
    <fb>2669.7</fb>
    <v>20</v>
  </rv>
  <rv s="10">
    <fb>2652.1</fb>
    <v>20</v>
  </rv>
  <rv s="10">
    <fb>2708.35</fb>
    <v>20</v>
  </rv>
  <rv s="10">
    <fb>2748.15</fb>
    <v>20</v>
  </rv>
  <rv s="10">
    <fb>2764.4</fb>
    <v>20</v>
  </rv>
  <rv s="10">
    <fb>2766.4</fb>
    <v>20</v>
  </rv>
  <rv s="10">
    <fb>2761.25</fb>
    <v>20</v>
  </rv>
  <rv s="10">
    <fb>2793.7</fb>
    <v>20</v>
  </rv>
  <rv s="10">
    <fb>2839.2</fb>
    <v>20</v>
  </rv>
  <rv s="10">
    <fb>2849.95</fb>
    <v>20</v>
  </rv>
  <rv s="10">
    <fb>2847.7</fb>
    <v>20</v>
  </rv>
  <rv s="10">
    <fb>2824</fb>
    <v>20</v>
  </rv>
  <rv s="10">
    <fb>2803.15</fb>
    <v>20</v>
  </rv>
  <rv s="10">
    <fb>2804.7</fb>
    <v>20</v>
  </rv>
  <rv s="10">
    <fb>2765.7</fb>
    <v>20</v>
  </rv>
  <rv s="10">
    <fb>2739.95</fb>
    <v>20</v>
  </rv>
  <rv s="10">
    <fb>2732.9</fb>
    <v>20</v>
  </rv>
  <rv s="10">
    <fb>2747.2</fb>
    <v>20</v>
  </rv>
  <rv s="10">
    <fb>2742.25</fb>
    <v>20</v>
  </rv>
  <rv s="10">
    <fb>2771.5</fb>
    <v>20</v>
  </rv>
  <rv s="10">
    <fb>2897</fb>
    <v>20</v>
  </rv>
  <rv s="10">
    <fb>2880.05</fb>
    <v>20</v>
  </rv>
  <rv s="10">
    <fb>2885.25</fb>
    <v>20</v>
  </rv>
  <rv s="10">
    <fb>2898.35</fb>
    <v>20</v>
  </rv>
  <rv s="10">
    <fb>2942.35</fb>
    <v>20</v>
  </rv>
  <rv s="10">
    <fb>2852</fb>
    <v>20</v>
  </rv>
  <rv s="10">
    <fb>2937.9</fb>
    <v>20</v>
  </rv>
  <rv s="10">
    <fb>2905.25</fb>
    <v>20</v>
  </rv>
  <rv s="10">
    <fb>2856.9</fb>
    <v>20</v>
  </rv>
  <rv s="10">
    <fb>2825.75</fb>
    <v>20</v>
  </rv>
  <rv s="10">
    <fb>2840.2</fb>
    <v>20</v>
  </rv>
  <rv s="10">
    <fb>2909.5</fb>
    <v>20</v>
  </rv>
  <rv s="10">
    <fb>2890.15</fb>
    <v>20</v>
  </rv>
  <rv s="10">
    <fb>2887.45</fb>
    <v>20</v>
  </rv>
  <rv s="10">
    <fb>2989.55</fb>
    <v>20</v>
  </rv>
  <rv s="10">
    <fb>2998</fb>
    <v>20</v>
  </rv>
  <rv s="10">
    <fb>3113.25</fb>
    <v>20</v>
  </rv>
  <rv s="10">
    <fb>3107.85</fb>
    <v>20</v>
  </rv>
  <rv s="10">
    <fb>3138.25</fb>
    <v>20</v>
  </rv>
  <rv s="10">
    <fb>3082.65</fb>
    <v>20</v>
  </rv>
  <rv s="10">
    <fb>3072.1</fb>
    <v>20</v>
  </rv>
  <rv s="10">
    <fb>3109.2</fb>
    <v>20</v>
  </rv>
  <rv s="10">
    <fb>3120.15</fb>
    <v>20</v>
  </rv>
  <rv s="10">
    <fb>3043.85</fb>
    <v>20</v>
  </rv>
  <rv s="10">
    <fb>3062.75</fb>
    <v>20</v>
  </rv>
  <rv s="10">
    <fb>2955.95</fb>
    <v>20</v>
  </rv>
  <rv s="10">
    <fb>2901.9</fb>
    <v>20</v>
  </rv>
  <rv s="10">
    <fb>3006.45</fb>
    <v>20</v>
  </rv>
  <rv s="10">
    <fb>2914.2</fb>
    <v>20</v>
  </rv>
  <rv s="10">
    <fb>2744.9</fb>
    <v>20</v>
  </rv>
  <rv s="10">
    <fb>2882.25</fb>
    <v>20</v>
  </rv>
  <rv s="10">
    <fb>2994.8</fb>
    <v>20</v>
  </rv>
  <rv s="10">
    <fb>2926.65</fb>
    <v>20</v>
  </rv>
  <rv s="10">
    <fb>2825.4</fb>
    <v>20</v>
  </rv>
  <rv s="10">
    <fb>2831.85</fb>
    <v>20</v>
  </rv>
  <rv s="10">
    <fb>2943.25</fb>
    <v>20</v>
  </rv>
  <rv s="10">
    <fb>3089.1</fb>
    <v>20</v>
  </rv>
  <rv s="10">
    <fb>3021.3</fb>
    <v>20</v>
  </rv>
  <rv s="10">
    <fb>2920.6</fb>
    <v>20</v>
  </rv>
  <rv s="10">
    <fb>2915.65</fb>
    <v>20</v>
  </rv>
  <rv s="10">
    <fb>2992.2</fb>
    <v>20</v>
  </rv>
  <rv s="10">
    <fb>3186.2</fb>
    <v>20</v>
  </rv>
  <rv s="10">
    <fb>3149</fb>
    <v>20</v>
  </rv>
  <rv s="10">
    <fb>3146.75</fb>
    <v>20</v>
  </rv>
  <rv s="10">
    <fb>3069.4</fb>
    <v>20</v>
  </rv>
  <rv s="10">
    <fb>2997.4</fb>
    <v>20</v>
  </rv>
  <rv s="10">
    <fb>3050.15</fb>
    <v>20</v>
  </rv>
  <rv s="10">
    <fb>3115.45</fb>
    <v>20</v>
  </rv>
  <rv s="10">
    <fb>3028.7</fb>
    <v>20</v>
  </rv>
  <rv s="10">
    <fb>3113.8</fb>
    <v>20</v>
  </rv>
  <rv s="10">
    <fb>3201.7</fb>
    <v>20</v>
  </rv>
  <rv s="10">
    <fb>3151.55</fb>
    <v>20</v>
  </rv>
  <rv s="10">
    <fb>3238.55</fb>
    <v>20</v>
  </rv>
  <rv s="10">
    <fb>3258.65</fb>
    <v>20</v>
  </rv>
  <rv s="10">
    <fb>3230.1</fb>
    <v>20</v>
  </rv>
  <rv s="10">
    <fb>3253.4</fb>
    <v>20</v>
  </rv>
  <rv s="10">
    <fb>3206.5</fb>
    <v>20</v>
  </rv>
  <rv s="10">
    <fb>3291.65</fb>
    <v>20</v>
  </rv>
  <rv s="10">
    <fb>990.55</fb>
    <v>20</v>
  </rv>
  <rv s="10">
    <fb>990.1</fb>
    <v>20</v>
  </rv>
  <rv s="10">
    <fb>989.35</fb>
    <v>20</v>
  </rv>
  <rv s="10">
    <fb>990.45</fb>
    <v>20</v>
  </rv>
  <rv s="10">
    <fb>988.55</fb>
    <v>20</v>
  </rv>
  <rv s="10">
    <fb>981.95</fb>
    <v>20</v>
  </rv>
  <rv s="10">
    <fb>984.2</fb>
    <v>20</v>
  </rv>
  <rv s="10">
    <fb>994.1</fb>
    <v>20</v>
  </rv>
  <rv s="10">
    <fb>993.95</fb>
    <v>20</v>
  </rv>
  <rv s="10">
    <fb>991.65</fb>
    <v>20</v>
  </rv>
  <rv s="10">
    <fb>978.8</fb>
    <v>20</v>
  </rv>
  <rv s="10">
    <fb>990.05</fb>
    <v>20</v>
  </rv>
  <rv s="10">
    <fb>990.95</fb>
    <v>20</v>
  </rv>
  <rv s="10">
    <fb>986.6</fb>
    <v>20</v>
  </rv>
  <rv s="10">
    <fb>988.75</fb>
    <v>20</v>
  </rv>
  <rv s="10">
    <fb>987.45</fb>
    <v>20</v>
  </rv>
  <rv s="10">
    <fb>986.15</fb>
    <v>20</v>
  </rv>
  <rv s="10">
    <fb>983.15</fb>
    <v>20</v>
  </rv>
  <rv s="10">
    <fb>1038.45</fb>
    <v>20</v>
  </rv>
  <rv s="10">
    <fb>1068.9000000000001</fb>
    <v>20</v>
  </rv>
  <rv s="10">
    <fb>1067.9000000000001</fb>
    <v>20</v>
  </rv>
  <rv s="10">
    <fb>1049.45</fb>
    <v>20</v>
  </rv>
  <rv s="10">
    <fb>1029.6500000000001</fb>
    <v>20</v>
  </rv>
  <rv s="10">
    <fb>1033.2</fb>
    <v>20</v>
  </rv>
  <rv s="10">
    <fb>1038.7</fb>
    <v>20</v>
  </rv>
  <rv s="10">
    <fb>1044.3499999999999</fb>
    <v>20</v>
  </rv>
  <rv s="10">
    <fb>1047.8</fb>
    <v>20</v>
  </rv>
  <rv s="10">
    <fb>1014</fb>
    <v>20</v>
  </rv>
  <rv s="10">
    <fb>1042.95</fb>
    <v>20</v>
  </rv>
  <rv s="10">
    <fb>1034.9000000000001</fb>
    <v>20</v>
  </rv>
  <rv s="10">
    <fb>1037.3</fb>
    <v>20</v>
  </rv>
  <rv s="10">
    <fb>1042.5</fb>
    <v>20</v>
  </rv>
  <rv s="10">
    <fb>1040</fb>
    <v>20</v>
  </rv>
  <rv s="10">
    <fb>1050.45</fb>
    <v>20</v>
  </rv>
  <rv s="10">
    <fb>1036.2</fb>
    <v>20</v>
  </rv>
  <rv s="10">
    <fb>1050</fb>
    <v>20</v>
  </rv>
  <rv s="10">
    <fb>1070.8</fb>
    <v>20</v>
  </rv>
  <rv s="10">
    <fb>1117.25</fb>
    <v>20</v>
  </rv>
  <rv s="10">
    <fb>1110.75</fb>
    <v>20</v>
  </rv>
  <rv s="10">
    <fb>1151.95</fb>
    <v>20</v>
  </rv>
  <rv s="10">
    <fb>1144.1500000000001</fb>
    <v>20</v>
  </rv>
  <rv s="10">
    <fb>1196.55</fb>
    <v>20</v>
  </rv>
  <rv s="10">
    <fb>1190.9000000000001</fb>
    <v>20</v>
  </rv>
  <rv s="10">
    <fb>1178.5999999999999</fb>
    <v>20</v>
  </rv>
  <rv s="10">
    <fb>1207.25</fb>
    <v>20</v>
  </rv>
  <rv s="10">
    <fb>1200.05</fb>
    <v>20</v>
  </rv>
  <rv s="10">
    <fb>1216</fb>
    <v>20</v>
  </rv>
  <rv s="10">
    <fb>1192.95</fb>
    <v>20</v>
  </rv>
  <rv s="10">
    <fb>1208.1500000000001</fb>
    <v>20</v>
  </rv>
  <rv s="10">
    <fb>1229.75</fb>
    <v>20</v>
  </rv>
  <rv s="10">
    <fb>1205.1500000000001</fb>
    <v>20</v>
  </rv>
  <rv s="10">
    <fb>1209.4000000000001</fb>
    <v>20</v>
  </rv>
  <rv s="10">
    <fb>1198.55</fb>
    <v>20</v>
  </rv>
  <rv s="10">
    <fb>1186.8499999999999</fb>
    <v>20</v>
  </rv>
  <rv s="10">
    <fb>1187.0999999999999</fb>
    <v>20</v>
  </rv>
  <rv s="10">
    <fb>1184.75</fb>
    <v>20</v>
  </rv>
  <rv s="10">
    <fb>1188.1500000000001</fb>
    <v>20</v>
  </rv>
  <rv s="10">
    <fb>1221.05</fb>
    <v>20</v>
  </rv>
  <rv s="10">
    <fb>1230.6500000000001</fb>
    <v>20</v>
  </rv>
  <rv s="10">
    <fb>1244.5</fb>
    <v>20</v>
  </rv>
  <rv s="10">
    <fb>1218.3499999999999</fb>
    <v>20</v>
  </rv>
  <rv s="10">
    <fb>1216.4000000000001</fb>
    <v>20</v>
  </rv>
  <rv s="10">
    <fb>1215.5</fb>
    <v>20</v>
  </rv>
  <rv s="10">
    <fb>1199.6500000000001</fb>
    <v>20</v>
  </rv>
  <rv s="10">
    <fb>1233.4000000000001</fb>
    <v>20</v>
  </rv>
  <rv s="10">
    <fb>1223.25</fb>
    <v>20</v>
  </rv>
  <rv s="10">
    <fb>1193.05</fb>
    <v>20</v>
  </rv>
  <rv s="10">
    <fb>1179.8</fb>
    <v>20</v>
  </rv>
  <rv s="10">
    <fb>1162.25</fb>
    <v>20</v>
  </rv>
  <rv s="10">
    <fb>1158.8</fb>
    <v>20</v>
  </rv>
  <rv s="10">
    <fb>1145.45</fb>
    <v>20</v>
  </rv>
  <rv s="10">
    <fb>1150.3499999999999</fb>
    <v>20</v>
  </rv>
  <rv s="10">
    <fb>1164.25</fb>
    <v>20</v>
  </rv>
  <rv s="10">
    <fb>1163.8499999999999</fb>
    <v>20</v>
  </rv>
  <rv s="10">
    <fb>1157.8499999999999</fb>
    <v>20</v>
  </rv>
  <rv s="10">
    <fb>1139.25</fb>
    <v>20</v>
  </rv>
  <rv s="10">
    <fb>1123.8</fb>
    <v>20</v>
  </rv>
  <rv s="10">
    <fb>1129.5999999999999</fb>
    <v>20</v>
  </rv>
  <rv s="10">
    <fb>1143.7</fb>
    <v>20</v>
  </rv>
  <rv s="10">
    <fb>1138.45</fb>
    <v>20</v>
  </rv>
  <rv s="10">
    <fb>1141.45</fb>
    <v>20</v>
  </rv>
  <rv s="10">
    <fb>1151.6500000000001</fb>
    <v>20</v>
  </rv>
  <rv s="10">
    <fb>1225.45</fb>
    <v>20</v>
  </rv>
  <rv s="10">
    <fb>1220.8499999999999</fb>
    <v>20</v>
  </rv>
  <rv s="10">
    <fb>1203.05</fb>
    <v>20</v>
  </rv>
  <rv s="10">
    <fb>1282.3</fb>
    <v>20</v>
  </rv>
  <rv s="10">
    <fb>1390.9</fb>
    <v>20</v>
  </rv>
  <rv s="10">
    <fb>1333.8</fb>
    <v>20</v>
  </rv>
  <rv s="10">
    <fb>1319.2</fb>
    <v>20</v>
  </rv>
  <rv s="10">
    <fb>1323.2</fb>
    <v>20</v>
  </rv>
  <rv s="10">
    <fb>1344.4</fb>
    <v>20</v>
  </rv>
  <rv s="10">
    <fb>1330.2</fb>
    <v>20</v>
  </rv>
  <rv s="10">
    <fb>1306.7</fb>
    <v>20</v>
  </rv>
  <rv s="10">
    <fb>1291.8499999999999</fb>
    <v>20</v>
  </rv>
  <rv s="10">
    <fb>1312.9</fb>
    <v>20</v>
  </rv>
  <rv s="10">
    <fb>1311.9</fb>
    <v>20</v>
  </rv>
  <rv s="10">
    <fb>1327.7</fb>
    <v>20</v>
  </rv>
  <rv s="10">
    <fb>1352.15</fb>
    <v>20</v>
  </rv>
  <rv s="10">
    <fb>1333.1</fb>
    <v>20</v>
  </rv>
  <rv s="10">
    <fb>1359.8</fb>
    <v>20</v>
  </rv>
  <rv s="10">
    <fb>1337</fb>
    <v>20</v>
  </rv>
  <rv s="10">
    <fb>1316.75</fb>
    <v>20</v>
  </rv>
  <rv s="10">
    <fb>1325.25</fb>
    <v>20</v>
  </rv>
  <rv s="10">
    <fb>1347.85</fb>
    <v>20</v>
  </rv>
  <rv s="10">
    <fb>1308.55</fb>
    <v>20</v>
  </rv>
  <rv s="10">
    <fb>1322.4</fb>
    <v>20</v>
  </rv>
  <rv s="10">
    <fb>1330.6</fb>
    <v>20</v>
  </rv>
  <rv s="10">
    <fb>1390.65</fb>
    <v>20</v>
  </rv>
  <rv s="10">
    <fb>1389.15</fb>
    <v>20</v>
  </rv>
  <rv s="10">
    <fb>1369.8</fb>
    <v>20</v>
  </rv>
  <rv s="10">
    <fb>1353.75</fb>
    <v>20</v>
  </rv>
  <rv s="10">
    <fb>1348.45</fb>
    <v>20</v>
  </rv>
  <rv s="10">
    <fb>1339.5</fb>
    <v>20</v>
  </rv>
  <rv s="10">
    <fb>1343.15</fb>
    <v>20</v>
  </rv>
  <rv s="10">
    <fb>1307.1500000000001</fb>
    <v>20</v>
  </rv>
  <rv s="10">
    <fb>1323.25</fb>
    <v>20</v>
  </rv>
  <rv s="10">
    <fb>1292.25</fb>
    <v>20</v>
  </rv>
  <rv s="10">
    <fb>1327.1</fb>
    <v>20</v>
  </rv>
  <rv s="10">
    <fb>1374.35</fb>
    <v>20</v>
  </rv>
  <rv s="10">
    <fb>1456.15</fb>
    <v>20</v>
  </rv>
  <rv s="10">
    <fb>1501.75</fb>
    <v>20</v>
  </rv>
  <rv s="10">
    <fb>1521.2</fb>
    <v>20</v>
  </rv>
  <rv s="10">
    <fb>1560.5</fb>
    <v>20</v>
  </rv>
  <rv s="10">
    <fb>1603.7</fb>
    <v>20</v>
  </rv>
  <rv s="10">
    <fb>1581.5</fb>
    <v>20</v>
  </rv>
  <rv s="10">
    <fb>1608.6</fb>
    <v>20</v>
  </rv>
  <rv s="10">
    <fb>1692.75</fb>
    <v>20</v>
  </rv>
  <rv s="10">
    <fb>1777.05</fb>
    <v>20</v>
  </rv>
  <rv s="10">
    <fb>1834.95</fb>
    <v>20</v>
  </rv>
  <rv s="10">
    <fb>1843.8</fb>
    <v>20</v>
  </rv>
  <rv s="10">
    <fb>1811.9</fb>
    <v>20</v>
  </rv>
  <rv s="10">
    <fb>1784.3</fb>
    <v>20</v>
  </rv>
  <rv s="10">
    <fb>1779.15</fb>
    <v>20</v>
  </rv>
  <rv s="10">
    <fb>1749.75</fb>
    <v>20</v>
  </rv>
  <rv s="10">
    <fb>1724.95</fb>
    <v>20</v>
  </rv>
  <rv s="10">
    <fb>1719</fb>
    <v>20</v>
  </rv>
  <rv s="10">
    <fb>1792.1</fb>
    <v>20</v>
  </rv>
  <rv s="10">
    <fb>1802</fb>
    <v>20</v>
  </rv>
  <rv s="10">
    <fb>1910.75</fb>
    <v>20</v>
  </rv>
  <rv s="10">
    <fb>1893.8</fb>
    <v>20</v>
  </rv>
  <rv s="10">
    <fb>1898.25</fb>
    <v>20</v>
  </rv>
  <rv s="10">
    <fb>1927.4</fb>
    <v>20</v>
  </rv>
  <rv s="10">
    <fb>1918.65</fb>
    <v>20</v>
  </rv>
  <rv s="10">
    <fb>1900.55</fb>
    <v>20</v>
  </rv>
  <rv s="10">
    <fb>1887</fb>
    <v>20</v>
  </rv>
  <rv s="10">
    <fb>1862.2</fb>
    <v>20</v>
  </rv>
  <rv s="10">
    <fb>1891.1</fb>
    <v>20</v>
  </rv>
  <rv s="10">
    <fb>1875.15</fb>
    <v>20</v>
  </rv>
  <rv s="10">
    <fb>1954.8</fb>
    <v>20</v>
  </rv>
  <rv s="10">
    <fb>1947.2</fb>
    <v>20</v>
  </rv>
  <rv s="10">
    <fb>1890.6</fb>
    <v>20</v>
  </rv>
  <rv s="10">
    <fb>1895.2</fb>
    <v>20</v>
  </rv>
  <rv s="10">
    <fb>1911.95</fb>
    <v>20</v>
  </rv>
  <rv s="10">
    <fb>1806.95</fb>
    <v>20</v>
  </rv>
  <rv s="10">
    <fb>1837.55</fb>
    <v>20</v>
  </rv>
  <rv s="10">
    <fb>1836.95</fb>
    <v>20</v>
  </rv>
  <rv s="10">
    <fb>1851.05</fb>
    <v>20</v>
  </rv>
  <rv s="10">
    <fb>1855.05</fb>
    <v>20</v>
  </rv>
  <rv s="10">
    <fb>1833.75</fb>
    <v>20</v>
  </rv>
  <rv s="10">
    <fb>1824.4</fb>
    <v>20</v>
  </rv>
  <rv s="10">
    <fb>1818.35</fb>
    <v>20</v>
  </rv>
  <rv s="10">
    <fb>1819.1</fb>
    <v>20</v>
  </rv>
  <rv s="10">
    <fb>1843.15</fb>
    <v>20</v>
  </rv>
  <rv s="10">
    <fb>1885.05</fb>
    <v>20</v>
  </rv>
  <rv s="10">
    <fb>1888.65</fb>
    <v>20</v>
  </rv>
  <rv s="10">
    <fb>1873.8</fb>
    <v>20</v>
  </rv>
  <rv s="10">
    <fb>1874.3</fb>
    <v>20</v>
  </rv>
  <rv s="10">
    <fb>1861.3</fb>
    <v>20</v>
  </rv>
  <rv s="10">
    <fb>1845</fb>
    <v>20</v>
  </rv>
  <rv s="10">
    <fb>1852.9</fb>
    <v>20</v>
  </rv>
  <rv s="10">
    <fb>1845.75</fb>
    <v>20</v>
  </rv>
  <rv s="10">
    <fb>1881.3</fb>
    <v>20</v>
  </rv>
  <rv s="10">
    <fb>1847.5</fb>
    <v>20</v>
  </rv>
  <rv s="10">
    <fb>1820.65</fb>
    <v>20</v>
  </rv>
  <rv s="10">
    <fb>1820.75</fb>
    <v>20</v>
  </rv>
  <rv s="10">
    <fb>1804.6</fb>
    <v>20</v>
  </rv>
  <rv s="10">
    <fb>1733.35</fb>
    <v>20</v>
  </rv>
  <rv s="10">
    <fb>1761.5</fb>
    <v>20</v>
  </rv>
  <rv s="10">
    <fb>1770.2</fb>
    <v>20</v>
  </rv>
  <rv s="10">
    <fb>1765.4</fb>
    <v>20</v>
  </rv>
  <rv s="10">
    <fb>1745.05</fb>
    <v>20</v>
  </rv>
  <rv s="10">
    <fb>1775.05</fb>
    <v>20</v>
  </rv>
  <rv s="10">
    <fb>1810.95</fb>
    <v>20</v>
  </rv>
  <rv s="10">
    <fb>1827.55</fb>
    <v>20</v>
  </rv>
  <rv s="10">
    <fb>1850.35</fb>
    <v>20</v>
  </rv>
  <rv s="10">
    <fb>1957.95</fb>
    <v>20</v>
  </rv>
  <rv s="10">
    <fb>2000.3</fb>
    <v>20</v>
  </rv>
  <rv s="10">
    <fb>1946.95</fb>
    <v>20</v>
  </rv>
  <rv s="10">
    <fb>1849.85</fb>
    <v>20</v>
  </rv>
  <rv s="10">
    <fb>1885.5</fb>
    <v>20</v>
  </rv>
  <rv s="10">
    <fb>1898.7</fb>
    <v>20</v>
  </rv>
  <rv s="10">
    <fb>1878.4</fb>
    <v>20</v>
  </rv>
  <rv s="10">
    <fb>1876.15</fb>
    <v>20</v>
  </rv>
  <rv s="10">
    <fb>1841.5</fb>
    <v>20</v>
  </rv>
  <rv s="10">
    <fb>1841.3</fb>
    <v>20</v>
  </rv>
  <rv s="10">
    <fb>1799.6</fb>
    <v>20</v>
  </rv>
  <rv s="10">
    <fb>1824.65</fb>
    <v>20</v>
  </rv>
  <rv s="10">
    <fb>1859.55</fb>
    <v>20</v>
  </rv>
  <rv s="10">
    <fb>1900</fb>
    <v>20</v>
  </rv>
  <rv s="10">
    <fb>1913.95</fb>
    <v>20</v>
  </rv>
  <rv s="10">
    <fb>1931.05</fb>
    <v>20</v>
  </rv>
  <rv s="10">
    <fb>1917.15</fb>
    <v>20</v>
  </rv>
  <rv s="10">
    <fb>1918.55</fb>
    <v>20</v>
  </rv>
  <rv s="10">
    <fb>1929.6</fb>
    <v>20</v>
  </rv>
  <rv s="10">
    <fb>1900.75</fb>
    <v>20</v>
  </rv>
  <rv s="10">
    <fb>1879.65</fb>
    <v>20</v>
  </rv>
  <rv s="10">
    <fb>1836.8</fb>
    <v>20</v>
  </rv>
  <rv s="10">
    <fb>1830.6</fb>
    <v>20</v>
  </rv>
  <rv s="10">
    <fb>1810.6</fb>
    <v>20</v>
  </rv>
  <rv s="10">
    <fb>1807.45</fb>
    <v>20</v>
  </rv>
  <rv s="10">
    <fb>1684.65</fb>
    <v>20</v>
  </rv>
  <rv s="10">
    <fb>1709.35</fb>
    <v>20</v>
  </rv>
  <rv s="10">
    <fb>1719.7</fb>
    <v>20</v>
  </rv>
  <rv s="10">
    <fb>1687.3</fb>
    <v>20</v>
  </rv>
  <rv s="10">
    <fb>1677.75</fb>
    <v>20</v>
  </rv>
  <rv s="10">
    <fb>1657.6</fb>
    <v>20</v>
  </rv>
  <rv s="10">
    <fb>1766.1</fb>
    <v>20</v>
  </rv>
  <rv s="10">
    <fb>1787.35</fb>
    <v>20</v>
  </rv>
  <rv s="10">
    <fb>1788.9</fb>
    <v>20</v>
  </rv>
  <rv s="10">
    <fb>1686.05</fb>
    <v>20</v>
  </rv>
  <rv s="10">
    <fb>1711.95</fb>
    <v>20</v>
  </rv>
  <rv s="10">
    <fb>1837.7</fb>
    <v>20</v>
  </rv>
  <rv s="10">
    <fb>1876.2</fb>
    <v>20</v>
  </rv>
  <rv s="10">
    <fb>1876.4</fb>
    <v>20</v>
  </rv>
  <rv s="10">
    <fb>1877.55</fb>
    <v>20</v>
  </rv>
  <rv s="10">
    <fb>1884.45</fb>
    <v>20</v>
  </rv>
  <rv s="10">
    <fb>1877.25</fb>
    <v>20</v>
  </rv>
  <rv s="10">
    <fb>1866.35</fb>
    <v>20</v>
  </rv>
  <rv s="10">
    <fb>1882.05</fb>
    <v>20</v>
  </rv>
  <rv s="10">
    <fb>2008.1</fb>
    <v>20</v>
  </rv>
  <rv s="10">
    <fb>1975.95</fb>
    <v>20</v>
  </rv>
  <rv s="10">
    <fb>1975.55</fb>
    <v>20</v>
  </rv>
  <rv s="10">
    <fb>1965.7</fb>
    <v>20</v>
  </rv>
  <rv s="10">
    <fb>1940.3</fb>
    <v>20</v>
  </rv>
  <rv s="10">
    <fb>2012.2</fb>
    <v>20</v>
  </rv>
  <rv s="10">
    <fb>2105.9</fb>
    <v>20</v>
  </rv>
  <rv s="10">
    <fb>2080.75</fb>
    <v>20</v>
  </rv>
  <rv s="10">
    <fb>2151</fb>
    <v>20</v>
  </rv>
  <rv s="10">
    <fb>2119.5</fb>
    <v>20</v>
  </rv>
  <rv s="10">
    <fb>2109.75</fb>
    <v>20</v>
  </rv>
  <rv s="10">
    <fb>1468.9</fb>
    <v>20</v>
  </rv>
  <rv s="10">
    <fb>1468.65</fb>
    <v>20</v>
  </rv>
  <rv s="10">
    <fb>1480.75</fb>
    <v>20</v>
  </rv>
  <rv s="10">
    <fb>1463.45</fb>
    <v>20</v>
  </rv>
  <rv s="10">
    <fb>1503.15</fb>
    <v>20</v>
  </rv>
  <rv s="10">
    <fb>1492.45</fb>
    <v>20</v>
  </rv>
  <rv s="10">
    <fb>1490.2</fb>
    <v>20</v>
  </rv>
  <rv s="10">
    <fb>1506.3</fb>
    <v>20</v>
  </rv>
  <rv s="10">
    <fb>1504.75</fb>
    <v>20</v>
  </rv>
  <rv s="10">
    <fb>1535.45</fb>
    <v>20</v>
  </rv>
  <rv s="10">
    <fb>1524.45</fb>
    <v>20</v>
  </rv>
  <rv s="10">
    <fb>1527.4</fb>
    <v>20</v>
  </rv>
  <rv s="10">
    <fb>1506.35</fb>
    <v>20</v>
  </rv>
  <rv s="10">
    <fb>1496.4</fb>
    <v>20</v>
  </rv>
  <rv s="10">
    <fb>1500.1</fb>
    <v>20</v>
  </rv>
  <rv s="10">
    <fb>1478.35</fb>
    <v>20</v>
  </rv>
  <rv s="10">
    <fb>1465.4</fb>
    <v>20</v>
  </rv>
  <rv s="10">
    <fb>1447.6</fb>
    <v>20</v>
  </rv>
  <rv s="10">
    <fb>1434.25</fb>
    <v>20</v>
  </rv>
  <rv s="10">
    <fb>1428.7</fb>
    <v>20</v>
  </rv>
  <rv s="10">
    <fb>1412.95</fb>
    <v>20</v>
  </rv>
  <rv s="10">
    <fb>1418.75</fb>
    <v>20</v>
  </rv>
  <rv s="10">
    <fb>1411.5</fb>
    <v>20</v>
  </rv>
  <rv s="10">
    <fb>1409.85</fb>
    <v>20</v>
  </rv>
  <rv s="10">
    <fb>1417.65</fb>
    <v>20</v>
  </rv>
  <rv s="10">
    <fb>1406.55</fb>
    <v>20</v>
  </rv>
  <rv s="10">
    <fb>1399.9</fb>
    <v>20</v>
  </rv>
  <rv s="10">
    <fb>1406.3</fb>
    <v>20</v>
  </rv>
  <rv s="10">
    <fb>1377.15</fb>
    <v>20</v>
  </rv>
  <rv s="10">
    <fb>1348.2</fb>
    <v>20</v>
  </rv>
  <rv s="10">
    <fb>1340.35</fb>
    <v>20</v>
  </rv>
  <rv s="10">
    <fb>1368.45</fb>
    <v>20</v>
  </rv>
  <rv s="10">
    <fb>1363.55</fb>
    <v>20</v>
  </rv>
  <rv s="10">
    <fb>1383.95</fb>
    <v>20</v>
  </rv>
  <rv s="10">
    <fb>1384.7</fb>
    <v>20</v>
  </rv>
  <rv s="10">
    <fb>1363.4</fb>
    <v>20</v>
  </rv>
  <rv s="10">
    <fb>1369.55</fb>
    <v>20</v>
  </rv>
  <rv s="10">
    <fb>1362.85</fb>
    <v>20</v>
  </rv>
  <rv s="10">
    <fb>1346.65</fb>
    <v>20</v>
  </rv>
  <rv s="10">
    <fb>1375.85</fb>
    <v>20</v>
  </rv>
  <rv s="10">
    <fb>1386.85</fb>
    <v>20</v>
  </rv>
  <rv s="10">
    <fb>1393.05</fb>
    <v>20</v>
  </rv>
  <rv s="10">
    <fb>1396</fb>
    <v>20</v>
  </rv>
  <rv s="10">
    <fb>1402.95</fb>
    <v>20</v>
  </rv>
  <rv s="10">
    <fb>1387.65</fb>
    <v>20</v>
  </rv>
  <rv s="10">
    <fb>1378.45</fb>
    <v>20</v>
  </rv>
  <rv s="10">
    <fb>1374.3</fb>
    <v>20</v>
  </rv>
  <rv s="10">
    <fb>1359.85</fb>
    <v>20</v>
  </rv>
  <rv s="10">
    <fb>1353.5</fb>
    <v>20</v>
  </rv>
  <rv s="10">
    <fb>1323.95</fb>
    <v>20</v>
  </rv>
  <rv s="10">
    <fb>1309.45</fb>
    <v>20</v>
  </rv>
  <rv s="10">
    <fb>1298.1500000000001</fb>
    <v>20</v>
  </rv>
  <rv s="10">
    <fb>1309.75</fb>
    <v>20</v>
  </rv>
  <rv s="10">
    <fb>1318</fb>
    <v>20</v>
  </rv>
  <rv s="10">
    <fb>1316.4</fb>
    <v>20</v>
  </rv>
  <rv s="10">
    <fb>1315.45</fb>
    <v>20</v>
  </rv>
  <rv s="10">
    <fb>1317</fb>
    <v>20</v>
  </rv>
  <rv s="10">
    <fb>1316.7</fb>
    <v>20</v>
  </rv>
  <rv s="10">
    <fb>1310.45</fb>
    <v>20</v>
  </rv>
  <rv s="10">
    <fb>1297.0999999999999</fb>
    <v>20</v>
  </rv>
  <rv s="10">
    <fb>1294.9000000000001</fb>
    <v>20</v>
  </rv>
  <rv s="10">
    <fb>1292.8499999999999</fb>
    <v>20</v>
  </rv>
  <rv s="10">
    <fb>1286.05</fb>
    <v>20</v>
  </rv>
  <rv s="10">
    <fb>1300.3</fb>
    <v>20</v>
  </rv>
  <rv s="10">
    <fb>1300.8</fb>
    <v>20</v>
  </rv>
  <rv s="10">
    <fb>1306.5</fb>
    <v>20</v>
  </rv>
  <rv s="10">
    <fb>1297.6500000000001</fb>
    <v>20</v>
  </rv>
  <rv s="10">
    <fb>1309.55</fb>
    <v>20</v>
  </rv>
  <rv s="10">
    <fb>1335.7</fb>
    <v>20</v>
  </rv>
  <rv s="10">
    <fb>1378.65</fb>
    <v>20</v>
  </rv>
  <rv s="10">
    <fb>1403.7</fb>
    <v>20</v>
  </rv>
  <rv s="10">
    <fb>1400.2</fb>
    <v>20</v>
  </rv>
  <rv s="10">
    <fb>1426.55</fb>
    <v>20</v>
  </rv>
  <rv s="10">
    <fb>1405.9</fb>
    <v>20</v>
  </rv>
  <rv s="10">
    <fb>1397.15</fb>
    <v>20</v>
  </rv>
  <rv s="10">
    <fb>1384.4</fb>
    <v>20</v>
  </rv>
  <rv s="10">
    <fb>1375.2</fb>
    <v>20</v>
  </rv>
  <rv s="10">
    <fb>1368.65</fb>
    <v>20</v>
  </rv>
  <rv s="10">
    <fb>1409.95</fb>
    <v>20</v>
  </rv>
  <rv s="10">
    <fb>1404</fb>
    <v>20</v>
  </rv>
  <rv s="10">
    <fb>1401.9</fb>
    <v>20</v>
  </rv>
  <rv s="10">
    <fb>1395.9</fb>
    <v>20</v>
  </rv>
  <rv s="10">
    <fb>1395.8</fb>
    <v>20</v>
  </rv>
  <rv s="10">
    <fb>1402.45</fb>
    <v>20</v>
  </rv>
  <rv s="10">
    <fb>1422.45</fb>
    <v>20</v>
  </rv>
  <rv s="10">
    <fb>1417.75</fb>
    <v>20</v>
  </rv>
  <rv s="10">
    <fb>1412.15</fb>
    <v>20</v>
  </rv>
  <rv s="10">
    <fb>1437.5</fb>
    <v>20</v>
  </rv>
  <rv s="10">
    <fb>1460</fb>
    <v>20</v>
  </rv>
  <rv s="10">
    <fb>1466.65</fb>
    <v>20</v>
  </rv>
  <rv s="10">
    <fb>1471.15</fb>
    <v>20</v>
  </rv>
  <rv s="10">
    <fb>1458.1</fb>
    <v>20</v>
  </rv>
  <rv s="10">
    <fb>1483.2</fb>
    <v>20</v>
  </rv>
  <rv s="10">
    <fb>1432.85</fb>
    <v>20</v>
  </rv>
  <rv s="10">
    <fb>1449.85</fb>
    <v>20</v>
  </rv>
  <rv s="10">
    <fb>1462.8</fb>
    <v>20</v>
  </rv>
  <rv s="10">
    <fb>1456.9</fb>
    <v>20</v>
  </rv>
  <rv s="10">
    <fb>1446.85</fb>
    <v>20</v>
  </rv>
  <rv s="10">
    <fb>1438.8</fb>
    <v>20</v>
  </rv>
  <rv s="10">
    <fb>1421.9</fb>
    <v>20</v>
  </rv>
  <rv s="10">
    <fb>1405.6</fb>
    <v>20</v>
  </rv>
  <rv s="10">
    <fb>1412.05</fb>
    <v>20</v>
  </rv>
  <rv s="10">
    <fb>1420.9</fb>
    <v>20</v>
  </rv>
  <rv s="10">
    <fb>1426.85</fb>
    <v>20</v>
  </rv>
  <rv s="10">
    <fb>1412.25</fb>
    <v>20</v>
  </rv>
  <rv s="10">
    <fb>1409.25</fb>
    <v>20</v>
  </rv>
  <rv s="10">
    <fb>1407.85</fb>
    <v>20</v>
  </rv>
  <rv s="10">
    <fb>1413</fb>
    <v>20</v>
  </rv>
  <rv s="10">
    <fb>1409.45</fb>
    <v>20</v>
  </rv>
  <rv s="10">
    <fb>1410.2</fb>
    <v>20</v>
  </rv>
  <rv s="10">
    <fb>1381.05</fb>
    <v>20</v>
  </rv>
  <rv s="10">
    <fb>1375.1</fb>
    <v>20</v>
  </rv>
  <rv s="10">
    <fb>1388.9</fb>
    <v>20</v>
  </rv>
  <rv s="10">
    <fb>1393.85</fb>
    <v>20</v>
  </rv>
  <rv s="10">
    <fb>1394.95</fb>
    <v>20</v>
  </rv>
  <rv s="10">
    <fb>1377.6</fb>
    <v>20</v>
  </rv>
  <rv s="10">
    <fb>1367.8</fb>
    <v>20</v>
  </rv>
  <rv s="10">
    <fb>1375.9</fb>
    <v>20</v>
  </rv>
  <rv s="10">
    <fb>1370.65</fb>
    <v>20</v>
  </rv>
  <rv s="10">
    <fb>1355.65</fb>
    <v>20</v>
  </rv>
  <rv s="10">
    <fb>1331.35</fb>
    <v>20</v>
  </rv>
  <rv s="10">
    <fb>1330.7</fb>
    <v>20</v>
  </rv>
  <rv s="10">
    <fb>1314</fb>
    <v>20</v>
  </rv>
  <rv s="10">
    <fb>1321.8</fb>
    <v>20</v>
  </rv>
  <rv s="10">
    <fb>1304.3</fb>
    <v>20</v>
  </rv>
  <rv s="10">
    <fb>1345.3</fb>
    <v>20</v>
  </rv>
  <rv s="10">
    <fb>1373.7</fb>
    <v>20</v>
  </rv>
  <rv s="10">
    <fb>1341.5</fb>
    <v>20</v>
  </rv>
  <rv s="10">
    <fb>1387.35</fb>
    <v>20</v>
  </rv>
  <rv s="10">
    <fb>1364.5</fb>
    <v>20</v>
  </rv>
  <rv s="10">
    <fb>1372.65</fb>
    <v>20</v>
  </rv>
  <rv s="10">
    <fb>1375.35</fb>
    <v>20</v>
  </rv>
  <rv s="10">
    <fb>1371</fb>
    <v>20</v>
  </rv>
  <rv s="10">
    <fb>1380.1</fb>
    <v>20</v>
  </rv>
  <rv s="10">
    <fb>1386.9</fb>
    <v>20</v>
  </rv>
  <rv s="10">
    <fb>1372.8</fb>
    <v>20</v>
  </rv>
  <rv s="10">
    <fb>1360.85</fb>
    <v>20</v>
  </rv>
  <rv s="10">
    <fb>1364.75</fb>
    <v>20</v>
  </rv>
  <rv s="10">
    <fb>1341.65</fb>
    <v>20</v>
  </rv>
  <rv s="10">
    <fb>1339.45</fb>
    <v>20</v>
  </rv>
  <rv s="10">
    <fb>1348.55</fb>
    <v>20</v>
  </rv>
  <rv s="10">
    <fb>1349.6</fb>
    <v>20</v>
  </rv>
  <rv s="10">
    <fb>1344.25</fb>
    <v>20</v>
  </rv>
  <rv s="10">
    <fb>1343.85</fb>
    <v>20</v>
  </rv>
  <rv s="10">
    <fb>1344.85</fb>
    <v>20</v>
  </rv>
  <rv s="10">
    <fb>1363.75</fb>
    <v>20</v>
  </rv>
  <rv s="10">
    <fb>1444.85</fb>
    <v>20</v>
  </rv>
  <rv s="10">
    <fb>1431.7</fb>
    <v>20</v>
  </rv>
  <rv s="10">
    <fb>1409.2</fb>
    <v>20</v>
  </rv>
  <rv s="10">
    <fb>1429.85</fb>
    <v>20</v>
  </rv>
  <rv s="10">
    <fb>1429.95</fb>
    <v>20</v>
  </rv>
  <rv s="10">
    <fb>1415.9</fb>
    <v>20</v>
  </rv>
  <rv s="10">
    <fb>1401.35</fb>
    <v>20</v>
  </rv>
  <rv s="10">
    <fb>1458.25</fb>
    <v>20</v>
  </rv>
  <rv s="10">
    <fb>1505.15</fb>
    <v>20</v>
  </rv>
  <rv s="10">
    <fb>1510.15</fb>
    <v>20</v>
  </rv>
  <rv s="10">
    <fb>1479.9</fb>
    <v>20</v>
  </rv>
  <rv s="10">
    <fb>1526.8</fb>
    <v>20</v>
  </rv>
  <rv s="10">
    <fb>1515.05</fb>
    <v>20</v>
  </rv>
  <rv s="10">
    <fb>1448</fb>
    <v>20</v>
  </rv>
  <rv s="10">
    <fb>1471.4</fb>
    <v>20</v>
  </rv>
  <rv s="10">
    <fb>1517</fb>
    <v>20</v>
  </rv>
  <rv s="10">
    <fb>1543.6</fb>
    <v>20</v>
  </rv>
  <rv s="10">
    <fb>1545.55</fb>
    <v>20</v>
  </rv>
  <rv s="10">
    <fb>1535.25</fb>
    <v>20</v>
  </rv>
  <rv s="10">
    <fb>1549.1</fb>
    <v>20</v>
  </rv>
  <rv s="10">
    <fb>1591.2</fb>
    <v>20</v>
  </rv>
  <rv s="10">
    <fb>1574.75</fb>
    <v>20</v>
  </rv>
  <rv s="10">
    <fb>1570.55</fb>
    <v>20</v>
  </rv>
  <rv s="10">
    <fb>1568</fb>
    <v>20</v>
  </rv>
  <rv s="10">
    <fb>1571.55</fb>
    <v>20</v>
  </rv>
  <rv s="10">
    <fb>1528.45</fb>
    <v>20</v>
  </rv>
  <rv s="10">
    <fb>1501.95</fb>
    <v>20</v>
  </rv>
  <rv s="10">
    <fb>1497.4</fb>
    <v>20</v>
  </rv>
  <rv s="10">
    <fb>1529.35</fb>
    <v>20</v>
  </rv>
  <rv s="10">
    <fb>1522.6</fb>
    <v>20</v>
  </rv>
  <rv s="10">
    <fb>1506.65</fb>
    <v>20</v>
  </rv>
  <rv s="10">
    <fb>1504.5</fb>
    <v>20</v>
  </rv>
  <rv s="10">
    <fb>1474</fb>
    <v>20</v>
  </rv>
  <rv s="10">
    <fb>1486.9</fb>
    <v>20</v>
  </rv>
  <rv s="10">
    <fb>1499</fb>
    <v>20</v>
  </rv>
  <rv s="10">
    <fb>1481.2</fb>
    <v>20</v>
  </rv>
  <rv s="10">
    <fb>1444.9</fb>
    <v>20</v>
  </rv>
  <rv s="10">
    <fb>1443.25</fb>
    <v>20</v>
  </rv>
  <rv s="10">
    <fb>1442</fb>
    <v>20</v>
  </rv>
  <rv s="10">
    <fb>1425.9</fb>
    <v>20</v>
  </rv>
  <rv s="10">
    <fb>1404.7</fb>
    <v>20</v>
  </rv>
  <rv s="10">
    <fb>1493.55</fb>
    <v>20</v>
  </rv>
  <rv s="10">
    <fb>1478.45</fb>
    <v>20</v>
  </rv>
  <rv s="10">
    <fb>1461.45</fb>
    <v>20</v>
  </rv>
  <rv s="10">
    <fb>1400</fb>
    <v>20</v>
  </rv>
  <rv s="10">
    <fb>1404.65</fb>
    <v>20</v>
  </rv>
  <rv s="10">
    <fb>1408.25</fb>
    <v>20</v>
  </rv>
  <rv s="10">
    <fb>1372.1</fb>
    <v>20</v>
  </rv>
  <rv s="10">
    <fb>1405.7</fb>
    <v>20</v>
  </rv>
  <rv s="10">
    <fb>1395.25</fb>
    <v>20</v>
  </rv>
  <rv s="10">
    <fb>1381.85</fb>
    <v>20</v>
  </rv>
  <rv s="10">
    <fb>1392.35</fb>
    <v>20</v>
  </rv>
  <rv s="10">
    <fb>1401.6</fb>
    <v>20</v>
  </rv>
  <rv s="10">
    <fb>1406.45</fb>
    <v>20</v>
  </rv>
  <rv s="10">
    <fb>1465.6</fb>
    <v>20</v>
  </rv>
  <rv s="10">
    <fb>1452</fb>
    <v>20</v>
  </rv>
  <rv s="10">
    <fb>1468</fb>
    <v>20</v>
  </rv>
  <rv s="10">
    <fb>1465.5</fb>
    <v>20</v>
  </rv>
  <rv s="10">
    <fb>1461.05</fb>
    <v>20</v>
  </rv>
  <rv s="10">
    <fb>1419.7</fb>
    <v>20</v>
  </rv>
  <rv s="10">
    <fb>1413.4</fb>
    <v>20</v>
  </rv>
  <rv s="10">
    <fb>1400.5</fb>
    <v>20</v>
  </rv>
  <rv s="10">
    <fb>1417.55</fb>
    <v>20</v>
  </rv>
  <rv s="10">
    <fb>1389.85</fb>
    <v>20</v>
  </rv>
  <rv s="10">
    <fb>1407.25</fb>
    <v>20</v>
  </rv>
  <rv s="10">
    <fb>1379.2</fb>
    <v>20</v>
  </rv>
  <rv s="10">
    <fb>1375.25</fb>
    <v>20</v>
  </rv>
  <rv s="10">
    <fb>1343.8</fb>
    <v>20</v>
  </rv>
  <rv s="10">
    <fb>1336.55</fb>
    <v>20</v>
  </rv>
  <rv s="10">
    <fb>1290.1500000000001</fb>
    <v>20</v>
  </rv>
  <rv s="10">
    <fb>1301.45</fb>
    <v>20</v>
  </rv>
  <rv s="10">
    <fb>1299.25</fb>
    <v>20</v>
  </rv>
  <rv s="10">
    <fb>1287.6500000000001</fb>
    <v>20</v>
  </rv>
  <rv s="10">
    <fb>1304.3499999999999</fb>
    <v>20</v>
  </rv>
  <rv s="10">
    <fb>1296.8499999999999</fb>
    <v>20</v>
  </rv>
  <rv s="10">
    <fb>1307.3</fb>
    <v>20</v>
  </rv>
  <rv s="10">
    <fb>1314.05</fb>
    <v>20</v>
  </rv>
  <rv s="10">
    <fb>1348.25</fb>
    <v>20</v>
  </rv>
  <rv s="10">
    <fb>1329.35</fb>
    <v>20</v>
  </rv>
  <rv s="10">
    <fb>1347.65</fb>
    <v>20</v>
  </rv>
  <rv s="10">
    <fb>1328.45</fb>
    <v>20</v>
  </rv>
  <rv s="10">
    <fb>1335.95</fb>
    <v>20</v>
  </rv>
  <rv s="10">
    <fb>1348.8</fb>
    <v>20</v>
  </rv>
  <rv s="10">
    <fb>1334.95</fb>
    <v>20</v>
  </rv>
  <rv s="10">
    <fb>1325.35</fb>
    <v>20</v>
  </rv>
  <rv s="10">
    <fb>1360.35</fb>
    <v>20</v>
  </rv>
  <rv s="10">
    <fb>1358.5</fb>
    <v>20</v>
  </rv>
  <rv s="10">
    <fb>1318.5</fb>
    <v>20</v>
  </rv>
  <rv s="10">
    <fb>1335.2</fb>
    <v>20</v>
  </rv>
  <rv s="10">
    <fb>1313.35</fb>
    <v>20</v>
  </rv>
  <rv s="10">
    <fb>1297.75</fb>
    <v>20</v>
  </rv>
  <rv s="10">
    <fb>1304.8</fb>
    <v>20</v>
  </rv>
  <rv s="10">
    <fb>1300.2</fb>
    <v>20</v>
  </rv>
  <rv s="10">
    <fb>1299.75</fb>
    <v>20</v>
  </rv>
  <rv s="10">
    <fb>1312.7</fb>
    <v>20</v>
  </rv>
  <rv s="10">
    <fb>1323.15</fb>
    <v>20</v>
  </rv>
  <rv s="10">
    <fb>536.45000000000005</fb>
    <v>20</v>
  </rv>
  <rv s="10">
    <fb>537.95000000000005</fb>
    <v>20</v>
  </rv>
  <rv s="10">
    <fb>530.4</fb>
    <v>20</v>
  </rv>
  <rv s="10">
    <fb>505</fb>
    <v>20</v>
  </rv>
  <rv s="10">
    <fb>513.9</fb>
    <v>20</v>
  </rv>
  <rv s="10">
    <fb>517.9</fb>
    <v>20</v>
  </rv>
  <rv s="10">
    <fb>514.29999999999995</fb>
    <v>20</v>
  </rv>
  <rv s="10">
    <fb>520.20000000000005</fb>
    <v>20</v>
  </rv>
  <rv s="10">
    <fb>518.35</fb>
    <v>20</v>
  </rv>
  <rv s="10">
    <fb>533.04999999999995</fb>
    <v>20</v>
  </rv>
  <rv s="10">
    <fb>530.75</fb>
    <v>20</v>
  </rv>
  <rv s="10">
    <fb>523.95000000000005</fb>
    <v>20</v>
  </rv>
  <rv s="10">
    <fb>523.45000000000005</fb>
    <v>20</v>
  </rv>
  <rv s="10">
    <fb>519.1</fb>
    <v>20</v>
  </rv>
  <rv s="10">
    <fb>522.25</fb>
    <v>20</v>
  </rv>
  <rv s="10">
    <fb>525.75</fb>
    <v>20</v>
  </rv>
  <rv s="10">
    <fb>526.70000000000005</fb>
    <v>20</v>
  </rv>
  <rv s="10">
    <fb>530.15</fb>
    <v>20</v>
  </rv>
  <rv s="10">
    <fb>542.1</fb>
    <v>20</v>
  </rv>
  <rv s="10">
    <fb>548.35</fb>
    <v>20</v>
  </rv>
  <rv s="10">
    <fb>549.9</fb>
    <v>20</v>
  </rv>
  <rv s="10">
    <fb>555.4</fb>
    <v>20</v>
  </rv>
  <rv s="10">
    <fb>556.9</fb>
    <v>20</v>
  </rv>
  <rv s="10">
    <fb>557.20000000000005</fb>
    <v>20</v>
  </rv>
  <rv s="10">
    <fb>552.25</fb>
    <v>20</v>
  </rv>
  <rv s="10">
    <fb>547.5</fb>
    <v>20</v>
  </rv>
  <rv s="10">
    <fb>556.5</fb>
    <v>20</v>
  </rv>
  <rv s="10">
    <fb>552.1</fb>
    <v>20</v>
  </rv>
  <rv s="10">
    <fb>549.95000000000005</fb>
    <v>20</v>
  </rv>
  <rv s="10">
    <fb>553.6</fb>
    <v>20</v>
  </rv>
  <rv s="10">
    <fb>560.45000000000005</fb>
    <v>20</v>
  </rv>
  <rv s="10">
    <fb>562.35</fb>
    <v>20</v>
  </rv>
  <rv s="10">
    <fb>569.04999999999995</fb>
    <v>20</v>
  </rv>
  <rv s="10">
    <fb>570.9</fb>
    <v>20</v>
  </rv>
  <rv s="10">
    <fb>569.15</fb>
    <v>20</v>
  </rv>
  <rv s="10">
    <fb>572.1</fb>
    <v>20</v>
  </rv>
  <rv s="10">
    <fb>567.1</fb>
    <v>20</v>
  </rv>
  <rv s="10">
    <fb>562.65</fb>
    <v>20</v>
  </rv>
  <rv s="10">
    <fb>563.35</fb>
    <v>20</v>
  </rv>
  <rv s="10">
    <fb>569.54999999999995</fb>
    <v>20</v>
  </rv>
  <rv s="10">
    <fb>570.6</fb>
    <v>20</v>
  </rv>
  <rv s="10">
    <fb>574.1</fb>
    <v>20</v>
  </rv>
  <rv s="10">
    <fb>572.95000000000005</fb>
    <v>20</v>
  </rv>
  <rv s="10">
    <fb>582.25</fb>
    <v>20</v>
  </rv>
  <rv s="10">
    <fb>579.65</fb>
    <v>20</v>
  </rv>
  <rv s="10">
    <fb>592.45000000000005</fb>
    <v>20</v>
  </rv>
  <rv s="10">
    <fb>591.95000000000005</fb>
    <v>20</v>
  </rv>
  <rv s="10">
    <fb>572.20000000000005</fb>
    <v>20</v>
  </rv>
  <rv s="10">
    <fb>572.70000000000005</fb>
    <v>20</v>
  </rv>
  <rv s="10">
    <fb>581.65</fb>
    <v>20</v>
  </rv>
  <rv s="10">
    <fb>583.4</fb>
    <v>20</v>
  </rv>
  <rv s="10">
    <fb>577.70000000000005</fb>
    <v>20</v>
  </rv>
  <rv s="10">
    <fb>586.5</fb>
    <v>20</v>
  </rv>
  <rv s="10">
    <fb>577</fb>
    <v>20</v>
  </rv>
  <rv s="10">
    <fb>574.54999999999995</fb>
    <v>20</v>
  </rv>
  <rv s="10">
    <fb>578.5</fb>
    <v>20</v>
  </rv>
  <rv s="10">
    <fb>565.20000000000005</fb>
    <v>20</v>
  </rv>
  <rv s="10">
    <fb>565.29999999999995</fb>
    <v>20</v>
  </rv>
  <rv s="10">
    <fb>568.35</fb>
    <v>20</v>
  </rv>
  <rv s="10">
    <fb>575</fb>
    <v>20</v>
  </rv>
  <rv s="10">
    <fb>573.79999999999995</fb>
    <v>20</v>
  </rv>
  <rv s="10">
    <fb>581.70000000000005</fb>
    <v>20</v>
  </rv>
  <rv s="10">
    <fb>575.6</fb>
    <v>20</v>
  </rv>
  <rv s="10">
    <fb>568.75</fb>
    <v>20</v>
  </rv>
  <rv s="10">
    <fb>565.65</fb>
    <v>20</v>
  </rv>
  <rv s="10">
    <fb>555.04999999999995</fb>
    <v>20</v>
  </rv>
  <rv s="10">
    <fb>569.70000000000005</fb>
    <v>20</v>
  </rv>
  <rv s="10">
    <fb>562.4</fb>
    <v>20</v>
  </rv>
  <rv s="10">
    <fb>572.15</fb>
    <v>20</v>
  </rv>
  <rv s="10">
    <fb>571.54999999999995</fb>
    <v>20</v>
  </rv>
  <rv s="10">
    <fb>563.15</fb>
    <v>20</v>
  </rv>
  <rv s="10">
    <fb>564.85</fb>
    <v>20</v>
  </rv>
  <rv s="10">
    <fb>565.35</fb>
    <v>20</v>
  </rv>
  <rv s="10">
    <fb>561.20000000000005</fb>
    <v>20</v>
  </rv>
  <rv s="10">
    <fb>565.5</fb>
    <v>20</v>
  </rv>
  <rv s="10">
    <fb>567.75</fb>
    <v>20</v>
  </rv>
  <rv s="10">
    <fb>574.75</fb>
    <v>20</v>
  </rv>
  <rv s="10">
    <fb>567.29999999999995</fb>
    <v>20</v>
  </rv>
  <rv s="10">
    <fb>564.9</fb>
    <v>20</v>
  </rv>
  <rv s="10">
    <fb>558.04999999999995</fb>
    <v>20</v>
  </rv>
  <rv s="10">
    <fb>554.15</fb>
    <v>20</v>
  </rv>
  <rv s="10">
    <fb>550.15</fb>
    <v>20</v>
  </rv>
  <rv s="10">
    <fb>554.9</fb>
    <v>20</v>
  </rv>
  <rv s="10">
    <fb>553.1</fb>
    <v>20</v>
  </rv>
  <rv s="10">
    <fb>553.35</fb>
    <v>20</v>
  </rv>
  <rv s="10">
    <fb>557.9</fb>
    <v>20</v>
  </rv>
  <rv s="10">
    <fb>559.85</fb>
    <v>20</v>
  </rv>
  <rv s="10">
    <fb>561.54999999999995</fb>
    <v>20</v>
  </rv>
  <rv s="10">
    <fb>566</fb>
    <v>20</v>
  </rv>
  <rv s="10">
    <fb>565.70000000000005</fb>
    <v>20</v>
  </rv>
  <rv s="10">
    <fb>567.45000000000005</fb>
    <v>20</v>
  </rv>
  <rv s="10">
    <fb>561.15</fb>
    <v>20</v>
  </rv>
  <rv s="10">
    <fb>560.15</fb>
    <v>20</v>
  </rv>
  <rv s="10">
    <fb>561.29999999999995</fb>
    <v>20</v>
  </rv>
  <rv s="10">
    <fb>554.29999999999995</fb>
    <v>20</v>
  </rv>
  <rv s="10">
    <fb>555.45000000000005</fb>
    <v>20</v>
  </rv>
  <rv s="10">
    <fb>561</fb>
    <v>20</v>
  </rv>
  <rv s="10">
    <fb>547.25</fb>
    <v>20</v>
  </rv>
  <rv s="10">
    <fb>551.6</fb>
    <v>20</v>
  </rv>
  <rv s="10">
    <fb>555.35</fb>
    <v>20</v>
  </rv>
  <rv s="10">
    <fb>550.75</fb>
    <v>20</v>
  </rv>
  <rv s="10">
    <fb>547.15</fb>
    <v>20</v>
  </rv>
  <rv s="10">
    <fb>541.75</fb>
    <v>20</v>
  </rv>
  <rv s="10">
    <fb>543.85</fb>
    <v>20</v>
  </rv>
  <rv s="10">
    <fb>543.75</fb>
    <v>20</v>
  </rv>
  <rv s="10">
    <fb>541</fb>
    <v>20</v>
  </rv>
  <rv s="10">
    <fb>538.85</fb>
    <v>20</v>
  </rv>
  <rv s="10">
    <fb>536.95000000000005</fb>
    <v>20</v>
  </rv>
  <rv s="10">
    <fb>540.25</fb>
    <v>20</v>
  </rv>
  <rv s="10">
    <fb>534</fb>
    <v>20</v>
  </rv>
  <rv s="10">
    <fb>525.65</fb>
    <v>20</v>
  </rv>
  <rv s="10">
    <fb>524.79999999999995</fb>
    <v>20</v>
  </rv>
  <rv s="10">
    <fb>521.35</fb>
    <v>20</v>
  </rv>
  <rv s="10">
    <fb>508.45</fb>
    <v>20</v>
  </rv>
  <rv s="10">
    <fb>524.54999999999995</fb>
    <v>20</v>
  </rv>
  <rv s="10">
    <fb>528.9</fb>
    <v>20</v>
  </rv>
  <rv s="10">
    <fb>517.1</fb>
    <v>20</v>
  </rv>
  <rv s="10">
    <fb>535.5</fb>
    <v>20</v>
  </rv>
  <rv s="10">
    <fb>536.1</fb>
    <v>20</v>
  </rv>
  <rv s="10">
    <fb>539.25</fb>
    <v>20</v>
  </rv>
  <rv s="10">
    <fb>534.85</fb>
    <v>20</v>
  </rv>
  <rv s="10">
    <fb>533.35</fb>
    <v>20</v>
  </rv>
  <rv s="10">
    <fb>535.6</fb>
    <v>20</v>
  </rv>
  <rv s="10">
    <fb>530.1</fb>
    <v>20</v>
  </rv>
  <rv s="10">
    <fb>526</fb>
    <v>20</v>
  </rv>
  <rv s="10">
    <fb>534.9</fb>
    <v>20</v>
  </rv>
  <rv s="10">
    <fb>540.70000000000005</fb>
    <v>20</v>
  </rv>
  <rv s="10">
    <fb>543.20000000000005</fb>
    <v>20</v>
  </rv>
  <rv s="10">
    <fb>540.85</fb>
    <v>20</v>
  </rv>
  <rv s="10">
    <fb>540.35</fb>
    <v>20</v>
  </rv>
  <rv s="10">
    <fb>537.35</fb>
    <v>20</v>
  </rv>
  <rv s="10">
    <fb>533.79999999999995</fb>
    <v>20</v>
  </rv>
  <rv s="10">
    <fb>534.6</fb>
    <v>20</v>
  </rv>
  <rv s="10">
    <fb>538.04999999999995</fb>
    <v>20</v>
  </rv>
  <rv s="10">
    <fb>541.15</fb>
    <v>20</v>
  </rv>
  <rv s="10">
    <fb>547</fb>
    <v>20</v>
  </rv>
  <rv s="10">
    <fb>552</fb>
    <v>20</v>
  </rv>
  <rv s="10">
    <fb>550.04999999999995</fb>
    <v>20</v>
  </rv>
  <rv s="10">
    <fb>545.79999999999995</fb>
    <v>20</v>
  </rv>
  <rv s="10">
    <fb>550.5</fb>
    <v>20</v>
  </rv>
  <rv s="10">
    <fb>549</fb>
    <v>20</v>
  </rv>
  <rv s="10">
    <fb>547.54999999999995</fb>
    <v>20</v>
  </rv>
  <rv s="10">
    <fb>547.45000000000005</fb>
    <v>20</v>
  </rv>
  <rv s="10">
    <fb>539.70000000000005</fb>
    <v>20</v>
  </rv>
  <rv s="10">
    <fb>540.5</fb>
    <v>20</v>
  </rv>
  <rv s="10">
    <fb>548.20000000000005</fb>
    <v>20</v>
  </rv>
  <rv s="10">
    <fb>534.95000000000005</fb>
    <v>20</v>
  </rv>
  <rv s="10">
    <fb>530.25</fb>
    <v>20</v>
  </rv>
  <rv s="10">
    <fb>529.29999999999995</fb>
    <v>20</v>
  </rv>
  <rv s="10">
    <fb>530.6</fb>
    <v>20</v>
  </rv>
  <rv s="10">
    <fb>534.35</fb>
    <v>20</v>
  </rv>
  <rv s="10">
    <fb>543.1</fb>
    <v>20</v>
  </rv>
  <rv s="10">
    <fb>557.45000000000005</fb>
    <v>20</v>
  </rv>
  <rv s="10">
    <fb>556.85</fb>
    <v>20</v>
  </rv>
  <rv s="10">
    <fb>551.1</fb>
    <v>20</v>
  </rv>
  <rv s="10">
    <fb>566.25</fb>
    <v>20</v>
  </rv>
  <rv s="10">
    <fb>553.25</fb>
    <v>20</v>
  </rv>
  <rv s="10">
    <fb>547.85</fb>
    <v>20</v>
  </rv>
  <rv s="10">
    <fb>547.35</fb>
    <v>20</v>
  </rv>
  <rv s="10">
    <fb>549.70000000000005</fb>
    <v>20</v>
  </rv>
  <rv s="10">
    <fb>558.79999999999995</fb>
    <v>20</v>
  </rv>
  <rv s="10">
    <fb>549.45000000000005</fb>
    <v>20</v>
  </rv>
  <rv s="10">
    <fb>539.45000000000005</fb>
    <v>20</v>
  </rv>
  <rv s="10">
    <fb>542.29999999999995</fb>
    <v>20</v>
  </rv>
  <rv s="10">
    <fb>538.4</fb>
    <v>20</v>
  </rv>
  <rv s="10">
    <fb>536.6</fb>
    <v>20</v>
  </rv>
  <rv s="10">
    <fb>531.6</fb>
    <v>20</v>
  </rv>
  <rv s="10">
    <fb>534.25</fb>
    <v>20</v>
  </rv>
  <rv s="10">
    <fb>535.95000000000005</fb>
    <v>20</v>
  </rv>
  <rv s="10">
    <fb>539.6</fb>
    <v>20</v>
  </rv>
  <rv s="10">
    <fb>554.4</fb>
    <v>20</v>
  </rv>
  <rv s="10">
    <fb>544.65</fb>
    <v>20</v>
  </rv>
  <rv s="10">
    <fb>533.65</fb>
    <v>20</v>
  </rv>
  <rv s="10">
    <fb>532.70000000000005</fb>
    <v>20</v>
  </rv>
  <rv s="10">
    <fb>537.4</fb>
    <v>20</v>
  </rv>
  <rv s="10">
    <fb>533.95000000000005</fb>
    <v>20</v>
  </rv>
  <rv s="10">
    <fb>539.20000000000005</fb>
    <v>20</v>
  </rv>
  <rv s="10">
    <fb>536.54999999999995</fb>
    <v>20</v>
  </rv>
  <rv s="10">
    <fb>538.75</fb>
    <v>20</v>
  </rv>
  <rv s="10">
    <fb>544.29999999999995</fb>
    <v>20</v>
  </rv>
  <rv s="10">
    <fb>544.20000000000005</fb>
    <v>20</v>
  </rv>
  <rv s="10">
    <fb>544.5</fb>
    <v>20</v>
  </rv>
  <rv s="10">
    <fb>547.65</fb>
    <v>20</v>
  </rv>
  <rv s="10">
    <fb>546.29999999999995</fb>
    <v>20</v>
  </rv>
  <rv s="10">
    <fb>541.6</fb>
    <v>20</v>
  </rv>
  <rv s="10">
    <fb>535.29999999999995</fb>
    <v>20</v>
  </rv>
  <rv s="10">
    <fb>529.25</fb>
    <v>20</v>
  </rv>
  <rv s="10">
    <fb>536.25</fb>
    <v>20</v>
  </rv>
  <rv s="10">
    <fb>538.15</fb>
    <v>20</v>
  </rv>
  <rv s="10">
    <fb>541.1</fb>
    <v>20</v>
  </rv>
  <rv s="10">
    <fb>538.6</fb>
    <v>20</v>
  </rv>
  <rv s="10">
    <fb>537.29999999999995</fb>
    <v>20</v>
  </rv>
  <rv s="10">
    <fb>534.75</fb>
    <v>20</v>
  </rv>
  <rv s="10">
    <fb>531.5</fb>
    <v>20</v>
  </rv>
  <rv s="10">
    <fb>535.25</fb>
    <v>20</v>
  </rv>
  <rv s="10">
    <fb>533.4</fb>
    <v>20</v>
  </rv>
  <rv s="10">
    <fb>529</fb>
    <v>20</v>
  </rv>
  <rv s="10">
    <fb>519.95000000000005</fb>
    <v>20</v>
  </rv>
  <rv s="10">
    <fb>529.65</fb>
    <v>20</v>
  </rv>
  <rv s="10">
    <fb>526.54999999999995</fb>
    <v>20</v>
  </rv>
  <rv s="10">
    <fb>523.6</fb>
    <v>20</v>
  </rv>
  <rv s="10">
    <fb>520.79999999999995</fb>
    <v>20</v>
  </rv>
  <rv s="10">
    <fb>521.1</fb>
    <v>20</v>
  </rv>
  <rv s="10">
    <fb>521.65</fb>
    <v>20</v>
  </rv>
  <rv s="10">
    <fb>523.15</fb>
    <v>20</v>
  </rv>
  <rv s="10">
    <fb>529.15</fb>
    <v>20</v>
  </rv>
  <rv s="10">
    <fb>531</fb>
    <v>20</v>
  </rv>
  <rv s="10">
    <fb>506.05</fb>
    <v>20</v>
  </rv>
  <rv s="10">
    <fb>507.9</fb>
    <v>20</v>
  </rv>
  <rv s="10">
    <fb>503.05</fb>
    <v>20</v>
  </rv>
  <rv s="10">
    <fb>503.15</fb>
    <v>20</v>
  </rv>
  <rv s="10">
    <fb>506.25</fb>
    <v>20</v>
  </rv>
  <rv s="10">
    <fb>500.6</fb>
    <v>20</v>
  </rv>
  <rv s="10">
    <fb>495.2</fb>
    <v>20</v>
  </rv>
  <rv s="10">
    <fb>503.9</fb>
    <v>20</v>
  </rv>
  <rv s="10">
    <fb>503.85</fb>
    <v>20</v>
  </rv>
  <rv s="10">
    <fb>504.2</fb>
    <v>20</v>
  </rv>
  <rv s="10">
    <fb>506.15</fb>
    <v>20</v>
  </rv>
  <rv s="10">
    <fb>507.15</fb>
    <v>20</v>
  </rv>
  <rv s="10">
    <fb>509.45</fb>
    <v>20</v>
  </rv>
  <rv s="10">
    <fb>506.45</fb>
    <v>20</v>
  </rv>
  <rv s="10">
    <fb>509</fb>
    <v>20</v>
  </rv>
  <rv s="10">
    <fb>506.7</fb>
    <v>20</v>
  </rv>
  <rv s="10">
    <fb>1895.25</fb>
    <v>20</v>
  </rv>
  <rv s="10">
    <fb>1952.2</fb>
    <v>20</v>
  </rv>
  <rv s="10">
    <fb>1935.8</fb>
    <v>20</v>
  </rv>
  <rv s="10">
    <fb>1914.7</fb>
    <v>20</v>
  </rv>
  <rv s="10">
    <fb>1936.45</fb>
    <v>20</v>
  </rv>
  <rv s="10">
    <fb>1948.55</fb>
    <v>20</v>
  </rv>
  <rv s="10">
    <fb>1958.55</fb>
    <v>20</v>
  </rv>
  <rv s="10">
    <fb>1926.75</fb>
    <v>20</v>
  </rv>
  <rv s="10">
    <fb>1933.5</fb>
    <v>20</v>
  </rv>
  <rv s="10">
    <fb>1932.05</fb>
    <v>20</v>
  </rv>
  <rv s="10">
    <fb>1929.2</fb>
    <v>20</v>
  </rv>
  <rv s="10">
    <fb>1972.9</fb>
    <v>20</v>
  </rv>
  <rv s="10">
    <fb>1966.5</fb>
    <v>20</v>
  </rv>
  <rv s="10">
    <fb>1941.1</fb>
    <v>20</v>
  </rv>
  <rv s="10">
    <fb>1944.95</fb>
    <v>20</v>
  </rv>
  <rv s="10">
    <fb>1950.05</fb>
    <v>20</v>
  </rv>
  <rv s="10">
    <fb>2078.9499999999998</fb>
    <v>20</v>
  </rv>
  <rv s="10">
    <fb>2074.5500000000002</fb>
    <v>20</v>
  </rv>
  <rv s="10">
    <fb>2082.5</fb>
    <v>20</v>
  </rv>
  <rv s="10">
    <fb>2073</fb>
    <v>20</v>
  </rv>
  <rv s="10">
    <fb>2073.8000000000002</fb>
    <v>20</v>
  </rv>
  <rv s="10">
    <fb>2075.8000000000002</fb>
    <v>20</v>
  </rv>
  <rv s="10">
    <fb>2086.65</fb>
    <v>20</v>
  </rv>
  <rv s="10">
    <fb>2111.75</fb>
    <v>20</v>
  </rv>
  <rv s="10">
    <fb>2130.35</fb>
    <v>20</v>
  </rv>
  <rv s="10">
    <fb>2126.4</fb>
    <v>20</v>
  </rv>
  <rv s="10">
    <fb>2086.1</fb>
    <v>20</v>
  </rv>
  <rv s="10">
    <fb>2019.9</fb>
    <v>20</v>
  </rv>
  <rv s="10">
    <fb>2027.95</fb>
    <v>20</v>
  </rv>
  <rv s="10">
    <fb>2069.25</fb>
    <v>20</v>
  </rv>
  <rv s="10">
    <fb>2114.6</fb>
    <v>20</v>
  </rv>
  <rv s="10">
    <fb>2136.5500000000002</fb>
    <v>20</v>
  </rv>
  <rv s="10">
    <fb>2163.1</fb>
    <v>20</v>
  </rv>
  <rv s="10">
    <fb>2174.4499999999998</fb>
    <v>20</v>
  </rv>
  <rv s="10">
    <fb>2243.9</fb>
    <v>20</v>
  </rv>
  <rv s="10">
    <fb>2260.25</fb>
    <v>20</v>
  </rv>
  <rv s="10">
    <fb>2268</fb>
    <v>20</v>
  </rv>
  <rv s="10">
    <fb>2211.6999999999998</fb>
    <v>20</v>
  </rv>
  <rv s="10">
    <fb>2232.65</fb>
    <v>20</v>
  </rv>
  <rv s="10">
    <fb>2199.35</fb>
    <v>20</v>
  </rv>
  <rv s="10">
    <fb>2177.1999999999998</fb>
    <v>20</v>
  </rv>
  <rv s="10">
    <fb>2173.75</fb>
    <v>20</v>
  </rv>
  <rv s="10">
    <fb>2165.0500000000002</fb>
    <v>20</v>
  </rv>
  <rv s="10">
    <fb>2171.15</fb>
    <v>20</v>
  </rv>
  <rv s="10">
    <fb>2131.0500000000002</fb>
    <v>20</v>
  </rv>
  <rv s="10">
    <fb>2135.5</fb>
    <v>20</v>
  </rv>
  <rv s="10">
    <fb>2062.35</fb>
    <v>20</v>
  </rv>
  <rv s="10">
    <fb>1986.85</fb>
    <v>20</v>
  </rv>
  <rv s="10">
    <fb>1932.5</fb>
    <v>20</v>
  </rv>
  <rv s="10">
    <fb>1936.15</fb>
    <v>20</v>
  </rv>
  <rv s="10">
    <fb>1925.5</fb>
    <v>20</v>
  </rv>
  <rv s="10">
    <fb>1943.8</fb>
    <v>20</v>
  </rv>
  <rv s="10">
    <fb>1987.9</fb>
    <v>20</v>
  </rv>
  <rv s="10">
    <fb>1976.25</fb>
    <v>20</v>
  </rv>
  <rv s="10">
    <fb>1992.35</fb>
    <v>20</v>
  </rv>
  <rv s="10">
    <fb>1991.1</fb>
    <v>20</v>
  </rv>
  <rv s="10">
    <fb>1979.3</fb>
    <v>20</v>
  </rv>
  <rv s="10">
    <fb>1989.7</fb>
    <v>20</v>
  </rv>
  <rv s="10">
    <fb>2007.85</fb>
    <v>20</v>
  </rv>
  <rv s="10">
    <fb>2005.85</fb>
    <v>20</v>
  </rv>
  <rv s="10">
    <fb>1977.6</fb>
    <v>20</v>
  </rv>
  <rv s="10">
    <fb>2013.15</fb>
    <v>20</v>
  </rv>
  <rv s="10">
    <fb>2010.7</fb>
    <v>20</v>
  </rv>
  <rv s="10">
    <fb>2045.7</fb>
    <v>20</v>
  </rv>
  <rv s="10">
    <fb>2013.2</fb>
    <v>20</v>
  </rv>
  <rv s="10">
    <fb>2025.95</fb>
    <v>20</v>
  </rv>
  <rv s="10">
    <fb>2041.35</fb>
    <v>20</v>
  </rv>
  <rv s="10">
    <fb>2046.75</fb>
    <v>20</v>
  </rv>
  <rv s="10">
    <fb>2091.9499999999998</fb>
    <v>20</v>
  </rv>
  <rv s="10">
    <fb>2065.4499999999998</fb>
    <v>20</v>
  </rv>
  <rv s="10">
    <fb>2066.0500000000002</fb>
    <v>20</v>
  </rv>
  <rv s="10">
    <fb>2083.65</fb>
    <v>20</v>
  </rv>
  <rv s="10">
    <fb>2054</fb>
    <v>20</v>
  </rv>
  <rv s="10">
    <fb>2043</fb>
    <v>20</v>
  </rv>
  <rv s="10">
    <fb>1999.25</fb>
    <v>20</v>
  </rv>
  <rv s="10">
    <fb>1994.95</fb>
    <v>20</v>
  </rv>
  <rv s="10">
    <fb>2006.2</fb>
    <v>20</v>
  </rv>
  <rv s="10">
    <fb>1988.05</fb>
    <v>20</v>
  </rv>
  <rv s="10">
    <fb>1993.65</fb>
    <v>20</v>
  </rv>
  <rv s="10">
    <fb>2027.9</fb>
    <v>20</v>
  </rv>
  <rv s="10">
    <fb>2018.5</fb>
    <v>20</v>
  </rv>
  <rv s="10">
    <fb>2038.55</fb>
    <v>20</v>
  </rv>
  <rv s="10">
    <fb>2170.1999999999998</fb>
    <v>20</v>
  </rv>
  <rv s="10">
    <fb>2218.1</fb>
    <v>20</v>
  </rv>
  <rv s="10">
    <fb>2220</fb>
    <v>20</v>
  </rv>
  <rv s="10">
    <fb>2226.0500000000002</fb>
    <v>20</v>
  </rv>
  <rv s="10">
    <fb>2242.5500000000002</fb>
    <v>20</v>
  </rv>
  <rv s="10">
    <fb>2280.9</fb>
    <v>20</v>
  </rv>
  <rv s="10">
    <fb>2291.9499999999998</fb>
    <v>20</v>
  </rv>
  <rv s="10">
    <fb>2339.65</fb>
    <v>20</v>
  </rv>
  <rv s="10">
    <fb>2319.25</fb>
    <v>20</v>
  </rv>
  <rv s="10">
    <fb>2342.8000000000002</fb>
    <v>20</v>
  </rv>
  <rv s="10">
    <fb>2247.4</fb>
    <v>20</v>
  </rv>
  <rv s="10">
    <fb>2279.6</fb>
    <v>20</v>
  </rv>
  <rv s="10">
    <fb>2267.5500000000002</fb>
    <v>20</v>
  </rv>
  <rv s="10">
    <fb>2242.25</fb>
    <v>20</v>
  </rv>
  <rv s="10">
    <fb>2248.4</fb>
    <v>20</v>
  </rv>
  <rv s="10">
    <fb>2213.6999999999998</fb>
    <v>20</v>
  </rv>
  <rv s="10">
    <fb>2180.5500000000002</fb>
    <v>20</v>
  </rv>
  <rv s="10">
    <fb>2128.3000000000002</fb>
    <v>20</v>
  </rv>
  <rv s="10">
    <fb>2138.1</fb>
    <v>20</v>
  </rv>
  <rv s="10">
    <fb>2108.0500000000002</fb>
    <v>20</v>
  </rv>
  <rv s="10">
    <fb>2141.75</fb>
    <v>20</v>
  </rv>
  <rv s="10">
    <fb>2100.4499999999998</fb>
    <v>20</v>
  </rv>
  <rv s="10">
    <fb>2120.4499999999998</fb>
    <v>20</v>
  </rv>
  <rv s="10">
    <fb>2090.1999999999998</fb>
    <v>20</v>
  </rv>
  <rv s="10">
    <fb>2103.8000000000002</fb>
    <v>20</v>
  </rv>
  <rv s="10">
    <fb>2108.5</fb>
    <v>20</v>
  </rv>
  <rv s="10">
    <fb>2068.9499999999998</fb>
    <v>20</v>
  </rv>
  <rv s="10">
    <fb>2065.5</fb>
    <v>20</v>
  </rv>
  <rv s="10">
    <fb>2093.6999999999998</fb>
    <v>20</v>
  </rv>
  <rv s="10">
    <fb>2087.6999999999998</fb>
    <v>20</v>
  </rv>
  <rv s="10">
    <fb>2083.35</fb>
    <v>20</v>
  </rv>
  <rv s="10">
    <fb>2111.1</fb>
    <v>20</v>
  </rv>
  <rv s="10">
    <fb>2125.4</fb>
    <v>20</v>
  </rv>
  <rv s="10">
    <fb>2105.6</fb>
    <v>20</v>
  </rv>
  <rv s="10">
    <fb>2092.65</fb>
    <v>20</v>
  </rv>
  <rv s="10">
    <fb>2084.6</fb>
    <v>20</v>
  </rv>
  <rv s="10">
    <fb>2019.15</fb>
    <v>20</v>
  </rv>
  <rv s="10">
    <fb>1979.05</fb>
    <v>20</v>
  </rv>
  <rv s="10">
    <fb>1950</fb>
    <v>20</v>
  </rv>
  <rv s="10">
    <fb>1988</fb>
    <v>20</v>
  </rv>
  <rv s="10">
    <fb>1990.95</fb>
    <v>20</v>
  </rv>
  <rv s="10">
    <fb>1986.75</fb>
    <v>20</v>
  </rv>
  <rv s="10">
    <fb>1960.05</fb>
    <v>20</v>
  </rv>
  <rv s="10">
    <fb>2021.7</fb>
    <v>20</v>
  </rv>
  <rv s="10">
    <fb>2138.35</fb>
    <v>20</v>
  </rv>
  <rv s="10">
    <fb>2099.65</fb>
    <v>20</v>
  </rv>
  <rv s="10">
    <fb>2141.3000000000002</fb>
    <v>20</v>
  </rv>
  <rv s="10">
    <fb>2076.4</fb>
    <v>20</v>
  </rv>
  <rv s="10">
    <fb>2112</fb>
    <v>20</v>
  </rv>
  <rv s="10">
    <fb>2116.0500000000002</fb>
    <v>20</v>
  </rv>
  <rv s="10">
    <fb>2113.35</fb>
    <v>20</v>
  </rv>
  <rv s="10">
    <fb>2119.6</fb>
    <v>20</v>
  </rv>
  <rv s="10">
    <fb>2149.35</fb>
    <v>20</v>
  </rv>
  <rv s="10">
    <fb>2147.9</fb>
    <v>20</v>
  </rv>
  <rv s="10">
    <fb>2117.9499999999998</fb>
    <v>20</v>
  </rv>
  <rv s="10">
    <fb>2125.1</fb>
    <v>20</v>
  </rv>
  <rv s="10">
    <fb>2133.4</fb>
    <v>20</v>
  </rv>
  <rv s="10">
    <fb>2206.1999999999998</fb>
    <v>20</v>
  </rv>
  <rv s="10">
    <fb>2195.1999999999998</fb>
    <v>20</v>
  </rv>
  <rv s="10">
    <fb>2177.85</fb>
    <v>20</v>
  </rv>
  <rv s="10">
    <fb>2204.25</fb>
    <v>20</v>
  </rv>
  <rv s="10">
    <fb>2196.1</fb>
    <v>20</v>
  </rv>
  <rv s="10">
    <fb>2214.1999999999998</fb>
    <v>20</v>
  </rv>
  <rv s="10">
    <fb>2210.35</fb>
    <v>20</v>
  </rv>
  <rv s="10">
    <fb>2235.5</fb>
    <v>20</v>
  </rv>
  <rv s="10">
    <fb>2253.15</fb>
    <v>20</v>
  </rv>
  <rv s="10">
    <fb>2259.85</fb>
    <v>20</v>
  </rv>
  <rv s="10">
    <fb>2215.25</fb>
    <v>20</v>
  </rv>
  <rv s="10">
    <fb>2223.15</fb>
    <v>20</v>
  </rv>
  <rv s="10">
    <fb>2227.15</fb>
    <v>20</v>
  </rv>
  <rv s="10">
    <fb>2245.6999999999998</fb>
    <v>20</v>
  </rv>
  <rv s="10">
    <fb>2269.75</fb>
    <v>20</v>
  </rv>
  <rv s="10">
    <fb>2306.35</fb>
    <v>20</v>
  </rv>
  <rv s="10">
    <fb>2311.9</fb>
    <v>20</v>
  </rv>
  <rv s="10">
    <fb>2288.15</fb>
    <v>20</v>
  </rv>
  <rv s="10">
    <fb>2217.5</fb>
    <v>20</v>
  </rv>
  <rv s="10">
    <fb>2284.6999999999998</fb>
    <v>20</v>
  </rv>
  <rv s="10">
    <fb>2379.4499999999998</fb>
    <v>20</v>
  </rv>
  <rv s="10">
    <fb>2472.4</fb>
    <v>20</v>
  </rv>
  <rv s="10">
    <fb>2464.85</fb>
    <v>20</v>
  </rv>
  <rv s="10">
    <fb>2432.9499999999998</fb>
    <v>20</v>
  </rv>
  <rv s="10">
    <fb>2481.1999999999998</fb>
    <v>20</v>
  </rv>
  <rv s="10">
    <fb>2473.9</fb>
    <v>20</v>
  </rv>
  <rv s="10">
    <fb>2479.1999999999998</fb>
    <v>20</v>
  </rv>
  <rv s="10">
    <fb>2480.0500000000002</fb>
    <v>20</v>
  </rv>
  <rv s="10">
    <fb>2487</fb>
    <v>20</v>
  </rv>
  <rv s="10">
    <fb>2447.9499999999998</fb>
    <v>20</v>
  </rv>
  <rv s="10">
    <fb>2431.0500000000002</fb>
    <v>20</v>
  </rv>
  <rv s="10">
    <fb>2439.4499999999998</fb>
    <v>20</v>
  </rv>
  <rv s="10">
    <fb>2429.5</fb>
    <v>20</v>
  </rv>
  <rv s="10">
    <fb>2470.6</fb>
    <v>20</v>
  </rv>
  <rv s="10">
    <fb>2433.5</fb>
    <v>20</v>
  </rv>
  <rv s="10">
    <fb>2428.1</fb>
    <v>20</v>
  </rv>
  <rv s="10">
    <fb>2403.1999999999998</fb>
    <v>20</v>
  </rv>
  <rv s="10">
    <fb>2325.35</fb>
    <v>20</v>
  </rv>
  <rv s="10">
    <fb>2293.0500000000002</fb>
    <v>20</v>
  </rv>
  <rv s="10">
    <fb>2356.6999999999998</fb>
    <v>20</v>
  </rv>
  <rv s="10">
    <fb>2318.3000000000002</fb>
    <v>20</v>
  </rv>
  <rv s="10">
    <fb>2246.5500000000002</fb>
    <v>20</v>
  </rv>
  <rv s="10">
    <fb>2284.15</fb>
    <v>20</v>
  </rv>
  <rv s="10">
    <fb>2236.4</fb>
    <v>20</v>
  </rv>
  <rv s="10">
    <fb>2240.1</fb>
    <v>20</v>
  </rv>
  <rv s="10">
    <fb>2218.5</fb>
    <v>20</v>
  </rv>
  <rv s="10">
    <fb>2305.9</fb>
    <v>20</v>
  </rv>
  <rv s="10">
    <fb>2250.5</fb>
    <v>20</v>
  </rv>
  <rv s="10">
    <fb>2250.15</fb>
    <v>20</v>
  </rv>
  <rv s="10">
    <fb>2212.0500000000002</fb>
    <v>20</v>
  </rv>
  <rv s="10">
    <fb>2230.1999999999998</fb>
    <v>20</v>
  </rv>
  <rv s="10">
    <fb>2203.15</fb>
    <v>20</v>
  </rv>
  <rv s="10">
    <fb>2215.15</fb>
    <v>20</v>
  </rv>
  <rv s="10">
    <fb>2197.9</fb>
    <v>20</v>
  </rv>
  <rv s="10">
    <fb>2230.75</fb>
    <v>20</v>
  </rv>
  <rv s="10">
    <fb>2256.75</fb>
    <v>20</v>
  </rv>
  <rv s="10">
    <fb>2282.6999999999998</fb>
    <v>20</v>
  </rv>
  <rv s="10">
    <fb>2312.1999999999998</fb>
    <v>20</v>
  </rv>
  <rv s="10">
    <fb>2281.6</fb>
    <v>20</v>
  </rv>
  <rv s="10">
    <fb>2356.6</fb>
    <v>20</v>
  </rv>
  <rv s="10">
    <fb>2326.75</fb>
    <v>20</v>
  </rv>
  <rv s="10">
    <fb>2341.6</fb>
    <v>20</v>
  </rv>
  <rv s="10">
    <fb>2305.5500000000002</fb>
    <v>20</v>
  </rv>
  <rv s="10">
    <fb>2283.65</fb>
    <v>20</v>
  </rv>
  <rv s="10">
    <fb>2263.1</fb>
    <v>20</v>
  </rv>
  <rv s="10">
    <fb>2190.5500000000002</fb>
    <v>20</v>
  </rv>
  <rv s="10">
    <fb>2212.85</fb>
    <v>20</v>
  </rv>
  <rv s="10">
    <fb>2221.25</fb>
    <v>20</v>
  </rv>
  <rv s="10">
    <fb>2218.35</fb>
    <v>20</v>
  </rv>
  <rv s="10">
    <fb>2187.5</fb>
    <v>20</v>
  </rv>
  <rv s="10">
    <fb>2201.4</fb>
    <v>20</v>
  </rv>
  <rv s="10">
    <fb>2189.5500000000002</fb>
    <v>20</v>
  </rv>
  <rv s="10">
    <fb>2206.0500000000002</fb>
    <v>20</v>
  </rv>
  <rv s="10">
    <fb>2165.4499999999998</fb>
    <v>20</v>
  </rv>
  <rv s="10">
    <fb>2129.35</fb>
    <v>20</v>
  </rv>
  <rv s="10">
    <fb>2065.1999999999998</fb>
    <v>20</v>
  </rv>
  <rv s="10">
    <fb>2099.6</fb>
    <v>20</v>
  </rv>
  <rv s="10">
    <fb>2098.65</fb>
    <v>20</v>
  </rv>
  <rv s="10">
    <fb>2109.25</fb>
    <v>20</v>
  </rv>
  <rv s="10">
    <fb>2115.6999999999998</fb>
    <v>20</v>
  </rv>
  <rv s="10">
    <fb>2100.0500000000002</fb>
    <v>20</v>
  </rv>
  <rv s="10">
    <fb>2149.85</fb>
    <v>20</v>
  </rv>
  <rv s="10">
    <fb>2161.15</fb>
    <v>20</v>
  </rv>
  <rv s="10">
    <fb>2139.0500000000002</fb>
    <v>20</v>
  </rv>
  <rv s="10">
    <fb>2156.5500000000002</fb>
    <v>20</v>
  </rv>
  <rv s="10">
    <fb>2125.5</fb>
    <v>20</v>
  </rv>
  <rv s="10">
    <fb>2142.3000000000002</fb>
    <v>20</v>
  </rv>
  <rv s="10">
    <fb>2202.9499999999998</fb>
    <v>20</v>
  </rv>
  <rv s="10">
    <fb>2183.6</fb>
    <v>20</v>
  </rv>
  <rv s="10">
    <fb>2214.4499999999998</fb>
    <v>20</v>
  </rv>
  <rv s="10">
    <fb>2219.9</fb>
    <v>20</v>
  </rv>
  <rv s="10">
    <fb>2206.8000000000002</fb>
    <v>20</v>
  </rv>
  <rv s="10">
    <fb>2192</fb>
    <v>20</v>
  </rv>
  <rv s="10">
    <fb>2297.1</fb>
    <v>20</v>
  </rv>
  <rv s="10">
    <fb>2316.6999999999998</fb>
    <v>20</v>
  </rv>
  <rv s="10">
    <fb>2298.9</fb>
    <v>20</v>
  </rv>
  <rv s="10">
    <fb>2321.9</fb>
    <v>20</v>
  </rv>
  <rv s="10">
    <fb>2305.25</fb>
    <v>20</v>
  </rv>
  <rv s="10">
    <fb>2271.85</fb>
    <v>20</v>
  </rv>
  <rv s="10">
    <fb>2301.85</fb>
    <v>20</v>
  </rv>
  <rv s="10">
    <fb>2371.1999999999998</fb>
    <v>20</v>
  </rv>
  <rv s="10">
    <fb>2399.3000000000002</fb>
    <v>20</v>
  </rv>
  <rv s="10">
    <fb>2422.8000000000002</fb>
    <v>20</v>
  </rv>
  <rv s="10">
    <fb>2477.0500000000002</fb>
    <v>20</v>
  </rv>
  <rv s="10">
    <fb>2443.85</fb>
    <v>20</v>
  </rv>
  <rv s="10">
    <fb>2909.1</fb>
    <v>20</v>
  </rv>
  <rv s="10">
    <fb>2908.25</fb>
    <v>20</v>
  </rv>
  <rv s="10">
    <fb>2898</fb>
    <v>20</v>
  </rv>
  <rv s="10">
    <fb>2890.55</fb>
    <v>20</v>
  </rv>
  <rv s="10">
    <fb>2903.1</fb>
    <v>20</v>
  </rv>
  <rv s="10">
    <fb>2898.95</fb>
    <v>20</v>
  </rv>
  <rv s="10">
    <fb>2911.7</fb>
    <v>20</v>
  </rv>
  <rv s="10">
    <fb>2937.85</fb>
    <v>20</v>
  </rv>
  <rv s="10">
    <fb>2912.55</fb>
    <v>20</v>
  </rv>
  <rv s="10">
    <fb>2961.1</fb>
    <v>20</v>
  </rv>
  <rv s="10">
    <fb>2983.7</fb>
    <v>20</v>
  </rv>
  <rv s="10">
    <fb>3035.35</fb>
    <v>20</v>
  </rv>
  <rv s="10">
    <fb>3231.55</fb>
    <v>20</v>
  </rv>
  <rv s="10">
    <fb>3275.65</fb>
    <v>20</v>
  </rv>
  <rv s="10">
    <fb>3514.3</fb>
    <v>20</v>
  </rv>
  <rv s="10">
    <fb>3597.85</fb>
    <v>20</v>
  </rv>
  <rv s="10">
    <fb>3661.2</fb>
    <v>20</v>
  </rv>
  <rv s="10">
    <fb>3717</fb>
    <v>20</v>
  </rv>
  <rv s="10">
    <fb>3682.3</fb>
    <v>20</v>
  </rv>
  <rv s="10">
    <fb>3878.75</fb>
    <v>20</v>
  </rv>
  <rv s="10">
    <fb>3909.5</fb>
    <v>20</v>
  </rv>
  <rv s="10">
    <fb>3966.15</fb>
    <v>20</v>
  </rv>
  <rv s="10">
    <fb>3980.5</fb>
    <v>20</v>
  </rv>
  <rv s="10">
    <fb>3862.6</fb>
    <v>20</v>
  </rv>
  <rv s="10">
    <fb>3922.55</fb>
    <v>20</v>
  </rv>
  <rv s="10">
    <fb>4067.4</fb>
    <v>20</v>
  </rv>
  <rv s="10">
    <fb>4074.4</fb>
    <v>20</v>
  </rv>
  <rv s="10">
    <fb>4185.05</fb>
    <v>20</v>
  </rv>
  <rv s="10">
    <fb>4315.8999999999996</fb>
    <v>20</v>
  </rv>
  <rv s="10">
    <fb>4373.1000000000004</fb>
    <v>20</v>
  </rv>
  <rv s="10">
    <fb>4577</fb>
    <v>20</v>
  </rv>
  <rv s="10">
    <fb>4546.6000000000004</fb>
    <v>20</v>
  </rv>
  <rv s="10">
    <fb>4655.1499999999996</fb>
    <v>20</v>
  </rv>
  <rv s="10">
    <fb>4538.55</fb>
    <v>20</v>
  </rv>
  <rv s="10">
    <fb>4587.1000000000004</fb>
    <v>20</v>
  </rv>
  <rv s="10">
    <fb>4446.8999999999996</fb>
    <v>20</v>
  </rv>
  <rv s="10">
    <fb>4326.2</fb>
    <v>20</v>
  </rv>
  <rv s="10">
    <fb>4432.05</fb>
    <v>20</v>
  </rv>
  <rv s="10">
    <fb>4390.8999999999996</fb>
    <v>20</v>
  </rv>
  <rv s="10">
    <fb>4361.95</fb>
    <v>20</v>
  </rv>
  <rv s="10">
    <fb>4388.6000000000004</fb>
    <v>20</v>
  </rv>
  <rv s="10">
    <fb>4357.3999999999996</fb>
    <v>20</v>
  </rv>
  <rv s="10">
    <fb>4358.1499999999996</fb>
    <v>20</v>
  </rv>
  <rv s="10">
    <fb>4206.1000000000004</fb>
    <v>20</v>
  </rv>
  <rv s="10">
    <fb>4260.8</fb>
    <v>20</v>
  </rv>
  <rv s="10">
    <fb>4244</fb>
    <v>20</v>
  </rv>
  <rv s="10">
    <fb>4238.5</fb>
    <v>20</v>
  </rv>
  <rv s="10">
    <fb>4386.3500000000004</fb>
    <v>20</v>
  </rv>
  <rv s="10">
    <fb>4336.3</fb>
    <v>20</v>
  </rv>
  <rv s="10">
    <fb>4297.6499999999996</fb>
    <v>20</v>
  </rv>
  <rv s="10">
    <fb>4319.75</fb>
    <v>20</v>
  </rv>
  <rv s="10">
    <fb>4333.3500000000004</fb>
    <v>20</v>
  </rv>
  <rv s="10">
    <fb>4325.2</fb>
    <v>20</v>
  </rv>
  <rv s="10">
    <fb>4330.5</fb>
    <v>20</v>
  </rv>
  <rv s="10">
    <fb>4265.3500000000004</fb>
    <v>20</v>
  </rv>
  <rv s="10">
    <fb>4176.3999999999996</fb>
    <v>20</v>
  </rv>
  <rv s="10">
    <fb>4014.85</fb>
    <v>20</v>
  </rv>
  <rv s="10">
    <fb>4112.8999999999996</fb>
    <v>20</v>
  </rv>
  <rv s="10">
    <fb>4087.2</fb>
    <v>20</v>
  </rv>
  <rv s="10">
    <fb>4050.45</fb>
    <v>20</v>
  </rv>
  <rv s="10">
    <fb>4063.6</fb>
    <v>20</v>
  </rv>
  <rv s="10">
    <fb>4122</fb>
    <v>20</v>
  </rv>
  <rv s="10">
    <fb>4135.55</fb>
    <v>20</v>
  </rv>
  <rv s="10">
    <fb>4127.3</fb>
    <v>20</v>
  </rv>
  <rv s="10">
    <fb>4443.3500000000004</fb>
    <v>20</v>
  </rv>
  <rv s="10">
    <fb>4616.25</fb>
    <v>20</v>
  </rv>
  <rv s="10">
    <fb>4690.3500000000004</fb>
    <v>20</v>
  </rv>
  <rv s="10">
    <fb>4859.8</fb>
    <v>20</v>
  </rv>
  <rv s="10">
    <fb>4901.3500000000004</fb>
    <v>20</v>
  </rv>
  <rv s="10">
    <fb>4800.95</fb>
    <v>20</v>
  </rv>
  <rv s="10">
    <fb>4780.55</fb>
    <v>20</v>
  </rv>
  <rv s="10">
    <fb>4651.25</fb>
    <v>20</v>
  </rv>
  <rv s="10">
    <fb>4753.1000000000004</fb>
    <v>20</v>
  </rv>
  <rv s="10">
    <fb>4682.5</fb>
    <v>20</v>
  </rv>
  <rv s="10">
    <fb>4737.8</fb>
    <v>20</v>
  </rv>
  <rv s="10">
    <fb>4893.75</fb>
    <v>20</v>
  </rv>
  <rv s="10">
    <fb>4995</fb>
    <v>20</v>
  </rv>
  <rv s="10">
    <fb>4996.8</fb>
    <v>20</v>
  </rv>
  <rv s="10">
    <fb>4947.1000000000004</fb>
    <v>20</v>
  </rv>
  <rv s="10">
    <fb>4859.75</fb>
    <v>20</v>
  </rv>
  <rv s="10">
    <fb>4946.8999999999996</fb>
    <v>20</v>
  </rv>
  <rv s="10">
    <fb>4917.05</fb>
    <v>20</v>
  </rv>
  <rv s="10">
    <fb>4958.1000000000004</fb>
    <v>20</v>
  </rv>
  <rv s="10">
    <fb>5003.8500000000004</fb>
    <v>20</v>
  </rv>
  <rv s="10">
    <fb>5057.25</fb>
    <v>20</v>
  </rv>
  <rv s="10">
    <fb>5123</fb>
    <v>20</v>
  </rv>
  <rv s="10">
    <fb>5127.55</fb>
    <v>20</v>
  </rv>
  <rv s="10">
    <fb>4998.1499999999996</fb>
    <v>20</v>
  </rv>
  <rv s="10">
    <fb>5084.8</fb>
    <v>20</v>
  </rv>
  <rv s="10">
    <fb>5121.2</fb>
    <v>20</v>
  </rv>
  <rv s="10">
    <fb>5178.8999999999996</fb>
    <v>20</v>
  </rv>
  <rv s="10">
    <fb>5040.95</fb>
    <v>20</v>
  </rv>
  <rv s="10">
    <fb>5062.1000000000004</fb>
    <v>20</v>
  </rv>
  <rv s="10">
    <fb>5078.1000000000004</fb>
    <v>20</v>
  </rv>
  <rv s="10">
    <fb>5059</fb>
    <v>20</v>
  </rv>
  <rv s="10">
    <fb>4920.3</fb>
    <v>20</v>
  </rv>
  <rv s="10">
    <fb>4877.55</fb>
    <v>20</v>
  </rv>
  <rv s="10">
    <fb>4849.45</fb>
    <v>20</v>
  </rv>
  <rv s="10">
    <fb>4808.3999999999996</fb>
    <v>20</v>
  </rv>
  <rv s="10">
    <fb>4889.55</fb>
    <v>20</v>
  </rv>
  <rv s="10">
    <fb>5098.1499999999996</fb>
    <v>20</v>
  </rv>
  <rv s="10">
    <fb>5285.35</fb>
    <v>20</v>
  </rv>
  <rv s="10">
    <fb>5218.3500000000004</fb>
    <v>20</v>
  </rv>
  <rv s="10">
    <fb>5289.25</fb>
    <v>20</v>
  </rv>
  <rv s="10">
    <fb>5297.45</fb>
    <v>20</v>
  </rv>
  <rv s="10">
    <fb>5216.45</fb>
    <v>20</v>
  </rv>
  <rv s="10">
    <fb>5148.1000000000004</fb>
    <v>20</v>
  </rv>
  <rv s="10">
    <fb>5128.75</fb>
    <v>20</v>
  </rv>
  <rv s="10">
    <fb>5104.6499999999996</fb>
    <v>20</v>
  </rv>
  <rv s="10">
    <fb>5170.45</fb>
    <v>20</v>
  </rv>
  <rv s="10">
    <fb>5254.7</fb>
    <v>20</v>
  </rv>
  <rv s="10">
    <fb>5290.3</fb>
    <v>20</v>
  </rv>
  <rv s="10">
    <fb>5339.95</fb>
    <v>20</v>
  </rv>
  <rv s="10">
    <fb>5388.85</fb>
    <v>20</v>
  </rv>
  <rv s="10">
    <fb>5474.35</fb>
    <v>20</v>
  </rv>
  <rv s="10">
    <fb>5475.3</fb>
    <v>20</v>
  </rv>
  <rv s="10">
    <fb>5501.8</fb>
    <v>20</v>
  </rv>
  <rv s="10">
    <fb>5520.9</fb>
    <v>20</v>
  </rv>
  <rv s="10">
    <fb>5418</fb>
    <v>20</v>
  </rv>
  <rv s="10">
    <fb>5445.6</fb>
    <v>20</v>
  </rv>
  <rv s="10">
    <fb>5340.95</fb>
    <v>20</v>
  </rv>
  <rv s="10">
    <fb>5374.75</fb>
    <v>20</v>
  </rv>
  <rv s="10">
    <fb>5103.8500000000004</fb>
    <v>20</v>
  </rv>
  <rv s="10">
    <fb>5101.6000000000004</fb>
    <v>20</v>
  </rv>
  <rv s="10">
    <fb>5181.3</fb>
    <v>20</v>
  </rv>
  <rv s="10">
    <fb>5330</fb>
    <v>20</v>
  </rv>
  <rv s="10">
    <fb>5274.2</fb>
    <v>20</v>
  </rv>
  <rv s="10">
    <fb>5266.25</fb>
    <v>20</v>
  </rv>
  <rv s="10">
    <fb>5253.05</fb>
    <v>20</v>
  </rv>
  <rv s="10">
    <fb>5357.3</fb>
    <v>20</v>
  </rv>
  <rv s="10">
    <fb>5305.85</fb>
    <v>20</v>
  </rv>
  <rv s="10">
    <fb>5274.9</fb>
    <v>20</v>
  </rv>
  <rv s="10">
    <fb>5274.45</fb>
    <v>20</v>
  </rv>
  <rv s="10">
    <fb>5233.8</fb>
    <v>20</v>
  </rv>
  <rv s="10">
    <fb>5254.25</fb>
    <v>20</v>
  </rv>
  <rv s="10">
    <fb>5426.95</fb>
    <v>20</v>
  </rv>
  <rv s="10">
    <fb>5426.85</fb>
    <v>20</v>
  </rv>
  <rv s="10">
    <fb>5443.9</fb>
    <v>20</v>
  </rv>
  <rv s="10">
    <fb>5461.5</fb>
    <v>20</v>
  </rv>
  <rv s="10">
    <fb>5412.2</fb>
    <v>20</v>
  </rv>
  <rv s="10">
    <fb>5345.35</fb>
    <v>20</v>
  </rv>
  <rv s="10">
    <fb>5277.85</fb>
    <v>20</v>
  </rv>
  <rv s="10">
    <fb>5290.7</fb>
    <v>20</v>
  </rv>
  <rv s="10">
    <fb>5398.5</fb>
    <v>20</v>
  </rv>
  <rv s="10">
    <fb>5510.6</fb>
    <v>20</v>
  </rv>
  <rv s="10">
    <fb>5951.65</fb>
    <v>20</v>
  </rv>
  <rv s="10">
    <fb>6002.2</fb>
    <v>20</v>
  </rv>
  <rv s="10">
    <fb>6031.1</fb>
    <v>20</v>
  </rv>
  <rv s="10">
    <fb>5980.2</fb>
    <v>20</v>
  </rv>
  <rv s="10">
    <fb>5988.35</fb>
    <v>20</v>
  </rv>
  <rv s="10">
    <fb>5964.9</fb>
    <v>20</v>
  </rv>
  <rv s="10">
    <fb>6372.65</fb>
    <v>20</v>
  </rv>
  <rv s="10">
    <fb>6356.5</fb>
    <v>20</v>
  </rv>
  <rv s="10">
    <fb>6290.65</fb>
    <v>20</v>
  </rv>
  <rv s="10">
    <fb>6308.05</fb>
    <v>20</v>
  </rv>
  <rv s="10">
    <fb>6316.9</fb>
    <v>20</v>
  </rv>
  <rv s="10">
    <fb>6271.55</fb>
    <v>20</v>
  </rv>
  <rv s="10">
    <fb>6366.2</fb>
    <v>20</v>
  </rv>
  <rv s="10">
    <fb>6268.95</fb>
    <v>20</v>
  </rv>
  <rv s="10">
    <fb>6521.65</fb>
    <v>20</v>
  </rv>
  <rv s="10">
    <fb>6478.35</fb>
    <v>20</v>
  </rv>
  <rv s="10">
    <fb>6456.1</fb>
    <v>20</v>
  </rv>
  <rv s="10">
    <fb>6463.95</fb>
    <v>20</v>
  </rv>
  <rv s="10">
    <fb>6464.55</fb>
    <v>20</v>
  </rv>
  <rv s="10">
    <fb>6566.75</fb>
    <v>20</v>
  </rv>
  <rv s="10">
    <fb>6460.35</fb>
    <v>20</v>
  </rv>
  <rv s="10">
    <fb>6316.5</fb>
    <v>20</v>
  </rv>
  <rv s="10">
    <fb>6350.7</fb>
    <v>20</v>
  </rv>
  <rv s="10">
    <fb>6396.55</fb>
    <v>20</v>
  </rv>
  <rv s="10">
    <fb>6378.4</fb>
    <v>20</v>
  </rv>
  <rv s="10">
    <fb>6325.45</fb>
    <v>20</v>
  </rv>
  <rv s="10">
    <fb>6356.7</fb>
    <v>20</v>
  </rv>
  <rv s="10">
    <fb>6326.95</fb>
    <v>20</v>
  </rv>
  <rv s="10">
    <fb>6488.65</fb>
    <v>20</v>
  </rv>
  <rv s="10">
    <fb>6553.95</fb>
    <v>20</v>
  </rv>
  <rv s="10">
    <fb>6331.6</fb>
    <v>20</v>
  </rv>
  <rv s="10">
    <fb>6343.6</fb>
    <v>20</v>
  </rv>
  <rv s="10">
    <fb>6367.7</fb>
    <v>20</v>
  </rv>
  <rv s="10">
    <fb>6303.1</fb>
    <v>20</v>
  </rv>
  <rv s="10">
    <fb>6100.2</fb>
    <v>20</v>
  </rv>
  <rv s="10">
    <fb>6019.2</fb>
    <v>20</v>
  </rv>
  <rv s="10">
    <fb>5853.85</fb>
    <v>20</v>
  </rv>
  <rv s="10">
    <fb>5920.1</fb>
    <v>20</v>
  </rv>
  <rv s="10">
    <fb>5879.45</fb>
    <v>20</v>
  </rv>
  <rv s="10">
    <fb>5871.65</fb>
    <v>20</v>
  </rv>
  <rv s="10">
    <fb>5862.95</fb>
    <v>20</v>
  </rv>
  <rv s="10">
    <fb>5991.1</fb>
    <v>20</v>
  </rv>
  <rv s="10">
    <fb>6124.4</fb>
    <v>20</v>
  </rv>
  <rv s="10">
    <fb>6237.8</fb>
    <v>20</v>
  </rv>
  <rv s="10">
    <fb>6259.6</fb>
    <v>20</v>
  </rv>
  <rv s="10">
    <fb>6358.55</fb>
    <v>20</v>
  </rv>
  <rv s="10">
    <fb>6308.85</fb>
    <v>20</v>
  </rv>
  <rv s="10">
    <fb>6223.95</fb>
    <v>20</v>
  </rv>
  <rv s="10">
    <fb>6277.9</fb>
    <v>20</v>
  </rv>
  <rv s="10">
    <fb>6269.2</fb>
    <v>20</v>
  </rv>
  <rv s="10">
    <fb>6295.7</fb>
    <v>20</v>
  </rv>
  <rv s="10">
    <fb>6339.95</fb>
    <v>20</v>
  </rv>
  <rv s="10">
    <fb>6360.05</fb>
    <v>20</v>
  </rv>
  <rv s="10">
    <fb>6378.1</fb>
    <v>20</v>
  </rv>
  <rv s="10">
    <fb>6743.85</fb>
    <v>20</v>
  </rv>
  <rv s="10">
    <fb>6706.5</fb>
    <v>20</v>
  </rv>
  <rv s="10">
    <fb>6734</fb>
    <v>20</v>
  </rv>
  <rv s="10">
    <fb>6776.95</fb>
    <v>20</v>
  </rv>
  <rv s="10">
    <fb>6867.5</fb>
    <v>20</v>
  </rv>
  <rv s="10">
    <fb>6945.25</fb>
    <v>20</v>
  </rv>
  <rv s="10">
    <fb>6761.25</fb>
    <v>20</v>
  </rv>
  <rv s="10">
    <fb>6542.65</fb>
    <v>20</v>
  </rv>
  <rv s="10">
    <fb>6683.85</fb>
    <v>20</v>
  </rv>
  <rv s="10">
    <fb>7004.95</fb>
    <v>20</v>
  </rv>
  <rv s="10">
    <fb>7043.2</fb>
    <v>20</v>
  </rv>
  <rv s="10">
    <fb>7162.5</fb>
    <v>20</v>
  </rv>
  <rv s="10">
    <fb>7057.9</fb>
    <v>20</v>
  </rv>
  <rv s="10">
    <fb>7152.6</fb>
    <v>20</v>
  </rv>
  <rv s="10">
    <fb>7142.95</fb>
    <v>20</v>
  </rv>
  <rv s="10">
    <fb>7051.05</fb>
    <v>20</v>
  </rv>
  <rv s="10">
    <fb>6894.6</fb>
    <v>20</v>
  </rv>
  <rv s="10">
    <fb>6603.9</fb>
    <v>20</v>
  </rv>
  <rv s="10">
    <fb>6802.75</fb>
    <v>20</v>
  </rv>
  <rv s="10">
    <fb>6962</fb>
    <v>20</v>
  </rv>
  <rv s="10">
    <fb>7022.05</fb>
    <v>20</v>
  </rv>
  <rv s="10">
    <fb>6946.65</fb>
    <v>20</v>
  </rv>
  <rv s="10">
    <fb>6952.3</fb>
    <v>20</v>
  </rv>
  <rv s="10">
    <fb>7067.75</fb>
    <v>20</v>
  </rv>
  <rv s="10">
    <fb>7165.15</fb>
    <v>20</v>
  </rv>
  <rv s="10">
    <fb>7245.65</fb>
    <v>20</v>
  </rv>
  <rv s="10">
    <fb>7424.2</fb>
    <v>20</v>
  </rv>
  <rv s="10">
    <fb>7479.25</fb>
    <v>20</v>
  </rv>
  <rv s="10">
    <fb>7592.05</fb>
    <v>20</v>
  </rv>
  <rv s="10">
    <fb>7915.5</fb>
    <v>20</v>
  </rv>
  <rv s="10">
    <fb>7699.45</fb>
    <v>20</v>
  </rv>
  <rv s="10">
    <fb>7628.25</fb>
    <v>20</v>
  </rv>
  <rv s="10">
    <fb>7660.5</fb>
    <v>20</v>
  </rv>
  <rv s="10">
    <fb>7635.3</fb>
    <v>20</v>
  </rv>
  <rv s="10">
    <fb>7692.45</fb>
    <v>20</v>
  </rv>
  <rv s="10">
    <fb>7828.1</fb>
    <v>20</v>
  </rv>
  <rv s="10">
    <fb>7845.4</fb>
    <v>20</v>
  </rv>
  <rv s="10">
    <fb>7633</fb>
    <v>20</v>
  </rv>
  <rv s="10">
    <fb>7559.95</fb>
    <v>20</v>
  </rv>
  <rv s="10">
    <fb>7498.35</fb>
    <v>20</v>
  </rv>
  <rv s="10">
    <fb>7531.95</fb>
    <v>20</v>
  </rv>
  <rv s="10">
    <fb>7821.15</fb>
    <v>20</v>
  </rv>
  <rv s="10">
    <fb>7766.65</fb>
    <v>20</v>
  </rv>
  <rv s="10">
    <fb>8145.75</fb>
    <v>20</v>
  </rv>
  <rv s="10">
    <fb>8093.4</fb>
    <v>20</v>
  </rv>
  <rv s="10">
    <fb>8580.15</fb>
    <v>20</v>
  </rv>
  <rv s="10">
    <fb>8470.5499999999993</fb>
    <v>20</v>
  </rv>
  <rv s="10">
    <fb>3545.9</fb>
    <v>20</v>
  </rv>
  <rv s="10">
    <fb>3554</fb>
    <v>20</v>
  </rv>
  <rv s="10">
    <fb>3584.5</fb>
    <v>20</v>
  </rv>
  <rv s="10">
    <fb>3598.2</fb>
    <v>20</v>
  </rv>
  <rv s="10">
    <fb>3677.85</fb>
    <v>20</v>
  </rv>
  <rv s="10">
    <fb>3659.7</fb>
    <v>20</v>
  </rv>
  <rv s="10">
    <fb>3672.3</fb>
    <v>20</v>
  </rv>
  <rv s="10">
    <fb>3704.65</fb>
    <v>20</v>
  </rv>
  <rv s="10">
    <fb>3677.55</fb>
    <v>20</v>
  </rv>
  <rv s="10">
    <fb>3523.4</fb>
    <v>20</v>
  </rv>
  <rv s="10">
    <fb>3479.25</fb>
    <v>20</v>
  </rv>
  <rv s="10">
    <fb>3400.2</fb>
    <v>20</v>
  </rv>
  <rv s="10">
    <fb>3368.55</fb>
    <v>20</v>
  </rv>
  <rv s="10">
    <fb>3395.25</fb>
    <v>20</v>
  </rv>
  <rv s="10">
    <fb>3425.1</fb>
    <v>20</v>
  </rv>
  <rv s="10">
    <fb>3432.95</fb>
    <v>20</v>
  </rv>
  <rv s="10">
    <fb>3429.55</fb>
    <v>20</v>
  </rv>
  <rv s="10">
    <fb>3435.35</fb>
    <v>20</v>
  </rv>
  <rv s="10">
    <fb>3501.75</fb>
    <v>20</v>
  </rv>
  <rv s="10">
    <fb>3503.3</fb>
    <v>20</v>
  </rv>
  <rv s="10">
    <fb>3507.5</fb>
    <v>20</v>
  </rv>
  <rv s="10">
    <fb>3471.25</fb>
    <v>20</v>
  </rv>
  <rv s="10">
    <fb>3500.9</fb>
    <v>20</v>
  </rv>
  <rv s="10">
    <fb>3531.6</fb>
    <v>20</v>
  </rv>
  <rv s="10">
    <fb>3536.85</fb>
    <v>20</v>
  </rv>
  <rv s="10">
    <fb>3527.75</fb>
    <v>20</v>
  </rv>
  <rv s="10">
    <fb>3544.05</fb>
    <v>20</v>
  </rv>
  <rv s="10">
    <fb>3546.8</fb>
    <v>20</v>
  </rv>
  <rv s="10">
    <fb>3632.1</fb>
    <v>20</v>
  </rv>
  <rv s="10">
    <fb>3629.4</fb>
    <v>20</v>
  </rv>
  <rv s="10">
    <fb>3677.9</fb>
    <v>20</v>
  </rv>
  <rv s="10">
    <fb>3704.85</fb>
    <v>20</v>
  </rv>
  <rv s="10">
    <fb>3917.7</fb>
    <v>20</v>
  </rv>
  <rv s="10">
    <fb>4085.6</fb>
    <v>20</v>
  </rv>
  <rv s="10">
    <fb>3975.7</fb>
    <v>20</v>
  </rv>
  <rv s="10">
    <fb>3986.9</fb>
    <v>20</v>
  </rv>
  <rv s="10">
    <fb>3919.5</fb>
    <v>20</v>
  </rv>
  <rv s="10">
    <fb>3812.15</fb>
    <v>20</v>
  </rv>
  <rv s="10">
    <fb>3744.05</fb>
    <v>20</v>
  </rv>
  <rv s="10">
    <fb>3848.25</fb>
    <v>20</v>
  </rv>
  <rv s="10">
    <fb>3872.1</fb>
    <v>20</v>
  </rv>
  <rv s="10">
    <fb>3963.6</fb>
    <v>20</v>
  </rv>
  <rv s="10">
    <fb>3889.2</fb>
    <v>20</v>
  </rv>
  <rv s="10">
    <fb>3868.6</fb>
    <v>20</v>
  </rv>
  <rv s="10">
    <fb>3857.2</fb>
    <v>20</v>
  </rv>
  <rv s="10">
    <fb>3820.1</fb>
    <v>20</v>
  </rv>
  <rv s="10">
    <fb>3815.9</fb>
    <v>20</v>
  </rv>
  <rv s="10">
    <fb>3808.95</fb>
    <v>20</v>
  </rv>
  <rv s="10">
    <fb>3767.7</fb>
    <v>20</v>
  </rv>
  <rv s="10">
    <fb>3827.1</fb>
    <v>20</v>
  </rv>
  <rv s="10">
    <fb>3806.35</fb>
    <v>20</v>
  </rv>
  <rv s="10">
    <fb>3821.65</fb>
    <v>20</v>
  </rv>
  <rv s="10">
    <fb>3838.75</fb>
    <v>20</v>
  </rv>
  <rv s="10">
    <fb>3713.55</fb>
    <v>20</v>
  </rv>
  <rv s="10">
    <fb>3676.5</fb>
    <v>20</v>
  </rv>
  <rv s="10">
    <fb>3705.85</fb>
    <v>20</v>
  </rv>
  <rv s="10">
    <fb>3678.8</fb>
    <v>20</v>
  </rv>
  <rv s="10">
    <fb>3675.7</fb>
    <v>20</v>
  </rv>
  <rv s="10">
    <fb>3668.2</fb>
    <v>20</v>
  </rv>
  <rv s="10">
    <fb>3677.05</fb>
    <v>20</v>
  </rv>
  <rv s="10">
    <fb>3712.65</fb>
    <v>20</v>
  </rv>
  <rv s="10">
    <fb>3693.35</fb>
    <v>20</v>
  </rv>
  <rv s="10">
    <fb>3713.9</fb>
    <v>20</v>
  </rv>
  <rv s="10">
    <fb>3752.8</fb>
    <v>20</v>
  </rv>
  <rv s="10">
    <fb>3740.3</fb>
    <v>20</v>
  </rv>
  <rv s="10">
    <fb>3713.4</fb>
    <v>20</v>
  </rv>
  <rv s="10">
    <fb>3699.9</fb>
    <v>20</v>
  </rv>
  <rv s="10">
    <fb>3652.1</fb>
    <v>20</v>
  </rv>
  <rv s="10">
    <fb>3640.35</fb>
    <v>20</v>
  </rv>
  <rv s="10">
    <fb>3648.45</fb>
    <v>20</v>
  </rv>
  <rv s="10">
    <fb>3628.75</fb>
    <v>20</v>
  </rv>
  <rv s="10">
    <fb>3550.05</fb>
    <v>20</v>
  </rv>
  <rv s="10">
    <fb>3509.3</fb>
    <v>20</v>
  </rv>
  <rv s="10">
    <fb>3499.35</fb>
    <v>20</v>
  </rv>
  <rv s="10">
    <fb>3507.65</fb>
    <v>20</v>
  </rv>
  <rv s="10">
    <fb>3540.95</fb>
    <v>20</v>
  </rv>
  <rv s="10">
    <fb>3547.7</fb>
    <v>20</v>
  </rv>
  <rv s="10">
    <fb>3568.9</fb>
    <v>20</v>
  </rv>
  <rv s="10">
    <fb>3539.3</fb>
    <v>20</v>
  </rv>
  <rv s="10">
    <fb>3561.5</fb>
    <v>20</v>
  </rv>
  <rv s="10">
    <fb>3534.6</fb>
    <v>20</v>
  </rv>
  <rv s="10">
    <fb>3592.9</fb>
    <v>20</v>
  </rv>
  <rv s="10">
    <fb>3664.35</fb>
    <v>20</v>
  </rv>
  <rv s="10">
    <fb>3736.3</fb>
    <v>20</v>
  </rv>
  <rv s="10">
    <fb>3720.4</fb>
    <v>20</v>
  </rv>
  <rv s="10">
    <fb>3761.05</fb>
    <v>20</v>
  </rv>
  <rv s="10">
    <fb>3755.75</fb>
    <v>20</v>
  </rv>
  <rv s="10">
    <fb>3776.9</fb>
    <v>20</v>
  </rv>
  <rv s="10">
    <fb>3796.8</fb>
    <v>20</v>
  </rv>
  <rv s="10">
    <fb>3785.1</fb>
    <v>20</v>
  </rv>
  <rv s="10">
    <fb>3782.4</fb>
    <v>20</v>
  </rv>
  <rv s="10">
    <fb>3810.75</fb>
    <v>20</v>
  </rv>
  <rv s="10">
    <fb>3753.25</fb>
    <v>20</v>
  </rv>
  <rv s="10">
    <fb>3813.7</fb>
    <v>20</v>
  </rv>
  <rv s="10">
    <fb>3808.05</fb>
    <v>20</v>
  </rv>
  <rv s="10">
    <fb>3796</fb>
    <v>20</v>
  </rv>
  <rv s="10">
    <fb>3797.9</fb>
    <v>20</v>
  </rv>
  <rv s="10">
    <fb>3729.4</fb>
    <v>20</v>
  </rv>
  <rv s="10">
    <fb>3686.95</fb>
    <v>20</v>
  </rv>
  <rv s="10">
    <fb>3689.1</fb>
    <v>20</v>
  </rv>
  <rv s="10">
    <fb>3664.1</fb>
    <v>20</v>
  </rv>
  <rv s="10">
    <fb>3633.6</fb>
    <v>20</v>
  </rv>
  <rv s="10">
    <fb>3640.7</fb>
    <v>20</v>
  </rv>
  <rv s="10">
    <fb>3671.05</fb>
    <v>20</v>
  </rv>
  <rv s="10">
    <fb>3675.6</fb>
    <v>20</v>
  </rv>
  <rv s="10">
    <fb>3725.7</fb>
    <v>20</v>
  </rv>
  <rv s="10">
    <fb>3872.95</fb>
    <v>20</v>
  </rv>
  <rv s="10">
    <fb>3861.5</fb>
    <v>20</v>
  </rv>
  <rv s="10">
    <fb>3833.95</fb>
    <v>20</v>
  </rv>
  <rv s="10">
    <fb>3798.6</fb>
    <v>20</v>
  </rv>
  <rv s="10">
    <fb>3793.8</fb>
    <v>20</v>
  </rv>
  <rv s="10">
    <fb>3852.05</fb>
    <v>20</v>
  </rv>
  <rv s="10">
    <fb>3862.75</fb>
    <v>20</v>
  </rv>
  <rv s="10">
    <fb>3935.85</fb>
    <v>20</v>
  </rv>
  <rv s="10">
    <fb>3856.8</fb>
    <v>20</v>
  </rv>
  <rv s="10">
    <fb>3842.85</fb>
    <v>20</v>
  </rv>
  <rv s="10">
    <fb>3795.95</fb>
    <v>20</v>
  </rv>
  <rv s="10">
    <fb>3766.85</fb>
    <v>20</v>
  </rv>
  <rv s="10">
    <fb>3749.5</fb>
    <v>20</v>
  </rv>
  <rv s="10">
    <fb>3668.95</fb>
    <v>20</v>
  </rv>
  <rv s="10">
    <fb>3740.55</fb>
    <v>20</v>
  </rv>
  <rv s="10">
    <fb>3684.65</fb>
    <v>20</v>
  </rv>
  <rv s="10">
    <fb>3665.45</fb>
    <v>20</v>
  </rv>
  <rv s="10">
    <fb>3646.65</fb>
    <v>20</v>
  </rv>
  <rv s="10">
    <fb>3633.4</fb>
    <v>20</v>
  </rv>
  <rv s="10">
    <fb>3639.45</fb>
    <v>20</v>
  </rv>
  <rv s="10">
    <fb>3647.45</fb>
    <v>20</v>
  </rv>
  <rv s="10">
    <fb>3649.7</fb>
    <v>20</v>
  </rv>
  <rv s="10">
    <fb>3649.55</fb>
    <v>20</v>
  </rv>
  <rv s="10">
    <fb>3653.3</fb>
    <v>20</v>
  </rv>
  <rv s="10">
    <fb>3712.4</fb>
    <v>20</v>
  </rv>
  <rv s="10">
    <fb>3747.6</fb>
    <v>20</v>
  </rv>
  <rv s="10">
    <fb>3798.4</fb>
    <v>20</v>
  </rv>
  <rv s="10">
    <fb>3802.7</fb>
    <v>20</v>
  </rv>
  <rv s="10">
    <fb>3798.45</fb>
    <v>20</v>
  </rv>
  <rv s="10">
    <fb>3791.95</fb>
    <v>20</v>
  </rv>
  <rv s="10">
    <fb>3790.25</fb>
    <v>20</v>
  </rv>
  <rv s="10">
    <fb>3810.9</fb>
    <v>20</v>
  </rv>
  <rv s="10">
    <fb>3792.9</fb>
    <v>20</v>
  </rv>
  <rv s="10">
    <fb>3814.95</fb>
    <v>20</v>
  </rv>
  <rv s="10">
    <fb>3838.25</fb>
    <v>20</v>
  </rv>
  <rv s="10">
    <fb>3844.4</fb>
    <v>20</v>
  </rv>
  <rv s="10">
    <fb>3842.9</fb>
    <v>20</v>
  </rv>
  <rv s="10">
    <fb>3912.15</fb>
    <v>20</v>
  </rv>
  <rv s="10">
    <fb>3949.75</fb>
    <v>20</v>
  </rv>
  <rv s="10">
    <fb>3988.4</fb>
    <v>20</v>
  </rv>
  <rv s="10">
    <fb>3967.1</fb>
    <v>20</v>
  </rv>
  <rv s="10">
    <fb>4039.55</fb>
    <v>20</v>
  </rv>
  <rv s="10">
    <fb>4137.1499999999996</fb>
    <v>20</v>
  </rv>
  <rv s="10">
    <fb>4115.45</fb>
    <v>20</v>
  </rv>
  <rv s="10">
    <fb>4070.65</fb>
    <v>20</v>
  </rv>
  <rv s="10">
    <fb>4069.75</fb>
    <v>20</v>
  </rv>
  <rv s="10">
    <fb>4075.4</fb>
    <v>20</v>
  </rv>
  <rv s="10">
    <fb>4033.05</fb>
    <v>20</v>
  </rv>
  <rv s="10">
    <fb>4070.05</fb>
    <v>20</v>
  </rv>
  <rv s="10">
    <fb>4045.65</fb>
    <v>20</v>
  </rv>
  <rv s="10">
    <fb>4010.15</fb>
    <v>20</v>
  </rv>
  <rv s="10">
    <fb>4021.35</fb>
    <v>20</v>
  </rv>
  <rv s="10">
    <fb>3965.9</fb>
    <v>20</v>
  </rv>
  <rv s="10">
    <fb>3954.5</fb>
    <v>20</v>
  </rv>
  <rv s="10">
    <fb>4007.95</fb>
    <v>20</v>
  </rv>
  <rv s="10">
    <fb>4023.45</fb>
    <v>20</v>
  </rv>
  <rv s="10">
    <fb>4027.45</fb>
    <v>20</v>
  </rv>
  <rv s="10">
    <fb>4044.65</fb>
    <v>20</v>
  </rv>
  <rv s="10">
    <fb>4082.65</fb>
    <v>20</v>
  </rv>
  <rv s="10">
    <fb>4064.75</fb>
    <v>20</v>
  </rv>
  <rv s="10">
    <fb>4103.3500000000004</fb>
    <v>20</v>
  </rv>
  <rv s="10">
    <fb>3932.35</fb>
    <v>20</v>
  </rv>
  <rv s="10">
    <fb>3897.85</fb>
    <v>20</v>
  </rv>
  <rv s="10">
    <fb>3863.5</fb>
    <v>20</v>
  </rv>
  <rv s="10">
    <fb>3804.4</fb>
    <v>20</v>
  </rv>
  <rv s="10">
    <fb>3822</fb>
    <v>20</v>
  </rv>
  <rv s="10">
    <fb>3821.35</fb>
    <v>20</v>
  </rv>
  <rv s="10">
    <fb>3841</fb>
    <v>20</v>
  </rv>
  <rv s="10">
    <fb>3858.25</fb>
    <v>20</v>
  </rv>
  <rv s="10">
    <fb>3828.3</fb>
    <v>20</v>
  </rv>
  <rv s="10">
    <fb>3786.45</fb>
    <v>20</v>
  </rv>
  <rv s="10">
    <fb>3748.85</fb>
    <v>20</v>
  </rv>
  <rv s="10">
    <fb>3731.7</fb>
    <v>20</v>
  </rv>
  <rv s="10">
    <fb>3675.9</fb>
    <v>20</v>
  </rv>
  <rv s="10">
    <fb>3727.75</fb>
    <v>20</v>
  </rv>
  <rv s="10">
    <fb>3734.25</fb>
    <v>20</v>
  </rv>
  <rv s="10">
    <fb>3749.4</fb>
    <v>20</v>
  </rv>
  <rv s="10">
    <fb>3687.3</fb>
    <v>20</v>
  </rv>
  <rv s="10">
    <fb>3792.7</fb>
    <v>20</v>
  </rv>
  <rv s="10">
    <fb>3808.2</fb>
    <v>20</v>
  </rv>
  <rv s="10">
    <fb>3784.3</fb>
    <v>20</v>
  </rv>
  <rv s="10">
    <fb>3729.6</fb>
    <v>20</v>
  </rv>
  <rv s="10">
    <fb>3727.4</fb>
    <v>20</v>
  </rv>
  <rv s="10">
    <fb>3717.7</fb>
    <v>20</v>
  </rv>
  <rv s="10">
    <fb>3731.05</fb>
    <v>20</v>
  </rv>
  <rv s="10">
    <fb>3719.2</fb>
    <v>20</v>
  </rv>
  <rv s="10">
    <fb>3703.2</fb>
    <v>20</v>
  </rv>
  <rv s="10">
    <fb>3722.4</fb>
    <v>20</v>
  </rv>
  <rv s="10">
    <fb>3678.6</fb>
    <v>20</v>
  </rv>
  <rv s="10">
    <fb>3693.3</fb>
    <v>20</v>
  </rv>
  <rv s="10">
    <fb>3707.25</fb>
    <v>20</v>
  </rv>
  <rv s="10">
    <fb>3756.2</fb>
    <v>20</v>
  </rv>
  <rv s="10">
    <fb>3835.75</fb>
    <v>20</v>
  </rv>
  <rv s="10">
    <fb>3851.45</fb>
    <v>20</v>
  </rv>
  <rv s="10">
    <fb>3840.55</fb>
    <v>20</v>
  </rv>
  <rv s="10">
    <fb>3850.35</fb>
    <v>20</v>
  </rv>
  <rv s="10">
    <fb>3852.2</fb>
    <v>20</v>
  </rv>
  <rv s="10">
    <fb>3850</fb>
    <v>20</v>
  </rv>
  <rv s="10">
    <fb>3918.9</fb>
    <v>20</v>
  </rv>
  <rv s="10">
    <fb>3884.15</fb>
    <v>20</v>
  </rv>
  <rv s="10">
    <fb>3868.25</fb>
    <v>20</v>
  </rv>
  <rv s="10">
    <fb>3846.35</fb>
    <v>20</v>
  </rv>
  <rv s="10">
    <fb>3834.5</fb>
    <v>20</v>
  </rv>
  <rv s="10">
    <fb>3888.65</fb>
    <v>20</v>
  </rv>
  <rv s="10">
    <fb>3925.95</fb>
    <v>20</v>
  </rv>
  <rv s="10">
    <fb>3979.65</fb>
    <v>20</v>
  </rv>
  <rv s="10">
    <fb>4031.7</fb>
    <v>20</v>
  </rv>
  <rv s="10">
    <fb>3967.8</fb>
    <v>20</v>
  </rv>
  <rv s="10">
    <fb>4019.25</fb>
    <v>20</v>
  </rv>
  <rv s="10">
    <fb>3932.1</fb>
    <v>20</v>
  </rv>
  <rv s="10">
    <fb>4010.55</fb>
    <v>20</v>
  </rv>
  <rv s="10">
    <fb>4014.1</fb>
    <v>20</v>
  </rv>
  <rv s="10">
    <fb>4056.35</fb>
    <v>20</v>
  </rv>
  <rv s="10">
    <fb>4163.1000000000004</fb>
    <v>20</v>
  </rv>
  <rv s="10">
    <fb>4297.6000000000004</fb>
    <v>20</v>
  </rv>
  <rv s="10">
    <fb>4486.2</fb>
    <v>20</v>
  </rv>
  <rv s="10">
    <fb>4420.55</fb>
    <v>20</v>
  </rv>
  <rv s="10">
    <fb>4525.6000000000004</fb>
    <v>20</v>
  </rv>
  <rv s="10">
    <fb>4483.3</fb>
    <v>20</v>
  </rv>
  <rv s="10">
    <fb>4411.8500000000004</fb>
    <v>20</v>
  </rv>
  <rv s="10">
    <fb>4460.8999999999996</fb>
    <v>20</v>
  </rv>
  <rv s="10">
    <fb>4645.05</fb>
    <v>20</v>
  </rv>
  <rv s="10">
    <fb>4619.25</fb>
    <v>20</v>
  </rv>
  <rv s="10">
    <fb>4672.8</fb>
    <v>20</v>
  </rv>
  <rv s="10">
    <fb>4716.1499999999996</fb>
    <v>20</v>
  </rv>
  <rv s="10">
    <fb>4754</fb>
    <v>20</v>
  </rv>
  <rv s="10">
    <fb>4765.05</fb>
    <v>20</v>
  </rv>
  <rv s="10">
    <fb>4686.8</fb>
    <v>20</v>
  </rv>
  <rv s="10">
    <fb>4644.3</fb>
    <v>20</v>
  </rv>
  <rv s="10">
    <fb>4627.1000000000004</fb>
    <v>20</v>
  </rv>
  <rv s="10">
    <fb>4696</fb>
    <v>20</v>
  </rv>
  <rv s="10">
    <fb>4758</fb>
    <v>20</v>
  </rv>
  <rv s="10">
    <fb>4800.55</fb>
    <v>20</v>
  </rv>
  <rv s="10">
    <fb>4797.55</fb>
    <v>20</v>
  </rv>
  <rv s="10">
    <fb>4657.1000000000004</fb>
    <v>20</v>
  </rv>
  <rv s="10">
    <fb>4553.1499999999996</fb>
    <v>20</v>
  </rv>
  <rv s="10">
    <fb>4483.8</fb>
    <v>20</v>
  </rv>
  <rv s="10">
    <fb>432.4</fb>
    <v>20</v>
  </rv>
  <rv s="10">
    <fb>430.5</fb>
    <v>20</v>
  </rv>
  <rv s="10">
    <fb>439.65</fb>
    <v>20</v>
  </rv>
  <rv s="10">
    <fb>444.25</fb>
    <v>20</v>
  </rv>
  <rv s="10">
    <fb>448.65</fb>
    <v>20</v>
  </rv>
  <rv s="10">
    <fb>441.8</fb>
    <v>20</v>
  </rv>
  <rv s="10">
    <fb>437</fb>
    <v>20</v>
  </rv>
  <rv s="10">
    <fb>456.1</fb>
    <v>20</v>
  </rv>
  <rv s="10">
    <fb>504.4</fb>
    <v>20</v>
  </rv>
  <rv s="10">
    <fb>518.79999999999995</fb>
    <v>20</v>
  </rv>
  <rv s="10">
    <fb>533.75</fb>
    <v>20</v>
  </rv>
  <rv s="10">
    <fb>538.70000000000005</fb>
    <v>20</v>
  </rv>
  <rv s="10">
    <fb>552.4</fb>
    <v>20</v>
  </rv>
  <rv s="10">
    <fb>563.1</fb>
    <v>20</v>
  </rv>
  <rv s="10">
    <fb>557.04999999999995</fb>
    <v>20</v>
  </rv>
  <rv s="10">
    <fb>559.20000000000005</fb>
    <v>20</v>
  </rv>
  <rv s="10">
    <fb>592.5</fb>
    <v>20</v>
  </rv>
  <rv s="10">
    <fb>580.85</fb>
    <v>20</v>
  </rv>
  <rv s="10">
    <fb>539.35</fb>
    <v>20</v>
  </rv>
  <rv s="10">
    <fb>524.45000000000005</fb>
    <v>20</v>
  </rv>
  <rv s="10">
    <fb>528.79999999999995</fb>
    <v>20</v>
  </rv>
  <rv s="10">
    <fb>543.04999999999995</fb>
    <v>20</v>
  </rv>
  <rv s="10">
    <fb>537.54999999999995</fb>
    <v>20</v>
  </rv>
  <rv s="10">
    <fb>552.70000000000005</fb>
    <v>20</v>
  </rv>
  <rv s="10">
    <fb>550.70000000000005</fb>
    <v>20</v>
  </rv>
  <rv s="10">
    <fb>561.5</fb>
    <v>20</v>
  </rv>
  <rv s="10">
    <fb>564.75</fb>
    <v>20</v>
  </rv>
  <rv s="10">
    <fb>565.04999999999995</fb>
    <v>20</v>
  </rv>
  <rv s="10">
    <fb>567.95000000000005</fb>
    <v>20</v>
  </rv>
  <rv s="10">
    <fb>575.25</fb>
    <v>20</v>
  </rv>
  <rv s="10">
    <fb>575.29999999999995</fb>
    <v>20</v>
  </rv>
  <rv s="10">
    <fb>583</fb>
    <v>20</v>
  </rv>
  <rv s="10">
    <fb>581.5</fb>
    <v>20</v>
  </rv>
  <rv s="10">
    <fb>588.4</fb>
    <v>20</v>
  </rv>
  <rv s="10">
    <fb>586.75</fb>
    <v>20</v>
  </rv>
  <rv s="10">
    <fb>551.75</fb>
    <v>20</v>
  </rv>
  <rv s="10">
    <fb>549.35</fb>
    <v>20</v>
  </rv>
  <rv s="10">
    <fb>589.15</fb>
    <v>20</v>
  </rv>
  <rv s="10">
    <fb>574.45000000000005</fb>
    <v>20</v>
  </rv>
  <rv s="10">
    <fb>584.35</fb>
    <v>20</v>
  </rv>
  <rv s="10">
    <fb>624.35</fb>
    <v>20</v>
  </rv>
  <rv s="10">
    <fb>614.5</fb>
    <v>20</v>
  </rv>
  <rv s="10">
    <fb>636.95000000000005</fb>
    <v>20</v>
  </rv>
  <rv s="10">
    <fb>639.4</fb>
    <v>20</v>
  </rv>
  <rv s="10">
    <fb>643.35</fb>
    <v>20</v>
  </rv>
  <rv s="10">
    <fb>633.29999999999995</fb>
    <v>20</v>
  </rv>
  <rv s="10">
    <fb>722.1</fb>
    <v>20</v>
  </rv>
  <rv s="10">
    <fb>729.85</fb>
    <v>20</v>
  </rv>
  <rv s="10">
    <fb>718.15</fb>
    <v>20</v>
  </rv>
  <rv s="10">
    <fb>721.75</fb>
    <v>20</v>
  </rv>
  <rv s="10">
    <fb>727.15</fb>
    <v>20</v>
  </rv>
  <rv s="10">
    <fb>721.8</fb>
    <v>20</v>
  </rv>
  <rv s="10">
    <fb>754.6</fb>
    <v>20</v>
  </rv>
  <rv s="10">
    <fb>739.25</fb>
    <v>20</v>
  </rv>
  <rv s="10">
    <fb>737.8</fb>
    <v>20</v>
  </rv>
  <rv s="10">
    <fb>734.75</fb>
    <v>20</v>
  </rv>
  <rv s="10">
    <fb>750.35</fb>
    <v>20</v>
  </rv>
  <rv s="10">
    <fb>755.7</fb>
    <v>20</v>
  </rv>
  <rv s="10">
    <fb>750.75</fb>
    <v>20</v>
  </rv>
  <rv s="10">
    <fb>734.25</fb>
    <v>20</v>
  </rv>
  <rv s="10">
    <fb>757.6</fb>
    <v>20</v>
  </rv>
  <rv s="10">
    <fb>782.6</fb>
    <v>20</v>
  </rv>
  <rv s="10">
    <fb>793.4</fb>
    <v>20</v>
  </rv>
  <rv s="10">
    <fb>819.05</fb>
    <v>20</v>
  </rv>
  <rv s="10">
    <fb>799.05</fb>
    <v>20</v>
  </rv>
  <rv s="10">
    <fb>797.65</fb>
    <v>20</v>
  </rv>
  <rv s="10">
    <fb>777.15</fb>
    <v>20</v>
  </rv>
  <rv s="10">
    <fb>792.35</fb>
    <v>20</v>
  </rv>
  <rv s="10">
    <fb>791.8</fb>
    <v>20</v>
  </rv>
  <rv s="10">
    <fb>835.95</fb>
    <v>20</v>
  </rv>
  <rv s="10">
    <fb>830.65</fb>
    <v>20</v>
  </rv>
  <rv s="10">
    <fb>828.25</fb>
    <v>20</v>
  </rv>
  <rv s="10">
    <fb>817.1</fb>
    <v>20</v>
  </rv>
  <rv s="10">
    <fb>830.2</fb>
    <v>20</v>
  </rv>
  <rv s="10">
    <fb>844.3</fb>
    <v>20</v>
  </rv>
  <rv s="10">
    <fb>849.9</fb>
    <v>20</v>
  </rv>
  <rv s="10">
    <fb>848.55</fb>
    <v>20</v>
  </rv>
  <rv s="10">
    <fb>848.9</fb>
    <v>20</v>
  </rv>
  <rv s="10">
    <fb>849.5</fb>
    <v>20</v>
  </rv>
  <rv s="10">
    <fb>846.85</fb>
    <v>20</v>
  </rv>
  <rv s="10">
    <fb>848.3</fb>
    <v>20</v>
  </rv>
  <rv s="10">
    <fb>853.85</fb>
    <v>20</v>
  </rv>
  <rv s="10">
    <fb>883</fb>
    <v>20</v>
  </rv>
  <rv s="10">
    <fb>900.45</fb>
    <v>20</v>
  </rv>
  <rv s="10">
    <fb>929.1</fb>
    <v>20</v>
  </rv>
  <rv s="10">
    <fb>946</fb>
    <v>20</v>
  </rv>
  <rv s="10">
    <fb>902.8</fb>
    <v>20</v>
  </rv>
  <rv s="10">
    <fb>884.05</fb>
    <v>20</v>
  </rv>
  <rv s="10">
    <fb>851.5</fb>
    <v>20</v>
  </rv>
  <rv s="10">
    <fb>808.7</fb>
    <v>20</v>
  </rv>
  <rv s="10">
    <fb>791.9</fb>
    <v>20</v>
  </rv>
  <rv s="10">
    <fb>783.35</fb>
    <v>20</v>
  </rv>
  <rv s="10">
    <fb>782.05</fb>
    <v>20</v>
  </rv>
  <rv s="10">
    <fb>761.25</fb>
    <v>20</v>
  </rv>
  <rv s="10">
    <fb>744.7</fb>
    <v>20</v>
  </rv>
  <rv s="10">
    <fb>730.35</fb>
    <v>20</v>
  </rv>
  <rv s="10">
    <fb>705.1</fb>
    <v>20</v>
  </rv>
  <rv s="10">
    <fb>719.25</fb>
    <v>20</v>
  </rv>
  <rv s="10">
    <fb>758.45</fb>
    <v>20</v>
  </rv>
  <rv s="10">
    <fb>733.5</fb>
    <v>20</v>
  </rv>
  <rv s="10">
    <fb>762.3</fb>
    <v>20</v>
  </rv>
  <rv s="10">
    <fb>769.6</fb>
    <v>20</v>
  </rv>
  <rv s="10">
    <fb>773.35</fb>
    <v>20</v>
  </rv>
  <rv s="10">
    <fb>793.55</fb>
    <v>20</v>
  </rv>
  <rv s="10">
    <fb>799.1</fb>
    <v>20</v>
  </rv>
  <rv s="10">
    <fb>797.3</fb>
    <v>20</v>
  </rv>
  <rv s="10">
    <fb>771.6</fb>
    <v>20</v>
  </rv>
  <rv s="10">
    <fb>762.65</fb>
    <v>20</v>
  </rv>
  <rv s="10">
    <fb>783.1</fb>
    <v>20</v>
  </rv>
  <rv s="10">
    <fb>802.05</fb>
    <v>20</v>
  </rv>
  <rv s="10">
    <fb>827.45</fb>
    <v>20</v>
  </rv>
  <rv s="10">
    <fb>837.55</fb>
    <v>20</v>
  </rv>
  <rv s="10">
    <fb>812.9</fb>
    <v>20</v>
  </rv>
  <rv s="10">
    <fb>812.05</fb>
    <v>20</v>
  </rv>
  <rv s="10">
    <fb>792.85</fb>
    <v>20</v>
  </rv>
  <rv s="10">
    <fb>786.95</fb>
    <v>20</v>
  </rv>
  <rv s="10">
    <fb>807.15</fb>
    <v>20</v>
  </rv>
  <rv s="10">
    <fb>777.4</fb>
    <v>20</v>
  </rv>
  <rv s="10">
    <fb>747.95</fb>
    <v>20</v>
  </rv>
  <rv s="10">
    <fb>774.8</fb>
    <v>20</v>
  </rv>
  <rv s="10">
    <fb>789.9</fb>
    <v>20</v>
  </rv>
  <rv s="10">
    <fb>805.15</fb>
    <v>20</v>
  </rv>
  <rv s="10">
    <fb>844</fb>
    <v>20</v>
  </rv>
  <rv s="10">
    <fb>867.15</fb>
    <v>20</v>
  </rv>
  <rv s="10">
    <fb>879.6</fb>
    <v>20</v>
  </rv>
  <rv s="10">
    <fb>884.75</fb>
    <v>20</v>
  </rv>
  <rv s="10">
    <fb>922.85</fb>
    <v>20</v>
  </rv>
  <rv s="10">
    <fb>901.85</fb>
    <v>20</v>
  </rv>
  <rv s="10">
    <fb>875.95</fb>
    <v>20</v>
  </rv>
  <rv s="10">
    <fb>901.15</fb>
    <v>20</v>
  </rv>
  <rv s="10">
    <fb>905.25</fb>
    <v>20</v>
  </rv>
  <rv s="10">
    <fb>908.5</fb>
    <v>20</v>
  </rv>
  <rv s="10">
    <fb>902.05</fb>
    <v>20</v>
  </rv>
  <rv s="10">
    <fb>890.6</fb>
    <v>20</v>
  </rv>
  <rv s="10">
    <fb>873.65</fb>
    <v>20</v>
  </rv>
  <rv s="10">
    <fb>886.8</fb>
    <v>20</v>
  </rv>
  <rv s="10">
    <fb>898</fb>
    <v>20</v>
  </rv>
  <rv s="10">
    <fb>890.25</fb>
    <v>20</v>
  </rv>
  <rv s="10">
    <fb>882.8</fb>
    <v>20</v>
  </rv>
  <rv s="10">
    <fb>883.15</fb>
    <v>20</v>
  </rv>
  <rv s="10">
    <fb>956.25</fb>
    <v>20</v>
  </rv>
  <rv s="10">
    <fb>931.2</fb>
    <v>20</v>
  </rv>
  <rv s="10">
    <fb>912.8</fb>
    <v>20</v>
  </rv>
  <rv s="10">
    <fb>942.9</fb>
    <v>20</v>
  </rv>
  <rv s="10">
    <fb>936.85</fb>
    <v>20</v>
  </rv>
  <rv s="10">
    <fb>953.6</fb>
    <v>20</v>
  </rv>
  <rv s="10">
    <fb>934</fb>
    <v>20</v>
  </rv>
  <rv s="10">
    <fb>930.4</fb>
    <v>20</v>
  </rv>
  <rv s="10">
    <fb>948.3</fb>
    <v>20</v>
  </rv>
  <rv s="10">
    <fb>937.35</fb>
    <v>20</v>
  </rv>
  <rv s="10">
    <fb>933.45</fb>
    <v>20</v>
  </rv>
  <rv s="10">
    <fb>913.5</fb>
    <v>20</v>
  </rv>
  <rv s="10">
    <fb>931.55</fb>
    <v>20</v>
  </rv>
  <rv s="10">
    <fb>922.1</fb>
    <v>20</v>
  </rv>
  <rv s="10">
    <fb>915.65</fb>
    <v>20</v>
  </rv>
  <rv s="10">
    <fb>913</fb>
    <v>20</v>
  </rv>
  <rv s="10">
    <fb>906.05</fb>
    <v>20</v>
  </rv>
  <rv s="10">
    <fb>881.45</fb>
    <v>20</v>
  </rv>
  <rv s="10">
    <fb>889.95</fb>
    <v>20</v>
  </rv>
  <rv s="10">
    <fb>893.5</fb>
    <v>20</v>
  </rv>
  <rv s="10">
    <fb>940.25</fb>
    <v>20</v>
  </rv>
  <rv s="10">
    <fb>939</fb>
    <v>20</v>
  </rv>
  <rv s="10">
    <fb>937.55</fb>
    <v>20</v>
  </rv>
  <rv s="10">
    <fb>926.95</fb>
    <v>20</v>
  </rv>
  <rv s="10">
    <fb>937.4</fb>
    <v>20</v>
  </rv>
  <rv s="10">
    <fb>919.25</fb>
    <v>20</v>
  </rv>
  <rv s="10">
    <fb>921.75</fb>
    <v>20</v>
  </rv>
  <rv s="10">
    <fb>928.35</fb>
    <v>20</v>
  </rv>
  <rv s="10">
    <fb>934.85</fb>
    <v>20</v>
  </rv>
  <rv s="10">
    <fb>991.5</fb>
    <v>20</v>
  </rv>
  <rv s="10">
    <fb>1004.95</fb>
    <v>20</v>
  </rv>
  <rv s="10">
    <fb>1002.9</fb>
    <v>20</v>
  </rv>
  <rv s="10">
    <fb>1014.05</fb>
    <v>20</v>
  </rv>
  <rv s="10">
    <fb>1020.65</fb>
    <v>20</v>
  </rv>
  <rv s="10">
    <fb>1073.55</fb>
    <v>20</v>
  </rv>
  <rv s="10">
    <fb>1016.15</fb>
    <v>20</v>
  </rv>
  <rv s="10">
    <fb>1085.55</fb>
    <v>20</v>
  </rv>
  <rv s="10">
    <fb>1010.55</fb>
    <v>20</v>
  </rv>
  <rv s="10">
    <fb>1059.0999999999999</fb>
    <v>20</v>
  </rv>
  <rv s="10">
    <fb>1085.8</fb>
    <v>20</v>
  </rv>
  <rv s="10">
    <fb>1100.5999999999999</fb>
    <v>20</v>
  </rv>
  <rv s="10">
    <fb>1069.8499999999999</fb>
    <v>20</v>
  </rv>
  <rv s="10">
    <fb>1067.3</fb>
    <v>20</v>
  </rv>
  <rv s="10">
    <fb>1067.8499999999999</fb>
    <v>20</v>
  </rv>
  <rv s="10">
    <fb>1048</fb>
    <v>20</v>
  </rv>
  <rv s="10">
    <fb>1056.8499999999999</fb>
    <v>20</v>
  </rv>
  <rv s="10">
    <fb>1042.55</fb>
    <v>20</v>
  </rv>
  <rv s="10">
    <fb>1014.15</fb>
    <v>20</v>
  </rv>
  <rv s="10">
    <fb>985.15</fb>
    <v>20</v>
  </rv>
  <rv s="10">
    <fb>1005.9</fb>
    <v>20</v>
  </rv>
  <rv s="10">
    <fb>1038.4000000000001</fb>
    <v>20</v>
  </rv>
  <rv s="10">
    <fb>1026.45</fb>
    <v>20</v>
  </rv>
  <rv s="10">
    <fb>1020.2</fb>
    <v>20</v>
  </rv>
  <rv s="10">
    <fb>1043.4000000000001</fb>
    <v>20</v>
  </rv>
  <rv s="10">
    <fb>1021.55</fb>
    <v>20</v>
  </rv>
  <rv s="10">
    <fb>999.4</fb>
    <v>20</v>
  </rv>
  <rv s="10">
    <fb>997.3</fb>
    <v>20</v>
  </rv>
  <rv s="10">
    <fb>1018.9</fb>
    <v>20</v>
  </rv>
  <rv s="10">
    <fb>999.25</fb>
    <v>20</v>
  </rv>
  <rv s="10">
    <fb>951</fb>
    <v>20</v>
  </rv>
  <rv s="10">
    <fb>938.8</fb>
    <v>20</v>
  </rv>
  <rv s="10">
    <fb>1002.15</fb>
    <v>20</v>
  </rv>
  <rv s="10">
    <fb>989.9</fb>
    <v>20</v>
  </rv>
  <rv s="10">
    <fb>998.9</fb>
    <v>20</v>
  </rv>
  <rv s="10">
    <fb>991.05</fb>
    <v>20</v>
  </rv>
  <rv s="10">
    <fb>981.7</fb>
    <v>20</v>
  </rv>
  <rv s="10">
    <fb>942.6</fb>
    <v>20</v>
  </rv>
  <rv s="10">
    <fb>962.35</fb>
    <v>20</v>
  </rv>
  <rv s="10">
    <fb>942.85</fb>
    <v>20</v>
  </rv>
  <rv s="10">
    <fb>870.25</fb>
    <v>20</v>
  </rv>
  <rv s="10">
    <fb>809.8</fb>
    <v>20</v>
  </rv>
  <rv s="10">
    <fb>872.95</fb>
    <v>20</v>
  </rv>
  <rv s="10">
    <fb>848.45</fb>
    <v>20</v>
  </rv>
  <rv s="10">
    <fb>839.1</fb>
    <v>20</v>
  </rv>
  <rv s="10">
    <fb>840.85</fb>
    <v>20</v>
  </rv>
  <rv s="10">
    <fb>889.8</fb>
    <v>20</v>
  </rv>
  <rv s="10">
    <fb>920.25</fb>
    <v>20</v>
  </rv>
  <rv s="10">
    <fb>943.25</fb>
    <v>20</v>
  </rv>
  <rv s="10">
    <fb>960.15</fb>
    <v>20</v>
  </rv>
  <rv s="10">
    <fb>948.75</fb>
    <v>20</v>
  </rv>
  <rv s="10">
    <fb>977.55</fb>
    <v>20</v>
  </rv>
  <rv s="10">
    <fb>973</fb>
    <v>20</v>
  </rv>
  <rv s="10">
    <fb>977.75</fb>
    <v>20</v>
  </rv>
  <rv s="10">
    <fb>983.3</fb>
    <v>20</v>
  </rv>
  <rv s="10">
    <fb>1005.25</fb>
    <v>20</v>
  </rv>
  <rv s="10">
    <fb>1023.8</fb>
    <v>20</v>
  </rv>
  <rv s="10">
    <fb>1001.3</fb>
    <v>20</v>
  </rv>
  <rv s="10">
    <fb>998.95</fb>
    <v>20</v>
  </rv>
  <rv s="10">
    <fb>972</fb>
    <v>20</v>
  </rv>
  <rv s="10">
    <fb>988.25</fb>
    <v>20</v>
  </rv>
  <rv s="10">
    <fb>1014.4</fb>
    <v>20</v>
  </rv>
  <rv s="10">
    <fb>1166.25</fb>
    <v>20</v>
  </rv>
  <rv s="10">
    <fb>1155.7</fb>
    <v>20</v>
  </rv>
  <rv s="10">
    <fb>1126.45</fb>
    <v>20</v>
  </rv>
  <rv s="10">
    <fb>1148.5</fb>
    <v>20</v>
  </rv>
  <rv s="10">
    <fb>1142</fb>
    <v>20</v>
  </rv>
  <rv s="10">
    <fb>1126.2</fb>
    <v>20</v>
  </rv>
  <rv s="10">
    <fb>1158.75</fb>
    <v>20</v>
  </rv>
  <rv s="10">
    <fb>452.47879999999998</fb>
    <v>20</v>
  </rv>
  <rv s="10">
    <fb>461.81200000000001</fb>
    <v>20</v>
  </rv>
  <rv s="10">
    <fb>468.81200000000001</fb>
    <v>20</v>
  </rv>
  <rv s="10">
    <fb>461.7287</fb>
    <v>20</v>
  </rv>
  <rv s="10">
    <fb>464.9787</fb>
    <v>20</v>
  </rv>
  <rv s="10">
    <fb>478.67849999999999</fb>
    <v>20</v>
  </rv>
  <rv s="10">
    <fb>459.29539999999997</fb>
    <v>20</v>
  </rv>
  <rv s="10">
    <fb>458.3954</fb>
    <v>20</v>
  </rv>
  <rv s="10">
    <fb>460.07870000000003</fb>
    <v>20</v>
  </rv>
  <rv s="10">
    <fb>457.99540000000002</fb>
    <v>20</v>
  </rv>
  <rv s="10">
    <fb>459.87869999999998</fb>
    <v>20</v>
  </rv>
  <rv s="10">
    <fb>459.67869999999999</fb>
    <v>20</v>
  </rv>
  <rv s="10">
    <fb>466.87869999999998</fb>
    <v>20</v>
  </rv>
  <rv s="10">
    <fb>469.66199999999998</fb>
    <v>20</v>
  </rv>
  <rv s="10">
    <fb>463.9787</fb>
    <v>20</v>
  </rv>
  <rv s="10">
    <fb>461.87869999999998</fb>
    <v>20</v>
  </rv>
  <rv s="10">
    <fb>484.96179999999998</fb>
    <v>20</v>
  </rv>
  <rv s="10">
    <fb>509.19490000000002</fb>
    <v>20</v>
  </rv>
  <rv s="10">
    <fb>528.22810000000004</fb>
    <v>20</v>
  </rv>
  <rv s="10">
    <fb>526.3614</fb>
    <v>20</v>
  </rv>
  <rv s="10">
    <fb>552.67780000000005</fb>
    <v>20</v>
  </rv>
  <rv s="10">
    <fb>564.31100000000004</fb>
    <v>20</v>
  </rv>
  <rv s="10">
    <fb>559.22770000000003</fb>
    <v>20</v>
  </rv>
  <rv s="10">
    <fb>555.01110000000006</fb>
    <v>20</v>
  </rv>
  <rv s="10">
    <fb>562.74440000000004</fb>
    <v>20</v>
  </rv>
  <rv s="10">
    <fb>560.49440000000004</fb>
    <v>20</v>
  </rv>
  <rv s="10">
    <fb>566.06100000000004</fb>
    <v>20</v>
  </rv>
  <rv s="10">
    <fb>581.17750000000001</fb>
    <v>20</v>
  </rv>
  <rv s="10">
    <fb>578.49419999999998</fb>
    <v>20</v>
  </rv>
  <rv s="10">
    <fb>580.71090000000004</fb>
    <v>20</v>
  </rv>
  <rv s="10">
    <fb>609.74390000000005</fb>
    <v>20</v>
  </rv>
  <rv s="10">
    <fb>597.29399999999998</fb>
    <v>20</v>
  </rv>
  <rv s="10">
    <fb>581.89419999999996</fb>
    <v>20</v>
  </rv>
  <rv s="10">
    <fb>569.77760000000001</fb>
    <v>20</v>
  </rv>
  <rv s="10">
    <fb>583.79420000000005</fb>
    <v>20</v>
  </rv>
  <rv s="10">
    <fb>579.62750000000005</fb>
    <v>20</v>
  </rv>
  <rv s="10">
    <fb>582.87750000000005</fb>
    <v>20</v>
  </rv>
  <rv s="10">
    <fb>580.72749999999996</fb>
    <v>20</v>
  </rv>
  <rv s="10">
    <fb>572.92759999999998</fb>
    <v>20</v>
  </rv>
  <rv s="10">
    <fb>559.2944</fb>
    <v>20</v>
  </rv>
  <rv s="10">
    <fb>587.01080000000002</fb>
    <v>20</v>
  </rv>
  <rv s="10">
    <fb>580.51089999999999</fb>
    <v>20</v>
  </rv>
  <rv s="10">
    <fb>609.52719999999999</fb>
    <v>20</v>
  </rv>
  <rv s="10">
    <fb>639.99360000000001</fb>
    <v>20</v>
  </rv>
  <rv s="10">
    <fb>645.66020000000003</fb>
    <v>20</v>
  </rv>
  <rv s="10">
    <fb>673.54330000000004</fb>
    <v>20</v>
  </rv>
  <rv s="10">
    <fb>673.95989999999995</fb>
    <v>20</v>
  </rv>
  <rv s="10">
    <fb>661.24339999999995</fb>
    <v>20</v>
  </rv>
  <rv s="10">
    <fb>652.14350000000002</fb>
    <v>20</v>
  </rv>
  <rv s="10">
    <fb>627.81039999999996</fb>
    <v>20</v>
  </rv>
  <rv s="10">
    <fb>613.66049999999996</fb>
    <v>20</v>
  </rv>
  <rv s="10">
    <fb>606.12729999999999</fb>
    <v>20</v>
  </rv>
  <rv s="10">
    <fb>616.04380000000003</fb>
    <v>20</v>
  </rv>
  <rv s="10">
    <fb>625.14369999999997</fb>
    <v>20</v>
  </rv>
  <rv s="10">
    <fb>622.99379999999996</fb>
    <v>20</v>
  </rv>
  <rv s="10">
    <fb>622.89380000000006</fb>
    <v>20</v>
  </rv>
  <rv s="10">
    <fb>630.84370000000001</fb>
    <v>20</v>
  </rv>
  <rv s="10">
    <fb>662.37670000000003</fb>
    <v>20</v>
  </rv>
  <rv s="10">
    <fb>662.09339999999997</fb>
    <v>20</v>
  </rv>
  <rv s="10">
    <fb>658.22680000000003</fb>
    <v>20</v>
  </rv>
  <rv s="10">
    <fb>662.12670000000003</fb>
    <v>20</v>
  </rv>
  <rv s="10">
    <fb>668.57659999999998</fb>
    <v>20</v>
  </rv>
  <rv s="10">
    <fb>671.06</fb>
    <v>20</v>
  </rv>
  <rv s="10">
    <fb>660.61009999999999</fb>
    <v>20</v>
  </rv>
  <rv s="10">
    <fb>649.71019999999999</fb>
    <v>20</v>
  </rv>
  <rv s="10">
    <fb>651.32680000000005</fb>
    <v>20</v>
  </rv>
  <rv s="10">
    <fb>676.25990000000002</fb>
    <v>20</v>
  </rv>
  <rv s="10">
    <fb>705.72630000000004</fb>
    <v>20</v>
  </rv>
  <rv s="10">
    <fb>734.39269999999999</fb>
    <v>20</v>
  </rv>
  <rv s="10">
    <fb>807.82529999999997</fb>
    <v>20</v>
  </rv>
  <rv s="10">
    <fb>805.32529999999997</fb>
    <v>20</v>
  </rv>
  <rv s="10">
    <fb>797.34199999999998</fb>
    <v>20</v>
  </rv>
  <rv s="10">
    <fb>801.97529999999995</fb>
    <v>20</v>
  </rv>
  <rv s="10">
    <fb>882.2</fb>
    <v>20</v>
  </rv>
  <rv s="10">
    <fb>916.9</fb>
    <v>20</v>
  </rv>
  <rv s="10">
    <fb>887.2</fb>
    <v>20</v>
  </rv>
  <rv s="10">
    <fb>862.7</fb>
    <v>20</v>
  </rv>
  <rv s="10">
    <fb>838.45</fb>
    <v>20</v>
  </rv>
  <rv s="10">
    <fb>881.75</fb>
    <v>20</v>
  </rv>
  <rv s="10">
    <fb>861.5</fb>
    <v>20</v>
  </rv>
  <rv s="10">
    <fb>870.95</fb>
    <v>20</v>
  </rv>
  <rv s="10">
    <fb>854.05</fb>
    <v>20</v>
  </rv>
  <rv s="10">
    <fb>867.7</fb>
    <v>20</v>
  </rv>
  <rv s="10">
    <fb>816.8</fb>
    <v>20</v>
  </rv>
  <rv s="10">
    <fb>810.95</fb>
    <v>20</v>
  </rv>
  <rv s="10">
    <fb>789.3</fb>
    <v>20</v>
  </rv>
  <rv s="10">
    <fb>797.25</fb>
    <v>20</v>
  </rv>
  <rv s="10">
    <fb>796.7</fb>
    <v>20</v>
  </rv>
  <rv s="10">
    <fb>820.85</fb>
    <v>20</v>
  </rv>
  <rv s="10">
    <fb>815.05</fb>
    <v>20</v>
  </rv>
  <rv s="10">
    <fb>802.5</fb>
    <v>20</v>
  </rv>
  <rv s="10">
    <fb>806.9</fb>
    <v>20</v>
  </rv>
  <rv s="10">
    <fb>804.35</fb>
    <v>20</v>
  </rv>
  <rv s="10">
    <fb>787.45</fb>
    <v>20</v>
  </rv>
  <rv s="10">
    <fb>802.35</fb>
    <v>20</v>
  </rv>
  <rv s="10">
    <fb>793.6</fb>
    <v>20</v>
  </rv>
  <rv s="10">
    <fb>787.9</fb>
    <v>20</v>
  </rv>
  <rv s="10">
    <fb>779.9</fb>
    <v>20</v>
  </rv>
  <rv s="10">
    <fb>775.9</fb>
    <v>20</v>
  </rv>
  <rv s="10">
    <fb>768.35</fb>
    <v>20</v>
  </rv>
  <rv s="10">
    <fb>760.1</fb>
    <v>20</v>
  </rv>
  <rv s="10">
    <fb>770.5</fb>
    <v>20</v>
  </rv>
  <rv s="10">
    <fb>776.65</fb>
    <v>20</v>
  </rv>
  <rv s="10">
    <fb>777.85</fb>
    <v>20</v>
  </rv>
  <rv s="10">
    <fb>764.9</fb>
    <v>20</v>
  </rv>
  <rv s="10">
    <fb>765.1</fb>
    <v>20</v>
  </rv>
  <rv s="10">
    <fb>753.65</fb>
    <v>20</v>
  </rv>
  <rv s="10">
    <fb>734</fb>
    <v>20</v>
  </rv>
  <rv s="10">
    <fb>736.15</fb>
    <v>20</v>
  </rv>
  <rv s="10">
    <fb>726.3</fb>
    <v>20</v>
  </rv>
  <rv s="10">
    <fb>746.7</fb>
    <v>20</v>
  </rv>
  <rv s="10">
    <fb>767.6</fb>
    <v>20</v>
  </rv>
  <rv s="10">
    <fb>805.9</fb>
    <v>20</v>
  </rv>
  <rv s="10">
    <fb>816.75</fb>
    <v>20</v>
  </rv>
  <rv s="10">
    <fb>795.05</fb>
    <v>20</v>
  </rv>
  <rv s="10">
    <fb>799.15</fb>
    <v>20</v>
  </rv>
  <rv s="10">
    <fb>792.05</fb>
    <v>20</v>
  </rv>
  <rv s="10">
    <fb>761.65</fb>
    <v>20</v>
  </rv>
  <rv s="10">
    <fb>769.65</fb>
    <v>20</v>
  </rv>
  <rv s="10">
    <fb>768.8</fb>
    <v>20</v>
  </rv>
  <rv s="10">
    <fb>767.05</fb>
    <v>20</v>
  </rv>
  <rv s="10">
    <fb>768.25</fb>
    <v>20</v>
  </rv>
  <rv s="10">
    <fb>806.6</fb>
    <v>20</v>
  </rv>
  <rv s="10">
    <fb>845.55</fb>
    <v>20</v>
  </rv>
  <rv s="10">
    <fb>849.65</fb>
    <v>20</v>
  </rv>
  <rv s="10">
    <fb>842.15</fb>
    <v>20</v>
  </rv>
  <rv s="10">
    <fb>837.35</fb>
    <v>20</v>
  </rv>
  <rv s="10">
    <fb>828.4</fb>
    <v>20</v>
  </rv>
  <rv s="10">
    <fb>818.9</fb>
    <v>20</v>
  </rv>
  <rv s="10">
    <fb>808.65</fb>
    <v>20</v>
  </rv>
  <rv s="10">
    <fb>834.6</fb>
    <v>20</v>
  </rv>
  <rv s="10">
    <fb>876.3</fb>
    <v>20</v>
  </rv>
  <rv s="10">
    <fb>874.7</fb>
    <v>20</v>
  </rv>
  <rv s="10">
    <fb>847.9</fb>
    <v>20</v>
  </rv>
  <rv s="10">
    <fb>833.3</fb>
    <v>20</v>
  </rv>
  <rv s="10">
    <fb>829.35</fb>
    <v>20</v>
  </rv>
  <rv s="10">
    <fb>822.3</fb>
    <v>20</v>
  </rv>
  <rv s="10">
    <fb>831.5</fb>
    <v>20</v>
  </rv>
  <rv s="10">
    <fb>891.35</fb>
    <v>20</v>
  </rv>
  <rv s="10">
    <fb>884.15</fb>
    <v>20</v>
  </rv>
  <rv s="10">
    <fb>865.05</fb>
    <v>20</v>
  </rv>
  <rv s="10">
    <fb>864.2</fb>
    <v>20</v>
  </rv>
  <rv s="10">
    <fb>892.35</fb>
    <v>20</v>
  </rv>
  <rv s="10">
    <fb>866.2</fb>
    <v>20</v>
  </rv>
  <rv s="10">
    <fb>909.5</fb>
    <v>20</v>
  </rv>
  <rv s="10">
    <fb>953.75</fb>
    <v>20</v>
  </rv>
  <rv s="10">
    <fb>993.35</fb>
    <v>20</v>
  </rv>
  <rv s="10">
    <fb>1043</fb>
    <v>20</v>
  </rv>
  <rv s="10">
    <fb>1147.3</fb>
    <v>20</v>
  </rv>
  <rv s="10">
    <fb>1162.5</fb>
    <v>20</v>
  </rv>
  <rv s="10">
    <fb>1111.95</fb>
    <v>20</v>
  </rv>
  <rv s="10">
    <fb>1153.75</fb>
    <v>20</v>
  </rv>
  <rv s="10">
    <fb>1124.2</fb>
    <v>20</v>
  </rv>
  <rv s="10">
    <fb>1152</fb>
    <v>20</v>
  </rv>
  <rv s="10">
    <fb>1267.2</fb>
    <v>20</v>
  </rv>
  <rv s="10">
    <fb>1282</fb>
    <v>20</v>
  </rv>
  <rv s="10">
    <fb>1264.0999999999999</fb>
    <v>20</v>
  </rv>
  <rv s="10">
    <fb>1331</fb>
    <v>20</v>
  </rv>
  <rv s="10">
    <fb>1298.8499999999999</fb>
    <v>20</v>
  </rv>
  <rv s="10">
    <fb>1268.05</fb>
    <v>20</v>
  </rv>
  <rv s="10">
    <fb>1238.4000000000001</fb>
    <v>20</v>
  </rv>
  <rv s="10">
    <fb>1190.5</fb>
    <v>20</v>
  </rv>
  <rv s="10">
    <fb>1196.05</fb>
    <v>20</v>
  </rv>
  <rv s="10">
    <fb>1171.9000000000001</fb>
    <v>20</v>
  </rv>
  <rv s="10">
    <fb>1160.45</fb>
    <v>20</v>
  </rv>
  <rv s="10">
    <fb>1102.45</fb>
    <v>20</v>
  </rv>
  <rv s="10">
    <fb>992.2</fb>
    <v>20</v>
  </rv>
  <rv s="10">
    <fb>1030.0999999999999</fb>
    <v>20</v>
  </rv>
  <rv s="10">
    <fb>1007.95</fb>
    <v>20</v>
  </rv>
  <rv s="10">
    <fb>1012.7</fb>
    <v>20</v>
  </rv>
  <rv s="10">
    <fb>919.75</fb>
    <v>20</v>
  </rv>
  <rv s="10">
    <fb>873.1</fb>
    <v>20</v>
  </rv>
  <rv s="10">
    <fb>829.45</fb>
    <v>20</v>
  </rv>
  <rv s="10">
    <fb>788.45</fb>
    <v>20</v>
  </rv>
  <rv s="10">
    <fb>799.3</fb>
    <v>20</v>
  </rv>
  <rv s="10">
    <fb>839.25</fb>
    <v>20</v>
  </rv>
  <rv s="10">
    <fb>881.2</fb>
    <v>20</v>
  </rv>
  <rv s="10">
    <fb>879.55</fb>
    <v>20</v>
  </rv>
  <rv s="10">
    <fb>923.5</fb>
    <v>20</v>
  </rv>
  <rv s="10">
    <fb>959.25</fb>
    <v>20</v>
  </rv>
  <rv s="10">
    <fb>911.3</fb>
    <v>20</v>
  </rv>
  <rv s="10">
    <fb>881.25</fb>
    <v>20</v>
  </rv>
  <rv s="10">
    <fb>909.6</fb>
    <v>20</v>
  </rv>
  <rv s="10">
    <fb>903.1</fb>
    <v>20</v>
  </rv>
  <rv s="10">
    <fb>948.25</fb>
    <v>20</v>
  </rv>
  <rv s="10">
    <fb>995.65</fb>
    <v>20</v>
  </rv>
  <rv s="10">
    <fb>1008.7</fb>
    <v>20</v>
  </rv>
  <rv s="10">
    <fb>993.3</fb>
    <v>20</v>
  </rv>
  <rv s="10">
    <fb>988.7</fb>
    <v>20</v>
  </rv>
  <rv s="10">
    <fb>991.95</fb>
    <v>20</v>
  </rv>
  <rv s="10">
    <fb>979.9</fb>
    <v>20</v>
  </rv>
  <rv s="10">
    <fb>930.9</fb>
    <v>20</v>
  </rv>
  <rv s="10">
    <fb>920.1</fb>
    <v>20</v>
  </rv>
  <rv s="10">
    <fb>902.85</fb>
    <v>20</v>
  </rv>
  <rv s="10">
    <fb>884.35</fb>
    <v>20</v>
  </rv>
  <rv s="10">
    <fb>928.55</fb>
    <v>20</v>
  </rv>
  <rv s="10">
    <fb>974.95</fb>
    <v>20</v>
  </rv>
  <rv s="10">
    <fb>957.7</fb>
    <v>20</v>
  </rv>
  <rv s="10">
    <fb>961.25</fb>
    <v>20</v>
  </rv>
  <rv s="10">
    <fb>943.05</fb>
    <v>20</v>
  </rv>
  <rv s="10">
    <fb>921</fb>
    <v>20</v>
  </rv>
  <rv s="10">
    <fb>829.25</fb>
    <v>20</v>
  </rv>
  <rv s="10">
    <fb>828.95</fb>
    <v>20</v>
  </rv>
  <rv s="10">
    <fb>871.45</fb>
    <v>20</v>
  </rv>
  <rv s="10">
    <fb>855.6</fb>
    <v>20</v>
  </rv>
  <rv s="10">
    <fb>854.8</fb>
    <v>20</v>
  </rv>
  <rv s="10">
    <fb>848.1</fb>
    <v>20</v>
  </rv>
  <rv s="10">
    <fb>848.65</fb>
    <v>20</v>
  </rv>
  <rv s="10">
    <fb>855.55</fb>
    <v>20</v>
  </rv>
  <rv s="10">
    <fb>864.3</fb>
    <v>20</v>
  </rv>
  <rv s="10">
    <fb>868.15</fb>
    <v>20</v>
  </rv>
  <rv s="10">
    <fb>868.7</fb>
    <v>20</v>
  </rv>
  <rv s="10">
    <fb>875.85</fb>
    <v>20</v>
  </rv>
  <rv s="10">
    <fb>875</fb>
    <v>20</v>
  </rv>
  <rv s="10">
    <fb>903.25</fb>
    <v>20</v>
  </rv>
  <rv s="10">
    <fb>890.8</fb>
    <v>20</v>
  </rv>
  <rv s="10">
    <fb>878.5</fb>
    <v>20</v>
  </rv>
  <rv s="10">
    <fb>881.9</fb>
    <v>20</v>
  </rv>
  <rv s="10">
    <fb>888.45</fb>
    <v>20</v>
  </rv>
  <rv s="10">
    <fb>889.75</fb>
    <v>20</v>
  </rv>
  <rv s="10">
    <fb>895.95</fb>
    <v>20</v>
  </rv>
  <rv s="10">
    <fb>920.5</fb>
    <v>20</v>
  </rv>
  <rv s="10">
    <fb>918.85</fb>
    <v>20</v>
  </rv>
  <rv s="10">
    <fb>928.45</fb>
    <v>20</v>
  </rv>
  <rv s="10">
    <fb>912.65</fb>
    <v>20</v>
  </rv>
  <rv s="10">
    <fb>919.6</fb>
    <v>20</v>
  </rv>
  <rv s="10">
    <fb>913.45</fb>
    <v>20</v>
  </rv>
  <rv s="10">
    <fb>907.4</fb>
    <v>20</v>
  </rv>
  <rv s="10">
    <fb>917.9</fb>
    <v>20</v>
  </rv>
  <rv s="10">
    <fb>914.05</fb>
    <v>20</v>
  </rv>
  <rv s="10">
    <fb>916.6</fb>
    <v>20</v>
  </rv>
  <rv s="10">
    <fb>917.1</fb>
    <v>20</v>
  </rv>
  <rv s="10">
    <fb>908</fb>
    <v>20</v>
  </rv>
  <rv s="10">
    <fb>916.4</fb>
    <v>20</v>
  </rv>
  <rv s="10">
    <fb>945.2</fb>
    <v>20</v>
  </rv>
  <rv s="10">
    <fb>1005.1</fb>
    <v>20</v>
  </rv>
  <rv s="10">
    <fb>982.35</fb>
    <v>20</v>
  </rv>
  <rv s="10">
    <fb>955.5</fb>
    <v>20</v>
  </rv>
  <rv s="10">
    <fb>951.65</fb>
    <v>20</v>
  </rv>
  <rv s="10">
    <fb>956.8</fb>
    <v>20</v>
  </rv>
  <rv s="10">
    <fb>951.1</fb>
    <v>20</v>
  </rv>
  <rv s="10">
    <fb>978.5</fb>
    <v>20</v>
  </rv>
  <rv s="10">
    <fb>984</fb>
    <v>20</v>
  </rv>
  <rv s="10">
    <fb>987.65</fb>
    <v>20</v>
  </rv>
  <rv s="10">
    <fb>996.15</fb>
    <v>20</v>
  </rv>
  <rv s="10">
    <fb>985.25</fb>
    <v>20</v>
  </rv>
  <rv s="10">
    <fb>981.15</fb>
    <v>20</v>
  </rv>
  <rv s="10">
    <fb>957.4</fb>
    <v>20</v>
  </rv>
  <rv s="10">
    <fb>994.6</fb>
    <v>20</v>
  </rv>
  <rv s="10">
    <fb>980.8</fb>
    <v>20</v>
  </rv>
  <rv s="10">
    <fb>962.55</fb>
    <v>20</v>
  </rv>
  <rv s="10">
    <fb>973.5</fb>
    <v>20</v>
  </rv>
  <rv s="10">
    <fb>995.45</fb>
    <v>20</v>
  </rv>
  <rv s="10">
    <fb>935.7</fb>
    <v>20</v>
  </rv>
  <rv s="10">
    <fb>943.7</fb>
    <v>20</v>
  </rv>
  <rv s="10">
    <fb>942</fb>
    <v>20</v>
  </rv>
  <rv s="10">
    <fb>934.6</fb>
    <v>20</v>
  </rv>
  <rv s="10">
    <fb>931.5</fb>
    <v>20</v>
  </rv>
  <rv s="10">
    <fb>922.9</fb>
    <v>20</v>
  </rv>
  <rv s="10">
    <fb>923.85</fb>
    <v>20</v>
  </rv>
  <rv s="10">
    <fb>926.45</fb>
    <v>20</v>
  </rv>
  <rv s="10">
    <fb>925</fb>
    <v>20</v>
  </rv>
  <rv s="10">
    <fb>924.85</fb>
    <v>20</v>
  </rv>
  <rv s="10">
    <fb>930.85</fb>
    <v>20</v>
  </rv>
  <rv s="10">
    <fb>922.55</fb>
    <v>20</v>
  </rv>
  <rv s="10">
    <fb>916.7</fb>
    <v>20</v>
  </rv>
  <rv s="10">
    <fb>931.25</fb>
    <v>20</v>
  </rv>
  <rv s="10">
    <fb>926.5</fb>
    <v>20</v>
  </rv>
  <rv s="10">
    <fb>912.45</fb>
    <v>20</v>
  </rv>
  <rv s="10">
    <fb>904.25</fb>
    <v>20</v>
  </rv>
  <rv s="10">
    <fb>893</fb>
    <v>20</v>
  </rv>
  <rv s="10">
    <fb>898.65</fb>
    <v>20</v>
  </rv>
  <rv s="10">
    <fb>897</fb>
    <v>20</v>
  </rv>
  <rv s="10">
    <fb>891.55</fb>
    <v>20</v>
  </rv>
  <rv s="10">
    <fb>899.2</fb>
    <v>20</v>
  </rv>
  <rv s="10">
    <fb>911.45</fb>
    <v>20</v>
  </rv>
  <rv s="10">
    <fb>917.05</fb>
    <v>20</v>
  </rv>
  <rv s="10">
    <fb>912.05</fb>
    <v>20</v>
  </rv>
  <rv s="10">
    <fb>898.3</fb>
    <v>20</v>
  </rv>
  <rv s="10">
    <fb>902.35</fb>
    <v>20</v>
  </rv>
  <rv s="10">
    <fb>908.75</fb>
    <v>20</v>
  </rv>
  <rv s="10">
    <fb>928.25</fb>
    <v>20</v>
  </rv>
  <rv s="10">
    <fb>924.7</fb>
    <v>20</v>
  </rv>
  <rv s="10">
    <fb>918</fb>
    <v>20</v>
  </rv>
  <rv s="10">
    <fb>919.85</fb>
    <v>20</v>
  </rv>
  <rv s="10">
    <fb>919.65</fb>
    <v>20</v>
  </rv>
  <rv s="10">
    <fb>939.5</fb>
    <v>20</v>
  </rv>
  <rv s="10">
    <fb>955.7</fb>
    <v>20</v>
  </rv>
  <rv s="10">
    <fb>933</fb>
    <v>20</v>
  </rv>
  <rv s="10">
    <fb>915</fb>
    <v>20</v>
  </rv>
  <rv s="10">
    <fb>941.95</fb>
    <v>20</v>
  </rv>
  <rv s="10">
    <fb>930.05</fb>
    <v>20</v>
  </rv>
  <rv s="10">
    <fb>924.1</fb>
    <v>20</v>
  </rv>
  <rv s="10">
    <fb>922.95</fb>
    <v>20</v>
  </rv>
  <rv s="10">
    <fb>911.6</fb>
    <v>20</v>
  </rv>
  <rv s="10">
    <fb>906.7</fb>
    <v>20</v>
  </rv>
  <rv s="10">
    <fb>903.7</fb>
    <v>20</v>
  </rv>
  <rv s="10">
    <fb>910.7</fb>
    <v>20</v>
  </rv>
  <rv s="10">
    <fb>874.8</fb>
    <v>20</v>
  </rv>
  <rv s="10">
    <fb>855.95</fb>
    <v>20</v>
  </rv>
  <rv s="10">
    <fb>852.75</fb>
    <v>20</v>
  </rv>
  <rv s="10">
    <fb>856.5</fb>
    <v>20</v>
  </rv>
  <rv s="10">
    <fb>856.8</fb>
    <v>20</v>
  </rv>
  <rv s="10">
    <fb>839.5</fb>
    <v>20</v>
  </rv>
  <rv s="10">
    <fb>847.15</fb>
    <v>20</v>
  </rv>
  <rv s="10">
    <fb>857.45</fb>
    <v>20</v>
  </rv>
  <rv s="10">
    <fb>847.4</fb>
    <v>20</v>
  </rv>
  <rv s="10">
    <fb>845.65</fb>
    <v>20</v>
  </rv>
  <rv s="10">
    <fb>858.05</fb>
    <v>20</v>
  </rv>
  <rv s="10">
    <fb>860.7</fb>
    <v>20</v>
  </rv>
  <rv s="10">
    <fb>836.6</fb>
    <v>20</v>
  </rv>
  <rv s="10">
    <fb>832.15</fb>
    <v>20</v>
  </rv>
  <rv s="10">
    <fb>829.15</fb>
    <v>20</v>
  </rv>
  <rv s="10">
    <fb>811.35</fb>
    <v>20</v>
  </rv>
  <rv s="10">
    <fb>816.55</fb>
    <v>20</v>
  </rv>
  <rv s="10">
    <fb>813.55</fb>
    <v>20</v>
  </rv>
  <rv s="10">
    <fb>832</fb>
    <v>20</v>
  </rv>
  <rv s="10">
    <fb>829.05</fb>
    <v>20</v>
  </rv>
  <rv s="10">
    <fb>819.3</fb>
    <v>20</v>
  </rv>
  <rv s="10">
    <fb>811.5</fb>
    <v>20</v>
  </rv>
  <rv s="10">
    <fb>811</fb>
    <v>20</v>
  </rv>
  <rv s="10">
    <fb>824.85</fb>
    <v>20</v>
  </rv>
  <rv s="10">
    <fb>840.95</fb>
    <v>20</v>
  </rv>
  <rv s="10">
    <fb>834.75</fb>
    <v>20</v>
  </rv>
  <rv s="10">
    <fb>825.85</fb>
    <v>20</v>
  </rv>
  <rv s="10">
    <fb>841.05</fb>
    <v>20</v>
  </rv>
  <rv s="10">
    <fb>840.25</fb>
    <v>20</v>
  </rv>
  <rv s="10">
    <fb>853.7</fb>
    <v>20</v>
  </rv>
  <rv s="10">
    <fb>848.25</fb>
    <v>20</v>
  </rv>
  <rv s="10">
    <fb>844.15</fb>
    <v>20</v>
  </rv>
  <rv s="10">
    <fb>845.1</fb>
    <v>20</v>
  </rv>
  <rv s="10">
    <fb>836.75</fb>
    <v>20</v>
  </rv>
  <rv s="10">
    <fb>832.35</fb>
    <v>20</v>
  </rv>
  <rv s="10">
    <fb>831.35</fb>
    <v>20</v>
  </rv>
  <rv s="10">
    <fb>834.15</fb>
    <v>20</v>
  </rv>
  <rv s="10">
    <fb>836.65</fb>
    <v>20</v>
  </rv>
  <rv s="10">
    <fb>837.8</fb>
    <v>20</v>
  </rv>
  <rv s="10">
    <fb>837.5</fb>
    <v>20</v>
  </rv>
  <rv s="10">
    <fb>840.35</fb>
    <v>20</v>
  </rv>
  <rv s="10">
    <fb>867.2</fb>
    <v>20</v>
  </rv>
  <rv s="10">
    <fb>882.7</fb>
    <v>20</v>
  </rv>
  <rv s="10">
    <fb>879.1</fb>
    <v>20</v>
  </rv>
  <rv s="10">
    <fb>904.3</fb>
    <v>20</v>
  </rv>
  <rv s="10">
    <fb>894.65</fb>
    <v>20</v>
  </rv>
  <rv s="10">
    <fb>913.2</fb>
    <v>20</v>
  </rv>
  <rv s="10">
    <fb>935.2</fb>
    <v>20</v>
  </rv>
  <rv s="10">
    <fb>936.4</fb>
    <v>20</v>
  </rv>
  <rv s="10">
    <fb>925.7</fb>
    <v>20</v>
  </rv>
  <rv s="10">
    <fb>884.85</fb>
    <v>20</v>
  </rv>
  <rv s="10">
    <fb>914.3</fb>
    <v>20</v>
  </rv>
  <rv s="10">
    <fb>916.65</fb>
    <v>20</v>
  </rv>
  <rv s="10">
    <fb>908.8</fb>
    <v>20</v>
  </rv>
  <rv s="10">
    <fb>897.9</fb>
    <v>20</v>
  </rv>
  <rv s="10">
    <fb>896.05</fb>
    <v>20</v>
  </rv>
  <rv s="10">
    <fb>903.65</fb>
    <v>20</v>
  </rv>
  <rv s="10">
    <fb>903.75</fb>
    <v>20</v>
  </rv>
  <rv s="10">
    <fb>900.7</fb>
    <v>20</v>
  </rv>
  <rv s="10">
    <fb>903.8</fb>
    <v>20</v>
  </rv>
  <rv s="10">
    <fb>890.75</fb>
    <v>20</v>
  </rv>
  <rv s="10">
    <fb>895.15</fb>
    <v>20</v>
  </rv>
  <rv s="10">
    <fb>892.65</fb>
    <v>20</v>
  </rv>
  <rv s="10">
    <fb>889.85</fb>
    <v>20</v>
  </rv>
  <rv s="10">
    <fb>922.5</fb>
    <v>20</v>
  </rv>
  <rv s="10">
    <fb>945.3</fb>
    <v>20</v>
  </rv>
  <rv s="10">
    <fb>934.9</fb>
    <v>20</v>
  </rv>
  <rv s="10">
    <fb>883.95</fb>
    <v>20</v>
  </rv>
  <rv s="10">
    <fb>889.6</fb>
    <v>20</v>
  </rv>
  <rv s="10">
    <fb>884.4</fb>
    <v>20</v>
  </rv>
  <rv s="10">
    <fb>856.3</fb>
    <v>20</v>
  </rv>
  <rv s="10">
    <fb>867.75</fb>
    <v>20</v>
  </rv>
  <rv s="10">
    <fb>866.55</fb>
    <v>20</v>
  </rv>
  <rv s="10">
    <fb>856.2</fb>
    <v>20</v>
  </rv>
  <rv s="10">
    <fb>857.4</fb>
    <v>20</v>
  </rv>
  <rv s="10">
    <fb>876.05</fb>
    <v>20</v>
  </rv>
  <rv s="10">
    <fb>873.9</fb>
    <v>20</v>
  </rv>
  <rv s="10">
    <fb>855.8</fb>
    <v>20</v>
  </rv>
  <rv s="10">
    <fb>869.1</fb>
    <v>20</v>
  </rv>
  <rv s="10">
    <fb>862.3</fb>
    <v>20</v>
  </rv>
  <rv s="10">
    <fb>852.8</fb>
    <v>20</v>
  </rv>
  <rv s="10">
    <fb>841.95</fb>
    <v>20</v>
  </rv>
  <rv s="10">
    <fb>829.85</fb>
    <v>20</v>
  </rv>
  <rv s="10">
    <fb>835.6</fb>
    <v>20</v>
  </rv>
  <rv s="10">
    <fb>827.35</fb>
    <v>20</v>
  </rv>
  <rv s="10">
    <fb>836.4</fb>
    <v>20</v>
  </rv>
  <rv s="10">
    <fb>836.5</fb>
    <v>20</v>
  </rv>
  <rv s="10">
    <fb>838.4</fb>
    <v>20</v>
  </rv>
  <rv s="10">
    <fb>834.1</fb>
    <v>20</v>
  </rv>
  <rv s="10">
    <fb>826</fb>
    <v>20</v>
  </rv>
  <rv s="10">
    <fb>822.5</fb>
    <v>20</v>
  </rv>
  <rv s="10">
    <fb>872.65</fb>
    <v>20</v>
  </rv>
  <rv s="10">
    <fb>849.05</fb>
    <v>20</v>
  </rv>
  <rv s="10">
    <fb>846.95</fb>
    <v>20</v>
  </rv>
  <rv s="10">
    <fb>856</fb>
    <v>20</v>
  </rv>
  <rv s="10">
    <fb>839.9</fb>
    <v>20</v>
  </rv>
  <rv s="10">
    <fb>827.9</fb>
    <v>20</v>
  </rv>
  <rv s="10">
    <fb>824.55</fb>
    <v>20</v>
  </rv>
  <rv s="10">
    <fb>831.4</fb>
    <v>20</v>
  </rv>
  <rv s="10">
    <fb>823.3</fb>
    <v>20</v>
  </rv>
  <rv s="10">
    <fb>785.15</fb>
    <v>20</v>
  </rv>
  <rv s="10">
    <fb>801.85</fb>
    <v>20</v>
  </rv>
  <rv s="10">
    <fb>792.6</fb>
    <v>20</v>
  </rv>
  <rv s="10">
    <fb>787.15</fb>
    <v>20</v>
  </rv>
  <rv s="10">
    <fb>783.7</fb>
    <v>20</v>
  </rv>
  <rv s="10">
    <fb>775.6</fb>
    <v>20</v>
  </rv>
  <rv s="10">
    <fb>779.65</fb>
    <v>20</v>
  </rv>
  <rv s="10">
    <fb>777.6</fb>
    <v>20</v>
  </rv>
  <rv s="10">
    <fb>765.55</fb>
    <v>20</v>
  </rv>
  <rv s="10">
    <fb>752</fb>
    <v>20</v>
  </rv>
  <rv s="10">
    <fb>744.4</fb>
    <v>20</v>
  </rv>
  <rv s="10">
    <fb>796.5</fb>
    <v>20</v>
  </rv>
  <rv s="10">
    <fb>806.8</fb>
    <v>20</v>
  </rv>
  <rv s="10">
    <fb>818.45</fb>
    <v>20</v>
  </rv>
  <rv s="10">
    <fb>821.75</fb>
    <v>20</v>
  </rv>
  <rv s="10">
    <fb>824.35</fb>
    <v>20</v>
  </rv>
  <rv s="10">
    <fb>816.65</fb>
    <v>20</v>
  </rv>
  <rv s="10">
    <fb>821.6</fb>
    <v>20</v>
  </rv>
  <rv s="10">
    <fb>818.85</fb>
    <v>20</v>
  </rv>
  <rv s="10">
    <fb>821.95</fb>
    <v>20</v>
  </rv>
  <rv s="10">
    <fb>801.05</fb>
    <v>20</v>
  </rv>
  <rv s="10">
    <fb>813.05</fb>
    <v>20</v>
  </rv>
  <rv s="10">
    <fb>808.9</fb>
    <v>20</v>
  </rv>
  <rv s="10">
    <fb>812.35</fb>
    <v>20</v>
  </rv>
  <rv s="10">
    <fb>809.35</fb>
    <v>20</v>
  </rv>
  <rv s="10">
    <fb>811.15</fb>
    <v>20</v>
  </rv>
  <rv s="10">
    <fb>819.85</fb>
    <v>20</v>
  </rv>
  <rv s="10">
    <fb>817.45</fb>
    <v>20</v>
  </rv>
  <rv s="10">
    <fb>814.3</fb>
    <v>20</v>
  </rv>
  <rv s="10">
    <fb>112.6</fb>
    <v>20</v>
  </rv>
  <rv s="10">
    <fb>113.65</fb>
    <v>20</v>
  </rv>
  <rv s="10">
    <fb>112</fb>
    <v>20</v>
  </rv>
  <rv s="10">
    <fb>103.4</fb>
    <v>20</v>
  </rv>
  <rv s="10">
    <fb>103.8</fb>
    <v>20</v>
  </rv>
  <rv s="10">
    <fb>102.85</fb>
    <v>20</v>
  </rv>
  <rv s="10">
    <fb>100.75</fb>
    <v>20</v>
  </rv>
  <rv s="10">
    <fb>100.25</fb>
    <v>20</v>
  </rv>
  <rv s="10">
    <fb>101.6</fb>
    <v>20</v>
  </rv>
  <rv s="10">
    <fb>102.4</fb>
    <v>20</v>
  </rv>
  <rv s="10">
    <fb>101.5</fb>
    <v>20</v>
  </rv>
  <rv s="10">
    <fb>104.55</fb>
    <v>20</v>
  </rv>
  <rv s="10">
    <fb>103.05</fb>
    <v>20</v>
  </rv>
  <rv s="10">
    <fb>105.7</fb>
    <v>20</v>
  </rv>
  <rv s="10">
    <fb>109.75</fb>
    <v>20</v>
  </rv>
  <rv s="10">
    <fb>106.4</fb>
    <v>20</v>
  </rv>
  <rv s="10">
    <fb>108.1</fb>
    <v>20</v>
  </rv>
  <rv s="10">
    <fb>104.3</fb>
    <v>20</v>
  </rv>
  <rv s="10">
    <fb>105.55</fb>
    <v>20</v>
  </rv>
  <rv s="10">
    <fb>105.25</fb>
    <v>20</v>
  </rv>
  <rv s="10">
    <fb>107.25</fb>
    <v>20</v>
  </rv>
  <rv s="10">
    <fb>108.4</fb>
    <v>20</v>
  </rv>
  <rv s="10">
    <fb>112.3</fb>
    <v>20</v>
  </rv>
  <rv s="10">
    <fb>120.95</fb>
    <v>20</v>
  </rv>
  <rv s="10">
    <fb>136</fb>
    <v>20</v>
  </rv>
  <rv s="10">
    <fb>137.19999999999999</fb>
    <v>20</v>
  </rv>
  <rv s="10">
    <fb>130.55000000000001</fb>
    <v>20</v>
  </rv>
  <rv s="10">
    <fb>139.75</fb>
    <v>20</v>
  </rv>
  <rv s="10">
    <fb>143.30000000000001</fb>
    <v>20</v>
  </rv>
  <rv s="10">
    <fb>152.75</fb>
    <v>20</v>
  </rv>
  <rv s="10">
    <fb>147</fb>
    <v>20</v>
  </rv>
  <rv s="10">
    <fb>145.69999999999999</fb>
    <v>20</v>
  </rv>
  <rv s="10">
    <fb>144.15</fb>
    <v>20</v>
  </rv>
  <rv s="10">
    <fb>152.6</fb>
    <v>20</v>
  </rv>
  <rv s="10">
    <fb>149.80000000000001</fb>
    <v>20</v>
  </rv>
  <rv s="10">
    <fb>148.35</fb>
    <v>20</v>
  </rv>
  <rv s="10">
    <fb>149.75</fb>
    <v>20</v>
  </rv>
  <rv s="10">
    <fb>146.05000000000001</fb>
    <v>20</v>
  </rv>
  <rv s="10">
    <fb>152.05000000000001</fb>
    <v>20</v>
  </rv>
  <rv s="10">
    <fb>157.4</fb>
    <v>20</v>
  </rv>
  <rv s="10">
    <fb>153.19999999999999</fb>
    <v>20</v>
  </rv>
  <rv s="10">
    <fb>155</fb>
    <v>20</v>
  </rv>
  <rv s="10">
    <fb>153.35</fb>
    <v>20</v>
  </rv>
  <rv s="10">
    <fb>155.25</fb>
    <v>20</v>
  </rv>
  <rv s="10">
    <fb>156.05000000000001</fb>
    <v>20</v>
  </rv>
  <rv s="10">
    <fb>153.80000000000001</fb>
    <v>20</v>
  </rv>
  <rv s="10">
    <fb>167</fb>
    <v>20</v>
  </rv>
  <rv s="10">
    <fb>161.6</fb>
    <v>20</v>
  </rv>
  <rv s="10">
    <fb>166.9</fb>
    <v>20</v>
  </rv>
  <rv s="10">
    <fb>167.75</fb>
    <v>20</v>
  </rv>
  <rv s="10">
    <fb>167.5</fb>
    <v>20</v>
  </rv>
  <rv s="10">
    <fb>166.15</fb>
    <v>20</v>
  </rv>
  <rv s="10">
    <fb>168.55</fb>
    <v>20</v>
  </rv>
  <rv s="10">
    <fb>169.45</fb>
    <v>20</v>
  </rv>
  <rv s="10">
    <fb>166.8</fb>
    <v>20</v>
  </rv>
  <rv s="10">
    <fb>176.65</fb>
    <v>20</v>
  </rv>
  <rv s="10">
    <fb>178.1</fb>
    <v>20</v>
  </rv>
  <rv s="10">
    <fb>191.75</fb>
    <v>20</v>
  </rv>
  <rv s="10">
    <fb>191.65</fb>
    <v>20</v>
  </rv>
  <rv s="10">
    <fb>195.95</fb>
    <v>20</v>
  </rv>
  <rv s="10">
    <fb>211.4</fb>
    <v>20</v>
  </rv>
  <rv s="10">
    <fb>233.2</fb>
    <v>20</v>
  </rv>
  <rv s="10">
    <fb>224</fb>
    <v>20</v>
  </rv>
  <rv s="10">
    <fb>228.3</fb>
    <v>20</v>
  </rv>
  <rv s="10">
    <fb>219.2</fb>
    <v>20</v>
  </rv>
  <rv s="10">
    <fb>222.45</fb>
    <v>20</v>
  </rv>
  <rv s="10">
    <fb>232</fb>
    <v>20</v>
  </rv>
  <rv s="10">
    <fb>245.55</fb>
    <v>20</v>
  </rv>
  <rv s="10">
    <fb>257.64999999999998</fb>
    <v>20</v>
  </rv>
  <rv s="10">
    <fb>264.7</fb>
    <v>20</v>
  </rv>
  <rv s="10">
    <fb>260.05</fb>
    <v>20</v>
  </rv>
  <rv s="10">
    <fb>279.85000000000002</fb>
    <v>20</v>
  </rv>
  <rv s="10">
    <fb>286.10000000000002</fb>
    <v>20</v>
  </rv>
  <rv s="10">
    <fb>288.75</fb>
    <v>20</v>
  </rv>
  <rv s="10">
    <fb>282.60000000000002</fb>
    <v>20</v>
  </rv>
  <rv s="10">
    <fb>282.64999999999998</fb>
    <v>20</v>
  </rv>
  <rv s="10">
    <fb>278.10000000000002</fb>
    <v>20</v>
  </rv>
  <rv s="10">
    <fb>262.2</fb>
    <v>20</v>
  </rv>
  <rv s="10">
    <fb>268.14999999999998</fb>
    <v>20</v>
  </rv>
  <rv s="10">
    <fb>274.3</fb>
    <v>20</v>
  </rv>
  <rv s="10">
    <fb>281.85000000000002</fb>
    <v>20</v>
  </rv>
  <rv s="10">
    <fb>279.10000000000002</fb>
    <v>20</v>
  </rv>
  <rv s="10">
    <fb>271.8</fb>
    <v>20</v>
  </rv>
  <rv s="10">
    <fb>273.64999999999998</fb>
    <v>20</v>
  </rv>
  <rv s="10">
    <fb>269.60000000000002</fb>
    <v>20</v>
  </rv>
  <rv s="10">
    <fb>269.45</fb>
    <v>20</v>
  </rv>
  <rv s="10">
    <fb>244.35</fb>
    <v>20</v>
  </rv>
  <rv s="10">
    <fb>262.89999999999998</fb>
    <v>20</v>
  </rv>
  <rv s="10">
    <fb>261.10000000000002</fb>
    <v>20</v>
  </rv>
  <rv s="10">
    <fb>265.7</fb>
    <v>20</v>
  </rv>
  <rv s="10">
    <fb>264.8</fb>
    <v>20</v>
  </rv>
  <rv s="10">
    <fb>255.5</fb>
    <v>20</v>
  </rv>
  <rv s="10">
    <fb>247.55</fb>
    <v>20</v>
  </rv>
  <rv s="10">
    <fb>249.55</fb>
    <v>20</v>
  </rv>
  <rv s="10">
    <fb>257.35000000000002</fb>
    <v>20</v>
  </rv>
  <rv s="10">
    <fb>255.8</fb>
    <v>20</v>
  </rv>
  <rv s="10">
    <fb>253.85</fb>
    <v>20</v>
  </rv>
  <rv s="10">
    <fb>251</fb>
    <v>20</v>
  </rv>
  <rv s="10">
    <fb>266.89999999999998</fb>
    <v>20</v>
  </rv>
  <rv s="10">
    <fb>281.14999999999998</fb>
    <v>20</v>
  </rv>
  <rv s="10">
    <fb>277.8</fb>
    <v>20</v>
  </rv>
  <rv s="10">
    <fb>277.7</fb>
    <v>20</v>
  </rv>
  <rv s="10">
    <fb>290.95</fb>
    <v>20</v>
  </rv>
  <rv s="10">
    <fb>278.2</fb>
    <v>20</v>
  </rv>
  <rv s="10">
    <fb>286.7</fb>
    <v>20</v>
  </rv>
  <rv s="10">
    <fb>303.75</fb>
    <v>20</v>
  </rv>
  <rv s="10">
    <fb>297.39999999999998</fb>
    <v>20</v>
  </rv>
  <rv s="10">
    <fb>292.25</fb>
    <v>20</v>
  </rv>
  <rv s="10">
    <fb>284.10000000000002</fb>
    <v>20</v>
  </rv>
  <rv s="10">
    <fb>291.64999999999998</fb>
    <v>20</v>
  </rv>
  <rv s="10">
    <fb>288.45</fb>
    <v>20</v>
  </rv>
  <rv s="10">
    <fb>295.60000000000002</fb>
    <v>20</v>
  </rv>
  <rv s="10">
    <fb>288.64999999999998</fb>
    <v>20</v>
  </rv>
  <rv s="10">
    <fb>273.05</fb>
    <v>20</v>
  </rv>
  <rv s="10">
    <fb>271.45</fb>
    <v>20</v>
  </rv>
  <rv s="10">
    <fb>277.05</fb>
    <v>20</v>
  </rv>
  <rv s="10">
    <fb>290.64999999999998</fb>
    <v>20</v>
  </rv>
  <rv s="10">
    <fb>295.25</fb>
    <v>20</v>
  </rv>
  <rv s="10">
    <fb>290.14999999999998</fb>
    <v>20</v>
  </rv>
  <rv s="10">
    <fb>292.75</fb>
    <v>20</v>
  </rv>
  <rv s="10">
    <fb>287.3</fb>
    <v>20</v>
  </rv>
  <rv s="10">
    <fb>308.2</fb>
    <v>20</v>
  </rv>
  <rv s="10">
    <fb>309.5</fb>
    <v>20</v>
  </rv>
  <rv s="10">
    <fb>303.85000000000002</fb>
    <v>20</v>
  </rv>
  <rv s="10">
    <fb>303.3</fb>
    <v>20</v>
  </rv>
  <rv s="10">
    <fb>319.25</fb>
    <v>20</v>
  </rv>
  <rv s="10">
    <fb>322.14999999999998</fb>
    <v>20</v>
  </rv>
  <rv s="10">
    <fb>324.85000000000002</fb>
    <v>20</v>
  </rv>
  <rv s="10">
    <fb>321.95</fb>
    <v>20</v>
  </rv>
  <rv s="10">
    <fb>317.7</fb>
    <v>20</v>
  </rv>
  <rv s="10">
    <fb>331.75</fb>
    <v>20</v>
  </rv>
  <rv s="10">
    <fb>342.4</fb>
    <v>20</v>
  </rv>
  <rv s="10">
    <fb>344.9</fb>
    <v>20</v>
  </rv>
  <rv s="10">
    <fb>343.05</fb>
    <v>20</v>
  </rv>
  <rv s="10">
    <fb>338</fb>
    <v>20</v>
  </rv>
  <rv s="10">
    <fb>343.35</fb>
    <v>20</v>
  </rv>
  <rv s="10">
    <fb>345.65</fb>
    <v>20</v>
  </rv>
  <rv s="10">
    <fb>339.9</fb>
    <v>20</v>
  </rv>
  <rv s="10">
    <fb>359.85</fb>
    <v>20</v>
  </rv>
  <rv s="10">
    <fb>383.8</fb>
    <v>20</v>
  </rv>
  <rv s="10">
    <fb>402.3</fb>
    <v>20</v>
  </rv>
  <rv s="10">
    <fb>391.95</fb>
    <v>20</v>
  </rv>
  <rv s="10">
    <fb>390.45</fb>
    <v>20</v>
  </rv>
  <rv s="10">
    <fb>394.4</fb>
    <v>20</v>
  </rv>
  <rv s="10">
    <fb>409.5</fb>
    <v>20</v>
  </rv>
  <rv s="10">
    <fb>410.25</fb>
    <v>20</v>
  </rv>
  <rv s="10">
    <fb>427.6</fb>
    <v>20</v>
  </rv>
  <rv s="10">
    <fb>457.55</fb>
    <v>20</v>
  </rv>
  <rv s="10">
    <fb>454.85</fb>
    <v>20</v>
  </rv>
  <rv s="10">
    <fb>467.45</fb>
    <v>20</v>
  </rv>
  <rv s="10">
    <fb>454.5</fb>
    <v>20</v>
  </rv>
  <rv s="10">
    <fb>440.3</fb>
    <v>20</v>
  </rv>
  <rv s="10">
    <fb>410</fb>
    <v>20</v>
  </rv>
  <rv s="10">
    <fb>438.9</fb>
    <v>20</v>
  </rv>
  <rv s="10">
    <fb>443.3</fb>
    <v>20</v>
  </rv>
  <rv s="10">
    <fb>445.8</fb>
    <v>20</v>
  </rv>
  <rv s="10">
    <fb>452.8</fb>
    <v>20</v>
  </rv>
  <rv s="10">
    <fb>445.55</fb>
    <v>20</v>
  </rv>
  <rv s="10">
    <fb>436.4</fb>
    <v>20</v>
  </rv>
  <rv s="10">
    <fb>435.75</fb>
    <v>20</v>
  </rv>
  <rv s="10">
    <fb>452.45</fb>
    <v>20</v>
  </rv>
  <rv s="10">
    <fb>458.8</fb>
    <v>20</v>
  </rv>
  <rv s="10">
    <fb>455.65</fb>
    <v>20</v>
  </rv>
  <rv s="10">
    <fb>453.85</fb>
    <v>20</v>
  </rv>
  <rv s="10">
    <fb>445.85</fb>
    <v>20</v>
  </rv>
  <rv s="10">
    <fb>443.5</fb>
    <v>20</v>
  </rv>
  <rv s="10">
    <fb>451.35</fb>
    <v>20</v>
  </rv>
  <rv s="10">
    <fb>457.95</fb>
    <v>20</v>
  </rv>
  <rv s="10">
    <fb>461.1</fb>
    <v>20</v>
  </rv>
  <rv s="10">
    <fb>464.3</fb>
    <v>20</v>
  </rv>
  <rv s="10">
    <fb>459.85</fb>
    <v>20</v>
  </rv>
  <rv s="10">
    <fb>461.65</fb>
    <v>20</v>
  </rv>
  <rv s="10">
    <fb>478.6</fb>
    <v>20</v>
  </rv>
  <rv s="10">
    <fb>488.35</fb>
    <v>20</v>
  </rv>
  <rv s="10">
    <fb>483</fb>
    <v>20</v>
  </rv>
  <rv s="10">
    <fb>454.7</fb>
    <v>20</v>
  </rv>
  <rv s="10">
    <fb>480.7</fb>
    <v>20</v>
  </rv>
  <rv s="10">
    <fb>488.95</fb>
    <v>20</v>
  </rv>
  <rv s="10">
    <fb>494.95</fb>
    <v>20</v>
  </rv>
  <rv s="10">
    <fb>504.05</fb>
    <v>20</v>
  </rv>
  <rv s="10">
    <fb>537.25</fb>
    <v>20</v>
  </rv>
  <rv s="10">
    <fb>530.04999999999995</fb>
    <v>20</v>
  </rv>
  <rv s="10">
    <fb>518.95000000000005</fb>
    <v>20</v>
  </rv>
  <rv s="10">
    <fb>536</fb>
    <v>20</v>
  </rv>
  <rv s="10">
    <fb>550.9</fb>
    <v>20</v>
  </rv>
  <rv s="10">
    <fb>591.79999999999995</fb>
    <v>20</v>
  </rv>
  <rv s="10">
    <fb>593.70000000000005</fb>
    <v>20</v>
  </rv>
  <rv s="10">
    <fb>524.04999999999995</fb>
    <v>20</v>
  </rv>
  <rv s="10">
    <fb>551.5</fb>
    <v>20</v>
  </rv>
  <rv s="10">
    <fb>558.15</fb>
    <v>20</v>
  </rv>
  <rv s="10">
    <fb>538.35</fb>
    <v>20</v>
  </rv>
  <rv s="10">
    <fb>528.35</fb>
    <v>20</v>
  </rv>
  <rv s="10">
    <fb>529.45000000000005</fb>
    <v>20</v>
  </rv>
  <rv s="10">
    <fb>513.29999999999995</fb>
    <v>20</v>
  </rv>
  <rv s="10">
    <fb>515.1</fb>
    <v>20</v>
  </rv>
  <rv s="10">
    <fb>513.25</fb>
    <v>20</v>
  </rv>
  <rv s="10">
    <fb>506.2</fb>
    <v>20</v>
  </rv>
  <rv s="10">
    <fb>513.6</fb>
    <v>20</v>
  </rv>
  <rv s="10">
    <fb>504.1</fb>
    <v>20</v>
  </rv>
  <rv s="10">
    <fb>520.9</fb>
    <v>20</v>
  </rv>
  <rv s="10">
    <fb>525.79999999999995</fb>
    <v>20</v>
  </rv>
  <rv s="10">
    <fb>517.6</fb>
    <v>20</v>
  </rv>
  <rv s="10">
    <fb>510.5</fb>
    <v>20</v>
  </rv>
  <rv s="10">
    <fb>508.3</fb>
    <v>20</v>
  </rv>
  <rv s="10">
    <fb>488.85</fb>
    <v>20</v>
  </rv>
  <rv s="10">
    <fb>466.65</fb>
    <v>20</v>
  </rv>
  <rv s="10">
    <fb>448.9</fb>
    <v>20</v>
  </rv>
  <rv s="10">
    <fb>441.6</fb>
    <v>20</v>
  </rv>
  <rv s="10">
    <fb>401.4</fb>
    <v>20</v>
  </rv>
  <rv s="10">
    <fb>438.75</fb>
    <v>20</v>
  </rv>
  <rv s="10">
    <fb>472.55</fb>
    <v>20</v>
  </rv>
  <rv s="10">
    <fb>462.05</fb>
    <v>20</v>
  </rv>
  <rv s="10">
    <fb>448.45</fb>
    <v>20</v>
  </rv>
  <rv s="10">
    <fb>444.45</fb>
    <v>20</v>
  </rv>
  <rv s="10">
    <fb>465</fb>
    <v>20</v>
  </rv>
  <rv s="10">
    <fb>453.3</fb>
    <v>20</v>
  </rv>
  <rv s="10">
    <fb>461.4</fb>
    <v>20</v>
  </rv>
  <rv s="10">
    <fb>454</fb>
    <v>20</v>
  </rv>
  <rv s="10">
    <fb>458.65</fb>
    <v>20</v>
  </rv>
  <rv s="10">
    <fb>460.15</fb>
    <v>20</v>
  </rv>
  <rv s="10">
    <fb>490.45</fb>
    <v>20</v>
  </rv>
  <rv s="10">
    <fb>496.7</fb>
    <v>20</v>
  </rv>
  <rv s="10">
    <fb>502.25</fb>
    <v>20</v>
  </rv>
  <rv s="10">
    <fb>492.85</fb>
    <v>20</v>
  </rv>
  <rv s="10">
    <fb>483.2</fb>
    <v>20</v>
  </rv>
  <rv s="10">
    <fb>468.95</fb>
    <v>20</v>
  </rv>
  <rv s="10">
    <fb>449.55</fb>
    <v>20</v>
  </rv>
  <rv s="10">
    <fb>458.7</fb>
    <v>20</v>
  </rv>
  <rv s="10">
    <fb>455.15</fb>
    <v>20</v>
  </rv>
  <rv s="10">
    <fb>450.8</fb>
    <v>20</v>
  </rv>
  <rv s="10">
    <fb>455.4</fb>
    <v>20</v>
  </rv>
  <rv s="10">
    <fb>468.4</fb>
    <v>20</v>
  </rv>
  <rv s="10">
    <fb>467.1</fb>
    <v>20</v>
  </rv>
  <rv s="10">
    <fb>492.7</fb>
    <v>20</v>
  </rv>
  <rv s="10">
    <fb>510.55</fb>
    <v>20</v>
  </rv>
  <rv s="10">
    <fb>1067.55</fb>
    <v>20</v>
  </rv>
  <rv s="10">
    <fb>1058.95</fb>
    <v>20</v>
  </rv>
  <rv s="10">
    <fb>1066.8</fb>
    <v>20</v>
  </rv>
  <rv s="10">
    <fb>1055.55</fb>
    <v>20</v>
  </rv>
  <rv s="10">
    <fb>1075.75</fb>
    <v>20</v>
  </rv>
  <rv s="10">
    <fb>1078.3</fb>
    <v>20</v>
  </rv>
  <rv s="10">
    <fb>1088.0999999999999</fb>
    <v>20</v>
  </rv>
  <rv s="10">
    <fb>1095.5</fb>
    <v>20</v>
  </rv>
  <rv s="10">
    <fb>1099.75</fb>
    <v>20</v>
  </rv>
  <rv s="10">
    <fb>1090.7</fb>
    <v>20</v>
  </rv>
  <rv s="10">
    <fb>1074.55</fb>
    <v>20</v>
  </rv>
  <rv s="10">
    <fb>1079.9000000000001</fb>
    <v>20</v>
  </rv>
  <rv s="10">
    <fb>1095.3499999999999</fb>
    <v>20</v>
  </rv>
  <rv s="10">
    <fb>1119.8499999999999</fb>
    <v>20</v>
  </rv>
  <rv s="10">
    <fb>1107.3499999999999</fb>
    <v>20</v>
  </rv>
  <rv s="10">
    <fb>1116</fb>
    <v>20</v>
  </rv>
  <rv s="10">
    <fb>1139.2</fb>
    <v>20</v>
  </rv>
  <rv s="10">
    <fb>1135.8499999999999</fb>
    <v>20</v>
  </rv>
  <rv s="10">
    <fb>1145.0999999999999</fb>
    <v>20</v>
  </rv>
  <rv s="10">
    <fb>1141.9000000000001</fb>
    <v>20</v>
  </rv>
  <rv s="10">
    <fb>1137.05</fb>
    <v>20</v>
  </rv>
  <rv s="10">
    <fb>1138.3</fb>
    <v>20</v>
  </rv>
  <rv s="10">
    <fb>1128.5999999999999</fb>
    <v>20</v>
  </rv>
  <rv s="10">
    <fb>1129.05</fb>
    <v>20</v>
  </rv>
  <rv s="10">
    <fb>1126.75</fb>
    <v>20</v>
  </rv>
  <rv s="10">
    <fb>1109.75</fb>
    <v>20</v>
  </rv>
  <rv s="10">
    <fb>1139.6500000000001</fb>
    <v>20</v>
  </rv>
  <rv s="10">
    <fb>1131.3</fb>
    <v>20</v>
  </rv>
  <rv s="10">
    <fb>1143.5999999999999</fb>
    <v>20</v>
  </rv>
  <rv s="10">
    <fb>1148.2</fb>
    <v>20</v>
  </rv>
  <rv s="10">
    <fb>1137.55</fb>
    <v>20</v>
  </rv>
  <rv s="10">
    <fb>1168.6500000000001</fb>
    <v>20</v>
  </rv>
  <rv s="10">
    <fb>1170.45</fb>
    <v>20</v>
  </rv>
  <rv s="10">
    <fb>1163.4000000000001</fb>
    <v>20</v>
  </rv>
  <rv s="10">
    <fb>1165.1500000000001</fb>
    <v>20</v>
  </rv>
  <rv s="10">
    <fb>1167.5</fb>
    <v>20</v>
  </rv>
  <rv s="10">
    <fb>1170</fb>
    <v>20</v>
  </rv>
  <rv s="10">
    <fb>1170.25</fb>
    <v>20</v>
  </rv>
  <rv s="10">
    <fb>1187.95</fb>
    <v>20</v>
  </rv>
  <rv s="10">
    <fb>1181.5999999999999</fb>
    <v>20</v>
  </rv>
  <rv s="10">
    <fb>1190.5999999999999</fb>
    <v>20</v>
  </rv>
  <rv s="10">
    <fb>1194.8</fb>
    <v>20</v>
  </rv>
  <rv s="10">
    <fb>1180.6500000000001</fb>
    <v>20</v>
  </rv>
  <rv s="10">
    <fb>1157.5999999999999</fb>
    <v>20</v>
  </rv>
  <rv s="10">
    <fb>1124.5</fb>
    <v>20</v>
  </rv>
  <rv s="10">
    <fb>1114.9000000000001</fb>
    <v>20</v>
  </rv>
  <rv s="10">
    <fb>1108.8</fb>
    <v>20</v>
  </rv>
  <rv s="10">
    <fb>1150.95</fb>
    <v>20</v>
  </rv>
  <rv s="10">
    <fb>1167.2</fb>
    <v>20</v>
  </rv>
  <rv s="10">
    <fb>1169.05</fb>
    <v>20</v>
  </rv>
  <rv s="10">
    <fb>1155.8</fb>
    <v>20</v>
  </rv>
  <rv s="10">
    <fb>1115.45</fb>
    <v>20</v>
  </rv>
  <rv s="10">
    <fb>1112.9000000000001</fb>
    <v>20</v>
  </rv>
  <rv s="10">
    <fb>1111.55</fb>
    <v>20</v>
  </rv>
  <rv s="10">
    <fb>1117.3499999999999</fb>
    <v>20</v>
  </rv>
  <rv s="10">
    <fb>1103.55</fb>
    <v>20</v>
  </rv>
  <rv s="10">
    <fb>1116.7</fb>
    <v>20</v>
  </rv>
  <rv s="10">
    <fb>1138.5</fb>
    <v>20</v>
  </rv>
  <rv s="10">
    <fb>1130.9000000000001</fb>
    <v>20</v>
  </rv>
  <rv s="10">
    <fb>1125.5</fb>
    <v>20</v>
  </rv>
  <rv s="10">
    <fb>1144.3499999999999</fb>
    <v>20</v>
  </rv>
  <rv s="10">
    <fb>1150.8</fb>
    <v>20</v>
  </rv>
  <rv s="10">
    <fb>1141.3499999999999</fb>
    <v>20</v>
  </rv>
  <rv s="10">
    <fb>1134.3</fb>
    <v>20</v>
  </rv>
  <rv s="10">
    <fb>1171.45</fb>
    <v>20</v>
  </rv>
  <rv s="10">
    <fb>1171</fb>
    <v>20</v>
  </rv>
  <rv s="10">
    <fb>1177.1500000000001</fb>
    <v>20</v>
  </rv>
  <rv s="10">
    <fb>1176.7</fb>
    <v>20</v>
  </rv>
  <rv s="10">
    <fb>1173.7</fb>
    <v>20</v>
  </rv>
  <rv s="10">
    <fb>1179.25</fb>
    <v>20</v>
  </rv>
  <rv s="10">
    <fb>1179.5</fb>
    <v>20</v>
  </rv>
  <rv s="10">
    <fb>1182.5</fb>
    <v>20</v>
  </rv>
  <rv s="10">
    <fb>1171.25</fb>
    <v>20</v>
  </rv>
  <rv s="10">
    <fb>1153.95</fb>
    <v>20</v>
  </rv>
  <rv s="10">
    <fb>1146.45</fb>
    <v>20</v>
  </rv>
  <rv s="10">
    <fb>1157.55</fb>
    <v>20</v>
  </rv>
  <rv s="10">
    <fb>1170.5</fb>
    <v>20</v>
  </rv>
  <rv s="10">
    <fb>1172.1500000000001</fb>
    <v>20</v>
  </rv>
  <rv s="10">
    <fb>1185.8</fb>
    <v>20</v>
  </rv>
  <rv s="10">
    <fb>1232.5</fb>
    <v>20</v>
  </rv>
  <rv s="10">
    <fb>1235.55</fb>
    <v>20</v>
  </rv>
  <rv s="10">
    <fb>1235.8499999999999</fb>
    <v>20</v>
  </rv>
  <rv s="10">
    <fb>1254</fb>
    <v>20</v>
  </rv>
  <rv s="10">
    <fb>1262.05</fb>
    <v>20</v>
  </rv>
  <rv s="10">
    <fb>1281.55</fb>
    <v>20</v>
  </rv>
  <rv s="10">
    <fb>1282.4000000000001</fb>
    <v>20</v>
  </rv>
  <rv s="10">
    <fb>1275.25</fb>
    <v>20</v>
  </rv>
  <rv s="10">
    <fb>1283.5999999999999</fb>
    <v>20</v>
  </rv>
  <rv s="10">
    <fb>1304.5999999999999</fb>
    <v>20</v>
  </rv>
  <rv s="10">
    <fb>1305</fb>
    <v>20</v>
  </rv>
  <rv s="10">
    <fb>1293.4000000000001</fb>
    <v>20</v>
  </rv>
  <rv s="10">
    <fb>1278</fb>
    <v>20</v>
  </rv>
  <rv s="10">
    <fb>1273.7</fb>
    <v>20</v>
  </rv>
  <rv s="10">
    <fb>1263.45</fb>
    <v>20</v>
  </rv>
  <rv s="10">
    <fb>1261.45</fb>
    <v>20</v>
  </rv>
  <rv s="10">
    <fb>1261.0999999999999</fb>
    <v>20</v>
  </rv>
  <rv s="10">
    <fb>1241.9000000000001</fb>
    <v>20</v>
  </rv>
  <rv s="10">
    <fb>1234.8</fb>
    <v>20</v>
  </rv>
  <rv s="10">
    <fb>1238.7</fb>
    <v>20</v>
  </rv>
  <rv s="10">
    <fb>1239.55</fb>
    <v>20</v>
  </rv>
  <rv s="10">
    <fb>1235.45</fb>
    <v>20</v>
  </rv>
  <rv s="10">
    <fb>1237.7</fb>
    <v>20</v>
  </rv>
  <rv s="10">
    <fb>1249.5999999999999</fb>
    <v>20</v>
  </rv>
  <rv s="10">
    <fb>1261.8</fb>
    <v>20</v>
  </rv>
  <rv s="10">
    <fb>1245.5999999999999</fb>
    <v>20</v>
  </rv>
  <rv s="10">
    <fb>1223.75</fb>
    <v>20</v>
  </rv>
  <rv s="10">
    <fb>1255.9000000000001</fb>
    <v>20</v>
  </rv>
  <rv s="10">
    <fb>1270.6500000000001</fb>
    <v>20</v>
  </rv>
  <rv s="10">
    <fb>1277.1500000000001</fb>
    <v>20</v>
  </rv>
  <rv s="10">
    <fb>1269.45</fb>
    <v>20</v>
  </rv>
  <rv s="10">
    <fb>1267.3499999999999</fb>
    <v>20</v>
  </rv>
  <rv s="10">
    <fb>1258.5999999999999</fb>
    <v>20</v>
  </rv>
  <rv s="10">
    <fb>1236.6500000000001</fb>
    <v>20</v>
  </rv>
  <rv s="10">
    <fb>1229</fb>
    <v>20</v>
  </rv>
  <rv s="10">
    <fb>1231.8</fb>
    <v>20</v>
  </rv>
  <rv s="10">
    <fb>1268.7</fb>
    <v>20</v>
  </rv>
  <rv s="10">
    <fb>1264.75</fb>
    <v>20</v>
  </rv>
  <rv s="10">
    <fb>1276</fb>
    <v>20</v>
  </rv>
  <rv s="10">
    <fb>1258.95</fb>
    <v>20</v>
  </rv>
  <rv s="10">
    <fb>1273.4000000000001</fb>
    <v>20</v>
  </rv>
  <rv s="10">
    <fb>1266.25</fb>
    <v>20</v>
  </rv>
  <rv s="10">
    <fb>1269.7</fb>
    <v>20</v>
  </rv>
  <rv s="10">
    <fb>1273.95</fb>
    <v>20</v>
  </rv>
  <rv s="10">
    <fb>1267.6500000000001</fb>
    <v>20</v>
  </rv>
  <rv s="10">
    <fb>1267.5</fb>
    <v>20</v>
  </rv>
  <rv s="10">
    <fb>1255.45</fb>
    <v>20</v>
  </rv>
  <rv s="10">
    <fb>1260.2</fb>
    <v>20</v>
  </rv>
  <rv s="10">
    <fb>1261</fb>
    <v>20</v>
  </rv>
  <rv s="10">
    <fb>1276.6500000000001</fb>
    <v>20</v>
  </rv>
  <rv s="10">
    <fb>1311.05</fb>
    <v>20</v>
  </rv>
  <rv s="10">
    <fb>1309.1500000000001</fb>
    <v>20</v>
  </rv>
  <rv s="10">
    <fb>1325.4</fb>
    <v>20</v>
  </rv>
  <rv s="10">
    <fb>1326.6</fb>
    <v>20</v>
  </rv>
  <rv s="10">
    <fb>1329.7</fb>
    <v>20</v>
  </rv>
  <rv s="10">
    <fb>1329</fb>
    <v>20</v>
  </rv>
  <rv s="10">
    <fb>1316.65</fb>
    <v>20</v>
  </rv>
  <rv s="10">
    <fb>1333.95</fb>
    <v>20</v>
  </rv>
  <rv s="10">
    <fb>1340.9</fb>
    <v>20</v>
  </rv>
  <rv s="10">
    <fb>1336.7</fb>
    <v>20</v>
  </rv>
  <rv s="10">
    <fb>1337.95</fb>
    <v>20</v>
  </rv>
  <rv s="10">
    <fb>1317.55</fb>
    <v>20</v>
  </rv>
  <rv s="10">
    <fb>1329.55</fb>
    <v>20</v>
  </rv>
  <rv s="10">
    <fb>1328</fb>
    <v>20</v>
  </rv>
  <rv s="10">
    <fb>1364.1</fb>
    <v>20</v>
  </rv>
  <rv s="10">
    <fb>1375.3</fb>
    <v>20</v>
  </rv>
  <rv s="10">
    <fb>1369.2</fb>
    <v>20</v>
  </rv>
  <rv s="10">
    <fb>1414.6</fb>
    <v>20</v>
  </rv>
  <rv s="10">
    <fb>1491.3</fb>
    <v>20</v>
  </rv>
  <rv s="10">
    <fb>1504.3</fb>
    <v>20</v>
  </rv>
  <rv s="10">
    <fb>1488.3</fb>
    <v>20</v>
  </rv>
  <rv s="10">
    <fb>1439.95</fb>
    <v>20</v>
  </rv>
  <rv s="10">
    <fb>1422.05</fb>
    <v>20</v>
  </rv>
  <rv s="10">
    <fb>1462.7</fb>
    <v>20</v>
  </rv>
  <rv s="10">
    <fb>1458.15</fb>
    <v>20</v>
  </rv>
  <rv s="10">
    <fb>1472.05</fb>
    <v>20</v>
  </rv>
  <rv s="10">
    <fb>1472.45</fb>
    <v>20</v>
  </rv>
  <rv s="10">
    <fb>1466.1</fb>
    <v>20</v>
  </rv>
  <rv s="10">
    <fb>1483.75</fb>
    <v>20</v>
  </rv>
  <rv s="10">
    <fb>1469.55</fb>
    <v>20</v>
  </rv>
  <rv s="10">
    <fb>1437.75</fb>
    <v>20</v>
  </rv>
  <rv s="10">
    <fb>1419.95</fb>
    <v>20</v>
  </rv>
  <rv s="10">
    <fb>1432.8</fb>
    <v>20</v>
  </rv>
  <rv s="10">
    <fb>1447.9</fb>
    <v>20</v>
  </rv>
  <rv s="10">
    <fb>1460.4</fb>
    <v>20</v>
  </rv>
  <rv s="10">
    <fb>1492.1</fb>
    <v>20</v>
  </rv>
  <rv s="10">
    <fb>1484.8</fb>
    <v>20</v>
  </rv>
  <rv s="10">
    <fb>1540.8</fb>
    <v>20</v>
  </rv>
  <rv s="10">
    <fb>1588.2</fb>
    <v>20</v>
  </rv>
  <rv s="10">
    <fb>1555.45</fb>
    <v>20</v>
  </rv>
  <rv s="10">
    <fb>1575.9</fb>
    <v>20</v>
  </rv>
  <rv s="10">
    <fb>1567.55</fb>
    <v>20</v>
  </rv>
  <rv s="10">
    <fb>1567.95</fb>
    <v>20</v>
  </rv>
  <rv s="10">
    <fb>1544</fb>
    <v>20</v>
  </rv>
  <rv s="10">
    <fb>1523.65</fb>
    <v>20</v>
  </rv>
  <rv s="10">
    <fb>1576.4</fb>
    <v>20</v>
  </rv>
  <rv s="10">
    <fb>1550.25</fb>
    <v>20</v>
  </rv>
  <rv s="10">
    <fb>1574.55</fb>
    <v>20</v>
  </rv>
  <rv s="10">
    <fb>1559.3</fb>
    <v>20</v>
  </rv>
  <rv s="10">
    <fb>1576</fb>
    <v>20</v>
  </rv>
  <rv s="10">
    <fb>1577.4</fb>
    <v>20</v>
  </rv>
  <rv s="10">
    <fb>1583.75</fb>
    <v>20</v>
  </rv>
  <rv s="10">
    <fb>1555.35</fb>
    <v>20</v>
  </rv>
  <rv s="10">
    <fb>1623.75</fb>
    <v>20</v>
  </rv>
  <rv s="10">
    <fb>1615.35</fb>
    <v>20</v>
  </rv>
  <rv s="10">
    <fb>1633.8</fb>
    <v>20</v>
  </rv>
  <rv s="10">
    <fb>1630.6</fb>
    <v>20</v>
  </rv>
  <rv s="10">
    <fb>1666.95</fb>
    <v>20</v>
  </rv>
  <rv s="10">
    <fb>1665.6</fb>
    <v>20</v>
  </rv>
  <rv s="10">
    <fb>1671.5</fb>
    <v>20</v>
  </rv>
  <rv s="10">
    <fb>1662.55</fb>
    <v>20</v>
  </rv>
  <rv s="10">
    <fb>1667.45</fb>
    <v>20</v>
  </rv>
  <rv s="10">
    <fb>1675.25</fb>
    <v>20</v>
  </rv>
  <rv s="10">
    <fb>1663.05</fb>
    <v>20</v>
  </rv>
  <rv s="10">
    <fb>1636.3</fb>
    <v>20</v>
  </rv>
  <rv s="10">
    <fb>1686.4</fb>
    <v>20</v>
  </rv>
  <rv s="10">
    <fb>1665.75</fb>
    <v>20</v>
  </rv>
  <rv s="10">
    <fb>1649.8</fb>
    <v>20</v>
  </rv>
  <rv s="10">
    <fb>1658.8</fb>
    <v>20</v>
  </rv>
  <rv s="10">
    <fb>1651.9</fb>
    <v>20</v>
  </rv>
  <rv s="10">
    <fb>1663.85</fb>
    <v>20</v>
  </rv>
  <rv s="10">
    <fb>1644.1</fb>
    <v>20</v>
  </rv>
  <rv s="10">
    <fb>1646.3</fb>
    <v>20</v>
  </rv>
  <rv s="10">
    <fb>1637.95</fb>
    <v>20</v>
  </rv>
  <rv s="10">
    <fb>1619.35</fb>
    <v>20</v>
  </rv>
  <rv s="10">
    <fb>1644.2</fb>
    <v>20</v>
  </rv>
  <rv s="10">
    <fb>1637.65</fb>
    <v>20</v>
  </rv>
  <rv s="10">
    <fb>1638.65</fb>
    <v>20</v>
  </rv>
  <rv s="10">
    <fb>1635.6</fb>
    <v>20</v>
  </rv>
  <rv s="10">
    <fb>1631.5</fb>
    <v>20</v>
  </rv>
  <rv s="10">
    <fb>1679.25</fb>
    <v>20</v>
  </rv>
  <rv s="10">
    <fb>1647.3</fb>
    <v>20</v>
  </rv>
  <rv s="10">
    <fb>1643.4</fb>
    <v>20</v>
  </rv>
  <rv s="10">
    <fb>1599.15</fb>
    <v>20</v>
  </rv>
  <rv s="10">
    <fb>1587.1</fb>
    <v>20</v>
  </rv>
  <rv s="10">
    <fb>1595.8</fb>
    <v>20</v>
  </rv>
  <rv s="10">
    <fb>1557.85</fb>
    <v>20</v>
  </rv>
  <rv s="10">
    <fb>1562.25</fb>
    <v>20</v>
  </rv>
  <rv s="10">
    <fb>1546.2</fb>
    <v>20</v>
  </rv>
  <rv s="10">
    <fb>1543.55</fb>
    <v>20</v>
  </rv>
  <rv s="10">
    <fb>1556.7</fb>
    <v>20</v>
  </rv>
  <rv s="10">
    <fb>1528.3</fb>
    <v>20</v>
  </rv>
  <rv s="10">
    <fb>1535.85</fb>
    <v>20</v>
  </rv>
  <rv s="10">
    <fb>1539.65</fb>
    <v>20</v>
  </rv>
  <rv s="10">
    <fb>1545.25</fb>
    <v>20</v>
  </rv>
  <rv s="10">
    <fb>1540.05</fb>
    <v>20</v>
  </rv>
  <rv s="10">
    <fb>1540.5</fb>
    <v>20</v>
  </rv>
  <rv s="10">
    <fb>1539.15</fb>
    <v>20</v>
  </rv>
  <rv s="10">
    <fb>1521.5</fb>
    <v>20</v>
  </rv>
  <rv s="10">
    <fb>1505.05</fb>
    <v>20</v>
  </rv>
  <rv s="10">
    <fb>1477.3</fb>
    <v>20</v>
  </rv>
  <rv s="10">
    <fb>1466.85</fb>
    <v>20</v>
  </rv>
  <rv s="10">
    <fb>1447.5</fb>
    <v>20</v>
  </rv>
  <rv s="10">
    <fb>1465.9</fb>
    <v>20</v>
  </rv>
  <rv s="10">
    <fb>1486.65</fb>
    <v>20</v>
  </rv>
  <rv s="10">
    <fb>1479.25</fb>
    <v>20</v>
  </rv>
  <rv s="10">
    <fb>1504.15</fb>
    <v>20</v>
  </rv>
  <rv s="10">
    <fb>1473.85</fb>
    <v>20</v>
  </rv>
  <rv s="10">
    <fb>1387.4</fb>
    <v>20</v>
  </rv>
  <rv s="10">
    <fb>1687.25</fb>
    <v>20</v>
  </rv>
  <rv s="10">
    <fb>1693.15</fb>
    <v>20</v>
  </rv>
  <rv s="10">
    <fb>1727.8</fb>
    <v>20</v>
  </rv>
  <rv s="10">
    <fb>1625.65</fb>
    <v>20</v>
  </rv>
  <rv s="10">
    <fb>1644.45</fb>
    <v>20</v>
  </rv>
  <rv s="10">
    <fb>1644.5</fb>
    <v>20</v>
  </rv>
  <rv s="10">
    <fb>1652.1</fb>
    <v>20</v>
  </rv>
  <rv s="10">
    <fb>1653.2</fb>
    <v>20</v>
  </rv>
  <rv s="10">
    <fb>1667.8</fb>
    <v>20</v>
  </rv>
  <rv s="10">
    <fb>1675.8</fb>
    <v>20</v>
  </rv>
  <rv s="10">
    <fb>1638.45</fb>
    <v>20</v>
  </rv>
  <rv s="10">
    <fb>1645</fb>
    <v>20</v>
  </rv>
  <rv s="10">
    <fb>1646.9</fb>
    <v>20</v>
  </rv>
  <rv s="10">
    <fb>1641.05</fb>
    <v>20</v>
  </rv>
  <rv s="10">
    <fb>1637.2</fb>
    <v>20</v>
  </rv>
  <rv s="10">
    <fb>1615.8</fb>
    <v>20</v>
  </rv>
  <rv s="10">
    <fb>1609.6</fb>
    <v>20</v>
  </rv>
  <rv s="10">
    <fb>1635.5</fb>
    <v>20</v>
  </rv>
  <rv s="10">
    <fb>1636.75</fb>
    <v>20</v>
  </rv>
  <rv s="10">
    <fb>1610.85</fb>
    <v>20</v>
  </rv>
  <rv s="10">
    <fb>1604</fb>
    <v>20</v>
  </rv>
  <rv s="10">
    <fb>1606.5</fb>
    <v>20</v>
  </rv>
  <rv s="10">
    <fb>1604.4</fb>
    <v>20</v>
  </rv>
  <rv s="10">
    <fb>1599.4</fb>
    <v>20</v>
  </rv>
  <rv s="10">
    <fb>1607.7</fb>
    <v>20</v>
  </rv>
  <rv s="10">
    <fb>1608.7</fb>
    <v>20</v>
  </rv>
  <rv s="10">
    <fb>1610.6</fb>
    <v>20</v>
  </rv>
  <rv s="10">
    <fb>1600.8</fb>
    <v>20</v>
  </rv>
  <rv s="10">
    <fb>1603.5</fb>
    <v>20</v>
  </rv>
  <rv s="10">
    <fb>1601.75</fb>
    <v>20</v>
  </rv>
  <rv s="10">
    <fb>1582.05</fb>
    <v>20</v>
  </rv>
  <rv s="10">
    <fb>1602.75</fb>
    <v>20</v>
  </rv>
  <rv s="10">
    <fb>1604.15</fb>
    <v>20</v>
  </rv>
  <rv s="10">
    <fb>1607.5</fb>
    <v>20</v>
  </rv>
  <rv s="10">
    <fb>1643.6</fb>
    <v>20</v>
  </rv>
  <rv s="10">
    <fb>1643.5</fb>
    <v>20</v>
  </rv>
  <rv s="10">
    <fb>1635.55</fb>
    <v>20</v>
  </rv>
  <rv s="10">
    <fb>1658.6</fb>
    <v>20</v>
  </rv>
  <rv s="10">
    <fb>1676.15</fb>
    <v>20</v>
  </rv>
  <rv s="10">
    <fb>1701.4</fb>
    <v>20</v>
  </rv>
  <rv s="10">
    <fb>1719.8</fb>
    <v>20</v>
  </rv>
  <rv s="10">
    <fb>1728.2</fb>
    <v>20</v>
  </rv>
  <rv s="10">
    <fb>1673.3</fb>
    <v>20</v>
  </rv>
  <rv s="10">
    <fb>1675</fb>
    <v>20</v>
  </rv>
  <rv s="10">
    <fb>1660.4</fb>
    <v>20</v>
  </rv>
  <rv s="10">
    <fb>1656.45</fb>
    <v>20</v>
  </rv>
  <rv s="10">
    <fb>1648.4</fb>
    <v>20</v>
  </rv>
  <rv s="10">
    <fb>1632.95</fb>
    <v>20</v>
  </rv>
  <rv s="10">
    <fb>1641.1</fb>
    <v>20</v>
  </rv>
  <rv s="10">
    <fb>1678.9</fb>
    <v>20</v>
  </rv>
  <rv s="10">
    <fb>1677.5</fb>
    <v>20</v>
  </rv>
  <rv s="10">
    <fb>1685.1</fb>
    <v>20</v>
  </rv>
  <rv s="10">
    <fb>1688.75</fb>
    <v>20</v>
  </rv>
  <rv s="10">
    <fb>1675.75</fb>
    <v>20</v>
  </rv>
  <rv s="10">
    <fb>1678.4</fb>
    <v>20</v>
  </rv>
  <rv s="10">
    <fb>1696.6</fb>
    <v>20</v>
  </rv>
  <rv s="10">
    <fb>1690.7</fb>
    <v>20</v>
  </rv>
  <rv s="10">
    <fb>1673.15</fb>
    <v>20</v>
  </rv>
  <rv s="10">
    <fb>1651.2</fb>
    <v>20</v>
  </rv>
  <rv s="10">
    <fb>1662.25</fb>
    <v>20</v>
  </rv>
  <rv s="10">
    <fb>1640.5</fb>
    <v>20</v>
  </rv>
  <rv s="10">
    <fb>1628.65</fb>
    <v>20</v>
  </rv>
  <rv s="10">
    <fb>1652.2</fb>
    <v>20</v>
  </rv>
  <rv s="10">
    <fb>1651.25</fb>
    <v>20</v>
  </rv>
  <rv s="10">
    <fb>1649.9</fb>
    <v>20</v>
  </rv>
  <rv s="10">
    <fb>1650.5</fb>
    <v>20</v>
  </rv>
  <rv s="10">
    <fb>1635.85</fb>
    <v>20</v>
  </rv>
  <rv s="10">
    <fb>1618.8</fb>
    <v>20</v>
  </rv>
  <rv s="10">
    <fb>1610.9</fb>
    <v>20</v>
  </rv>
  <rv s="10">
    <fb>1606.2</fb>
    <v>20</v>
  </rv>
  <rv s="10">
    <fb>1597.3</fb>
    <v>20</v>
  </rv>
  <rv s="10">
    <fb>1590.75</fb>
    <v>20</v>
  </rv>
  <rv s="10">
    <fb>1589.5</fb>
    <v>20</v>
  </rv>
  <rv s="10">
    <fb>1582.7</fb>
    <v>20</v>
  </rv>
  <rv s="10">
    <fb>1586.6</fb>
    <v>20</v>
  </rv>
  <rv s="10">
    <fb>1579.3</fb>
    <v>20</v>
  </rv>
  <rv s="10">
    <fb>1561.5</fb>
    <v>20</v>
  </rv>
  <rv s="10">
    <fb>1577.75</fb>
    <v>20</v>
  </rv>
  <rv s="10">
    <fb>1590.3</fb>
    <v>20</v>
  </rv>
  <rv s="10">
    <fb>1578.7</fb>
    <v>20</v>
  </rv>
  <rv s="10">
    <fb>1571.45</fb>
    <v>20</v>
  </rv>
  <rv s="10">
    <fb>1574.7</fb>
    <v>20</v>
  </rv>
  <rv s="10">
    <fb>1584.55</fb>
    <v>20</v>
  </rv>
  <rv s="10">
    <fb>1574.9</fb>
    <v>20</v>
  </rv>
  <rv s="10">
    <fb>1595.5</fb>
    <v>20</v>
  </rv>
  <rv s="10">
    <fb>1623.4</fb>
    <v>20</v>
  </rv>
  <rv s="10">
    <fb>1631.8</fb>
    <v>20</v>
  </rv>
  <rv s="10">
    <fb>1636.9</fb>
    <v>20</v>
  </rv>
  <rv s="10">
    <fb>1643.9</fb>
    <v>20</v>
  </rv>
  <rv s="10">
    <fb>1642.9</fb>
    <v>20</v>
  </rv>
  <rv s="10">
    <fb>1661.75</fb>
    <v>20</v>
  </rv>
  <rv s="10">
    <fb>1629.05</fb>
    <v>20</v>
  </rv>
  <rv s="10">
    <fb>1563.7</fb>
    <v>20</v>
  </rv>
  <rv s="10">
    <fb>1553.35</fb>
    <v>20</v>
  </rv>
  <rv s="10">
    <fb>1529.65</fb>
    <v>20</v>
  </rv>
  <rv s="10">
    <fb>1531</fb>
    <v>20</v>
  </rv>
  <rv s="10">
    <fb>1537.65</fb>
    <v>20</v>
  </rv>
  <rv s="10">
    <fb>1526.85</fb>
    <v>20</v>
  </rv>
  <rv s="10">
    <fb>1523.7</fb>
    <v>20</v>
  </rv>
  <rv s="10">
    <fb>1526.3</fb>
    <v>20</v>
  </rv>
  <rv s="10">
    <fb>1508.05</fb>
    <v>20</v>
  </rv>
  <rv s="10">
    <fb>1529.55</fb>
    <v>20</v>
  </rv>
  <rv s="10">
    <fb>1535.75</fb>
    <v>20</v>
  </rv>
  <rv s="10">
    <fb>1534.05</fb>
    <v>20</v>
  </rv>
  <rv s="10">
    <fb>1516.25</fb>
    <v>20</v>
  </rv>
  <rv s="10">
    <fb>1524.85</fb>
    <v>20</v>
  </rv>
  <rv s="10">
    <fb>1539.6</fb>
    <v>20</v>
  </rv>
  <rv s="10">
    <fb>1549.85</fb>
    <v>20</v>
  </rv>
  <rv s="10">
    <fb>1529.6</fb>
    <v>20</v>
  </rv>
  <rv s="10">
    <fb>1541.2</fb>
    <v>20</v>
  </rv>
  <rv s="10">
    <fb>1519.75</fb>
    <v>20</v>
  </rv>
  <rv s="10">
    <fb>1514.95</fb>
    <v>20</v>
  </rv>
  <rv s="10">
    <fb>1522.8</fb>
    <v>20</v>
  </rv>
  <rv s="10">
    <fb>1506.05</fb>
    <v>20</v>
  </rv>
  <rv s="10">
    <fb>1496.5</fb>
    <v>20</v>
  </rv>
  <rv s="10">
    <fb>1463.4</fb>
    <v>20</v>
  </rv>
  <rv s="10">
    <fb>1469.15</fb>
    <v>20</v>
  </rv>
  <rv s="10">
    <fb>1485.1</fb>
    <v>20</v>
  </rv>
  <rv s="10">
    <fb>1476.5</fb>
    <v>20</v>
  </rv>
  <rv s="10">
    <fb>1474.5</fb>
    <v>20</v>
  </rv>
  <rv s="10">
    <fb>1476.75</fb>
    <v>20</v>
  </rv>
  <rv s="10">
    <fb>1494.5</fb>
    <v>20</v>
  </rv>
  <rv s="10">
    <fb>1487.25</fb>
    <v>20</v>
  </rv>
  <rv s="10">
    <fb>1491.55</fb>
    <v>20</v>
  </rv>
  <rv s="10">
    <fb>1485.65</fb>
    <v>20</v>
  </rv>
  <rv s="10">
    <fb>1491.5</fb>
    <v>20</v>
  </rv>
  <rv s="10">
    <fb>1500</fb>
    <v>20</v>
  </rv>
  <rv s="10">
    <fb>1488.8</fb>
    <v>20</v>
  </rv>
  <rv s="10">
    <fb>1504.4</fb>
    <v>20</v>
  </rv>
  <rv s="10">
    <fb>1508.35</fb>
    <v>20</v>
  </rv>
  <rv s="10">
    <fb>1505.1</fb>
    <v>20</v>
  </rv>
  <rv s="10">
    <fb>1505.2</fb>
    <v>20</v>
  </rv>
  <rv s="10">
    <fb>1517.95</fb>
    <v>20</v>
  </rv>
  <rv s="10">
    <fb>1512.55</fb>
    <v>20</v>
  </rv>
  <rv s="10">
    <fb>1521.3</fb>
    <v>20</v>
  </rv>
  <rv s="10">
    <fb>1532.1</fb>
    <v>20</v>
  </rv>
  <rv s="10">
    <fb>1528.65</fb>
    <v>20</v>
  </rv>
  <rv s="10">
    <fb>1559.15</fb>
    <v>20</v>
  </rv>
  <rv s="10">
    <fb>1558.8</fb>
    <v>20</v>
  </rv>
  <rv s="10">
    <fb>1555.4</fb>
    <v>20</v>
  </rv>
  <rv s="10">
    <fb>1609.4</fb>
    <v>20</v>
  </rv>
  <rv s="10">
    <fb>1623.7</fb>
    <v>20</v>
  </rv>
  <rv s="10">
    <fb>1627.8</fb>
    <v>20</v>
  </rv>
  <rv s="10">
    <fb>1630.45</fb>
    <v>20</v>
  </rv>
  <rv s="10">
    <fb>1651</fb>
    <v>20</v>
  </rv>
  <rv s="10">
    <fb>1634.6</fb>
    <v>20</v>
  </rv>
  <rv s="10">
    <fb>1630.9</fb>
    <v>20</v>
  </rv>
  <rv s="10">
    <fb>1650.15</fb>
    <v>20</v>
  </rv>
  <rv s="10">
    <fb>1656.55</fb>
    <v>20</v>
  </rv>
  <rv s="10">
    <fb>1655.7</fb>
    <v>20</v>
  </rv>
  <rv s="10">
    <fb>1652.9</fb>
    <v>20</v>
  </rv>
  <rv s="10">
    <fb>1657</fb>
    <v>20</v>
  </rv>
  <rv s="10">
    <fb>1686.7</fb>
    <v>20</v>
  </rv>
  <rv s="10">
    <fb>1670.85</fb>
    <v>20</v>
  </rv>
  <rv s="10">
    <fb>1682.45</fb>
    <v>20</v>
  </rv>
  <rv s="10">
    <fb>1703.3</fb>
    <v>20</v>
  </rv>
  <rv s="10">
    <fb>1705.25</fb>
    <v>20</v>
  </rv>
  <rv s="10">
    <fb>1709.25</fb>
    <v>20</v>
  </rv>
  <rv s="10">
    <fb>1698.1</fb>
    <v>20</v>
  </rv>
  <rv s="10">
    <fb>1699.1</fb>
    <v>20</v>
  </rv>
  <rv s="10">
    <fb>1672.9</fb>
    <v>20</v>
  </rv>
  <rv s="10">
    <fb>1690.85</fb>
    <v>20</v>
  </rv>
  <rv s="10">
    <fb>1682.2</fb>
    <v>20</v>
  </rv>
  <rv s="10">
    <fb>1663.45</fb>
    <v>20</v>
  </rv>
  <rv s="10">
    <fb>1655.95</fb>
    <v>20</v>
  </rv>
  <rv s="10">
    <fb>1649</fb>
    <v>20</v>
  </rv>
  <rv s="10">
    <fb>1641.2</fb>
    <v>20</v>
  </rv>
  <rv s="10">
    <fb>1672.8</fb>
    <v>20</v>
  </rv>
  <rv s="10">
    <fb>1679.15</fb>
    <v>20</v>
  </rv>
  <rv s="10">
    <fb>1537.5</fb>
    <v>20</v>
  </rv>
  <rv s="10">
    <fb>1486.15</fb>
    <v>20</v>
  </rv>
  <rv s="10">
    <fb>1470.65</fb>
    <v>20</v>
  </rv>
  <rv s="10">
    <fb>1478.85</fb>
    <v>20</v>
  </rv>
  <rv s="10">
    <fb>1427.35</fb>
    <v>20</v>
  </rv>
  <rv s="10">
    <fb>1455.9</fb>
    <v>20</v>
  </rv>
  <rv s="10">
    <fb>1434.9</fb>
    <v>20</v>
  </rv>
  <rv s="10">
    <fb>1454.65</fb>
    <v>20</v>
  </rv>
  <rv s="10">
    <fb>1444.3</fb>
    <v>20</v>
  </rv>
  <rv s="10">
    <fb>1462.55</fb>
    <v>20</v>
  </rv>
  <rv s="10">
    <fb>1466.35</fb>
    <v>20</v>
  </rv>
  <rv s="10">
    <fb>1446.15</fb>
    <v>20</v>
  </rv>
  <rv s="10">
    <fb>1444.1</fb>
    <v>20</v>
  </rv>
  <rv s="10">
    <fb>1403.05</fb>
    <v>20</v>
  </rv>
  <rv s="10">
    <fb>1403.6</fb>
    <v>20</v>
  </rv>
  <rv s="10">
    <fb>1390</fb>
    <v>20</v>
  </rv>
  <rv s="10">
    <fb>1394.45</fb>
    <v>20</v>
  </rv>
  <rv s="10">
    <fb>1384.05</fb>
    <v>20</v>
  </rv>
  <rv s="10">
    <fb>1414.05</fb>
    <v>20</v>
  </rv>
  <rv s="10">
    <fb>1419.9</fb>
    <v>20</v>
  </rv>
  <rv s="10">
    <fb>1417.1</fb>
    <v>20</v>
  </rv>
  <rv s="10">
    <fb>1454.3</fb>
    <v>20</v>
  </rv>
  <rv s="10">
    <fb>1439.15</fb>
    <v>20</v>
  </rv>
  <rv s="10">
    <fb>1419.55</fb>
    <v>20</v>
  </rv>
  <rv s="10">
    <fb>1420.6</fb>
    <v>20</v>
  </rv>
  <rv s="10">
    <fb>1422.3</fb>
    <v>20</v>
  </rv>
  <rv s="10">
    <fb>1420.15</fb>
    <v>20</v>
  </rv>
  <rv s="10">
    <fb>1409.4</fb>
    <v>20</v>
  </rv>
  <rv s="10">
    <fb>1403.4</fb>
    <v>20</v>
  </rv>
  <rv s="10">
    <fb>1430.75</fb>
    <v>20</v>
  </rv>
  <rv s="10">
    <fb>1432.7</fb>
    <v>20</v>
  </rv>
  <rv s="10">
    <fb>1440.85</fb>
    <v>20</v>
  </rv>
  <rv s="10">
    <fb>1442.6</fb>
    <v>20</v>
  </rv>
  <rv s="10">
    <fb>1446.1</fb>
    <v>20</v>
  </rv>
  <rv s="10">
    <fb>1427.8</fb>
    <v>20</v>
  </rv>
  <rv s="10">
    <fb>1459.55</fb>
    <v>20</v>
  </rv>
  <rv s="10">
    <fb>1455.45</fb>
    <v>20</v>
  </rv>
  <rv s="10">
    <fb>1452.65</fb>
    <v>20</v>
  </rv>
  <rv s="10">
    <fb>1446.05</fb>
    <v>20</v>
  </rv>
  <rv s="10">
    <fb>1449.35</fb>
    <v>20</v>
  </rv>
  <rv s="10">
    <fb>1431.05</fb>
    <v>20</v>
  </rv>
  <rv s="10">
    <fb>1445.75</fb>
    <v>20</v>
  </rv>
  <rv s="10">
    <fb>1442.85</fb>
    <v>20</v>
  </rv>
  <rv s="10">
    <fb>1425.4</fb>
    <v>20</v>
  </rv>
  <rv s="10">
    <fb>1440.7</fb>
    <v>20</v>
  </rv>
  <rv s="10">
    <fb>1470.5</fb>
    <v>20</v>
  </rv>
  <rv s="10">
    <fb>1480.15</fb>
    <v>20</v>
  </rv>
  <rv s="10">
    <fb>1482.3</fb>
    <v>20</v>
  </rv>
  <rv s="10">
    <fb>1527.6</fb>
    <v>20</v>
  </rv>
  <rv s="10">
    <fb>1549.55</fb>
    <v>20</v>
  </rv>
  <rv s="10">
    <fb>1546.6</fb>
    <v>20</v>
  </rv>
  <rv s="10">
    <fb>1548.55</fb>
    <v>20</v>
  </rv>
  <rv s="10">
    <fb>1536.35</fb>
    <v>20</v>
  </rv>
  <rv s="10">
    <fb>1518.95</fb>
    <v>20</v>
  </rv>
  <rv s="10">
    <fb>1494.7</fb>
    <v>20</v>
  </rv>
  <rv s="10">
    <fb>1509.25</fb>
    <v>20</v>
  </rv>
  <rv s="10">
    <fb>1531.3</fb>
    <v>20</v>
  </rv>
  <rv s="10">
    <fb>1512.2</fb>
    <v>20</v>
  </rv>
  <rv s="10">
    <fb>1507.6</fb>
    <v>20</v>
  </rv>
  <rv s="10">
    <fb>1511.7</fb>
    <v>20</v>
  </rv>
  <rv s="10">
    <fb>1510.75</fb>
    <v>20</v>
  </rv>
  <rv s="10">
    <fb>1509.8</fb>
    <v>20</v>
  </rv>
  <rv s="10">
    <fb>1529.5</fb>
    <v>20</v>
  </rv>
  <rv s="10">
    <fb>64.45</fb>
    <v>20</v>
  </rv>
  <rv s="10">
    <fb>64.900000000000006</fb>
    <v>20</v>
  </rv>
  <rv s="10">
    <fb>67.5</fb>
    <v>20</v>
  </rv>
  <rv s="10">
    <fb>66.599999999999994</fb>
    <v>20</v>
  </rv>
  <rv s="10">
    <fb>66.25</fb>
    <v>20</v>
  </rv>
  <rv s="10">
    <fb>66.650000000000006</fb>
    <v>20</v>
  </rv>
  <rv s="10">
    <fb>66.5</fb>
    <v>20</v>
  </rv>
  <rv s="10">
    <fb>67.400000000000006</fb>
    <v>20</v>
  </rv>
  <rv s="10">
    <fb>66.2</fb>
    <v>20</v>
  </rv>
  <rv s="10">
    <fb>68.05</fb>
    <v>20</v>
  </rv>
  <rv s="10">
    <fb>66.400000000000006</fb>
    <v>20</v>
  </rv>
  <rv s="10">
    <fb>65.55</fb>
    <v>20</v>
  </rv>
  <rv s="10">
    <fb>64.849999999999994</fb>
    <v>20</v>
  </rv>
  <rv s="10">
    <fb>65.25</fb>
    <v>20</v>
  </rv>
  <rv s="10">
    <fb>64.349999999999994</fb>
    <v>20</v>
  </rv>
  <rv s="10">
    <fb>64.150000000000006</fb>
    <v>20</v>
  </rv>
  <rv s="10">
    <fb>63.4</fb>
    <v>20</v>
  </rv>
  <rv s="10">
    <fb>63.35</fb>
    <v>20</v>
  </rv>
  <rv s="10">
    <fb>64.7</fb>
    <v>20</v>
  </rv>
  <rv s="10">
    <fb>64.55</fb>
    <v>20</v>
  </rv>
  <rv s="10">
    <fb>64.650000000000006</fb>
    <v>20</v>
  </rv>
  <rv s="10">
    <fb>67.05</fb>
    <v>20</v>
  </rv>
  <rv s="10">
    <fb>69</fb>
    <v>20</v>
  </rv>
  <rv s="10">
    <fb>68.849999999999994</fb>
    <v>20</v>
  </rv>
  <rv s="10">
    <fb>70.150000000000006</fb>
    <v>20</v>
  </rv>
  <rv s="10">
    <fb>70.400000000000006</fb>
    <v>20</v>
  </rv>
  <rv s="10">
    <fb>70</fb>
    <v>20</v>
  </rv>
  <rv s="10">
    <fb>69.8</fb>
    <v>20</v>
  </rv>
  <rv s="10">
    <fb>68.650000000000006</fb>
    <v>20</v>
  </rv>
  <rv s="10">
    <fb>68.400000000000006</fb>
    <v>20</v>
  </rv>
  <rv s="10">
    <fb>68.5</fb>
    <v>20</v>
  </rv>
  <rv s="10">
    <fb>68.150000000000006</fb>
    <v>20</v>
  </rv>
  <rv s="10">
    <fb>67.650000000000006</fb>
    <v>20</v>
  </rv>
  <rv s="10">
    <fb>65.05</fb>
    <v>20</v>
  </rv>
  <rv s="10">
    <fb>65.5</fb>
    <v>20</v>
  </rv>
  <rv s="10">
    <fb>64.75</fb>
    <v>20</v>
  </rv>
  <rv s="10">
    <fb>64.95</fb>
    <v>20</v>
  </rv>
  <rv s="10">
    <fb>68.25</fb>
    <v>20</v>
  </rv>
  <rv s="10">
    <fb>67.599999999999994</fb>
    <v>20</v>
  </rv>
  <rv s="10">
    <fb>66.7</fb>
    <v>20</v>
  </rv>
  <rv s="10">
    <fb>65.3</fb>
    <v>20</v>
  </rv>
  <rv s="10">
    <fb>65.599999999999994</fb>
    <v>20</v>
  </rv>
  <rv s="10">
    <fb>63.95</fb>
    <v>20</v>
  </rv>
  <rv s="10">
    <fb>64.099999999999994</fb>
    <v>20</v>
  </rv>
  <rv s="10">
    <fb>66</fb>
    <v>20</v>
  </rv>
  <rv s="10">
    <fb>66.05</fb>
    <v>20</v>
  </rv>
  <rv s="10">
    <fb>65</fb>
    <v>20</v>
  </rv>
  <rv s="10">
    <fb>63.7</fb>
    <v>20</v>
  </rv>
  <rv s="10">
    <fb>63.75</fb>
    <v>20</v>
  </rv>
  <rv s="10">
    <fb>63.8</fb>
    <v>20</v>
  </rv>
  <rv s="10">
    <fb>66.150000000000006</fb>
    <v>20</v>
  </rv>
  <rv s="10">
    <fb>65.150000000000006</fb>
    <v>20</v>
  </rv>
  <rv s="10">
    <fb>65.650000000000006</fb>
    <v>20</v>
  </rv>
  <rv s="10">
    <fb>65.45</fb>
    <v>20</v>
  </rv>
  <rv s="10">
    <fb>73.150000000000006</fb>
    <v>20</v>
  </rv>
  <rv s="10">
    <fb>70.2</fb>
    <v>20</v>
  </rv>
  <rv s="10">
    <fb>71.8</fb>
    <v>20</v>
  </rv>
  <rv s="10">
    <fb>69.849999999999994</fb>
    <v>20</v>
  </rv>
  <rv s="10">
    <fb>68.8</fb>
    <v>20</v>
  </rv>
  <rv s="10">
    <fb>67.95</fb>
    <v>20</v>
  </rv>
  <rv s="10">
    <fb>68</fb>
    <v>20</v>
  </rv>
  <rv s="10">
    <fb>67.25</fb>
    <v>20</v>
  </rv>
  <rv s="10">
    <fb>67.8</fb>
    <v>20</v>
  </rv>
  <rv s="10">
    <fb>67.349999999999994</fb>
    <v>20</v>
  </rv>
  <rv s="10">
    <fb>68.95</fb>
    <v>20</v>
  </rv>
  <rv s="10">
    <fb>71.5</fb>
    <v>20</v>
  </rv>
  <rv s="10">
    <fb>71.45</fb>
    <v>20</v>
  </rv>
  <rv s="10">
    <fb>71.400000000000006</fb>
    <v>20</v>
  </rv>
  <rv s="10">
    <fb>72.849999999999994</fb>
    <v>20</v>
  </rv>
  <rv s="10">
    <fb>76.2</fb>
    <v>20</v>
  </rv>
  <rv s="10">
    <fb>74.849999999999994</fb>
    <v>20</v>
  </rv>
  <rv s="10">
    <fb>75.3</fb>
    <v>20</v>
  </rv>
  <rv s="10">
    <fb>79.349999999999994</fb>
    <v>20</v>
  </rv>
  <rv s="10">
    <fb>78.8</fb>
    <v>20</v>
  </rv>
  <rv s="10">
    <fb>77.650000000000006</fb>
    <v>20</v>
  </rv>
  <rv s="10">
    <fb>76.150000000000006</fb>
    <v>20</v>
  </rv>
  <rv s="10">
    <fb>77.3</fb>
    <v>20</v>
  </rv>
  <rv s="10">
    <fb>71.7</fb>
    <v>20</v>
  </rv>
  <rv s="10">
    <fb>73.400000000000006</fb>
    <v>20</v>
  </rv>
  <rv s="10">
    <fb>74</fb>
    <v>20</v>
  </rv>
  <rv s="10">
    <fb>72.900000000000006</fb>
    <v>20</v>
  </rv>
  <rv s="10">
    <fb>74.05</fb>
    <v>20</v>
  </rv>
  <rv s="10">
    <fb>73.900000000000006</fb>
    <v>20</v>
  </rv>
  <rv s="10">
    <fb>73.8</fb>
    <v>20</v>
  </rv>
  <rv s="10">
    <fb>72.3</fb>
    <v>20</v>
  </rv>
  <rv s="10">
    <fb>71.599999999999994</fb>
    <v>20</v>
  </rv>
  <rv s="10">
    <fb>75.95</fb>
    <v>20</v>
  </rv>
  <rv s="10">
    <fb>76</fb>
    <v>20</v>
  </rv>
  <rv s="10">
    <fb>77.150000000000006</fb>
    <v>20</v>
  </rv>
  <rv s="10">
    <fb>77.5</fb>
    <v>20</v>
  </rv>
  <rv s="10">
    <fb>75</fb>
    <v>20</v>
  </rv>
  <rv s="10">
    <fb>75.349999999999994</fb>
    <v>20</v>
  </rv>
  <rv s="10">
    <fb>72.150000000000006</fb>
    <v>20</v>
  </rv>
  <rv s="10">
    <fb>73.05</fb>
    <v>20</v>
  </rv>
  <rv s="10">
    <fb>74.55</fb>
    <v>20</v>
  </rv>
  <rv s="10">
    <fb>75.8</fb>
    <v>20</v>
  </rv>
  <rv s="10">
    <fb>74.400000000000006</fb>
    <v>20</v>
  </rv>
  <rv s="10">
    <fb>72.95</fb>
    <v>20</v>
  </rv>
  <rv s="10">
    <fb>73</fb>
    <v>20</v>
  </rv>
  <rv s="10">
    <fb>63.65</fb>
    <v>20</v>
  </rv>
  <rv s="10">
    <fb>64.599999999999994</fb>
    <v>20</v>
  </rv>
  <rv s="10">
    <fb>65.2</fb>
    <v>20</v>
  </rv>
  <rv s="10">
    <fb>65.849999999999994</fb>
    <v>20</v>
  </rv>
  <rv s="10">
    <fb>66.099999999999994</fb>
    <v>20</v>
  </rv>
  <rv s="10">
    <fb>65.7</fb>
    <v>20</v>
  </rv>
  <rv s="10">
    <fb>65.900000000000006</fb>
    <v>20</v>
  </rv>
  <rv s="10">
    <fb>68.349999999999994</fb>
    <v>20</v>
  </rv>
  <rv s="10">
    <fb>69.599999999999994</fb>
    <v>20</v>
  </rv>
  <rv s="10">
    <fb>68.2</fb>
    <v>20</v>
  </rv>
  <rv s="10">
    <fb>66.55</fb>
    <v>20</v>
  </rv>
  <rv s="10">
    <fb>66.95</fb>
    <v>20</v>
  </rv>
  <rv s="10">
    <fb>66.75</fb>
    <v>20</v>
  </rv>
  <rv s="10">
    <fb>66.900000000000006</fb>
    <v>20</v>
  </rv>
  <rv s="10">
    <fb>67.7</fb>
    <v>20</v>
  </rv>
  <rv s="10">
    <fb>66.849999999999994</fb>
    <v>20</v>
  </rv>
  <rv s="10">
    <fb>66.45</fb>
    <v>20</v>
  </rv>
  <rv s="10">
    <fb>70.349999999999994</fb>
    <v>20</v>
  </rv>
  <rv s="10">
    <fb>68.3</fb>
    <v>20</v>
  </rv>
  <rv s="10">
    <fb>68.45</fb>
    <v>20</v>
  </rv>
  <rv s="10">
    <fb>67.75</fb>
    <v>20</v>
  </rv>
  <rv s="10">
    <fb>74.099999999999994</fb>
    <v>20</v>
  </rv>
  <rv s="10">
    <fb>78.099999999999994</fb>
    <v>20</v>
  </rv>
  <rv s="10">
    <fb>81.05</fb>
    <v>20</v>
  </rv>
  <rv s="10">
    <fb>82</fb>
    <v>20</v>
  </rv>
  <rv s="10">
    <fb>85.8</fb>
    <v>20</v>
  </rv>
  <rv s="10">
    <fb>84.1</fb>
    <v>20</v>
  </rv>
  <rv s="10">
    <fb>82.75</fb>
    <v>20</v>
  </rv>
  <rv s="10">
    <fb>84.15</fb>
    <v>20</v>
  </rv>
  <rv s="10">
    <fb>84.55</fb>
    <v>20</v>
  </rv>
  <rv s="10">
    <fb>85.2</fb>
    <v>20</v>
  </rv>
  <rv s="10">
    <fb>88.05</fb>
    <v>20</v>
  </rv>
  <rv s="10">
    <fb>91.25</fb>
    <v>20</v>
  </rv>
  <rv s="10">
    <fb>91.95</fb>
    <v>20</v>
  </rv>
  <rv s="10">
    <fb>91.8</fb>
    <v>20</v>
  </rv>
  <rv s="10">
    <fb>90.6</fb>
    <v>20</v>
  </rv>
  <rv s="10">
    <fb>89</fb>
    <v>20</v>
  </rv>
  <rv s="10">
    <fb>89.2</fb>
    <v>20</v>
  </rv>
  <rv s="10">
    <fb>87.7</fb>
    <v>20</v>
  </rv>
  <rv s="10">
    <fb>88.4</fb>
    <v>20</v>
  </rv>
  <rv s="10">
    <fb>86.1</fb>
    <v>20</v>
  </rv>
  <rv s="10">
    <fb>84</fb>
    <v>20</v>
  </rv>
  <rv s="10">
    <fb>84.6</fb>
    <v>20</v>
  </rv>
  <rv s="10">
    <fb>88.55</fb>
    <v>20</v>
  </rv>
  <rv s="10">
    <fb>99.7</fb>
    <v>20</v>
  </rv>
  <rv s="10">
    <fb>93.65</fb>
    <v>20</v>
  </rv>
  <rv s="10">
    <fb>105.65</fb>
    <v>20</v>
  </rv>
  <rv s="10">
    <fb>105.75</fb>
    <v>20</v>
  </rv>
  <rv s="10">
    <fb>103.25</fb>
    <v>20</v>
  </rv>
  <rv s="10">
    <fb>101.05</fb>
    <v>20</v>
  </rv>
  <rv s="10">
    <fb>103.1</fb>
    <v>20</v>
  </rv>
  <rv s="10">
    <fb>103.45</fb>
    <v>20</v>
  </rv>
  <rv s="10">
    <fb>96.8</fb>
    <v>20</v>
  </rv>
  <rv s="10">
    <fb>98.25</fb>
    <v>20</v>
  </rv>
  <rv s="10">
    <fb>103.5</fb>
    <v>20</v>
  </rv>
  <rv s="10">
    <fb>105.8</fb>
    <v>20</v>
  </rv>
  <rv s="10">
    <fb>107.05</fb>
    <v>20</v>
  </rv>
  <rv s="10">
    <fb>102.1</fb>
    <v>20</v>
  </rv>
  <rv s="10">
    <fb>94.05</fb>
    <v>20</v>
  </rv>
  <rv s="10">
    <fb>96.7</fb>
    <v>20</v>
  </rv>
  <rv s="10">
    <fb>99.55</fb>
    <v>20</v>
  </rv>
  <rv s="10">
    <fb>101.7</fb>
    <v>20</v>
  </rv>
  <rv s="10">
    <fb>100.4</fb>
    <v>20</v>
  </rv>
  <rv s="10">
    <fb>107.3</fb>
    <v>20</v>
  </rv>
  <rv s="10">
    <fb>110.85</fb>
    <v>20</v>
  </rv>
  <rv s="10">
    <fb>112.2</fb>
    <v>20</v>
  </rv>
  <rv s="10">
    <fb>115.15</fb>
    <v>20</v>
  </rv>
  <rv s="10">
    <fb>115.1</fb>
    <v>20</v>
  </rv>
  <rv s="10">
    <fb>112.75</fb>
    <v>20</v>
  </rv>
  <rv s="10">
    <fb>104.85</fb>
    <v>20</v>
  </rv>
  <rv s="10">
    <fb>108.5</fb>
    <v>20</v>
  </rv>
  <rv s="10">
    <fb>110.55</fb>
    <v>20</v>
  </rv>
  <rv s="10">
    <fb>102.55</fb>
    <v>20</v>
  </rv>
  <rv s="10">
    <fb>95.7</fb>
    <v>20</v>
  </rv>
  <rv s="10">
    <fb>92.65</fb>
    <v>20</v>
  </rv>
  <rv s="10">
    <fb>83.7</fb>
    <v>20</v>
  </rv>
  <rv s="10">
    <fb>90.65</fb>
    <v>20</v>
  </rv>
  <rv s="10">
    <fb>90.1</fb>
    <v>20</v>
  </rv>
  <rv s="10">
    <fb>87.35</fb>
    <v>20</v>
  </rv>
  <rv s="10">
    <fb>87.45</fb>
    <v>20</v>
  </rv>
  <rv s="10">
    <fb>89.1</fb>
    <v>20</v>
  </rv>
  <rv s="10">
    <fb>92.1</fb>
    <v>20</v>
  </rv>
  <rv s="10">
    <fb>90.55</fb>
    <v>20</v>
  </rv>
  <rv s="10">
    <fb>92.95</fb>
    <v>20</v>
  </rv>
  <rv s="10">
    <fb>98.6</fb>
    <v>20</v>
  </rv>
  <rv s="10">
    <fb>99.05</fb>
    <v>20</v>
  </rv>
  <rv s="10">
    <fb>97.4</fb>
    <v>20</v>
  </rv>
  <rv s="10">
    <fb>97</fb>
    <v>20</v>
  </rv>
  <rv s="10">
    <fb>97.05</fb>
    <v>20</v>
  </rv>
  <rv s="10">
    <fb>96.5</fb>
    <v>20</v>
  </rv>
  <rv s="10">
    <fb>99</fb>
    <v>20</v>
  </rv>
  <rv s="10">
    <fb>94.65</fb>
    <v>20</v>
  </rv>
  <rv s="10">
    <fb>94.15</fb>
    <v>20</v>
  </rv>
  <rv s="10">
    <fb>92.3</fb>
    <v>20</v>
  </rv>
  <rv s="10">
    <fb>95.1</fb>
    <v>20</v>
  </rv>
  <rv s="10">
    <fb>96.3</fb>
    <v>20</v>
  </rv>
  <rv s="10">
    <fb>96.35</fb>
    <v>20</v>
  </rv>
  <rv s="10">
    <fb>97.1</fb>
    <v>20</v>
  </rv>
  <rv s="10">
    <fb>95.8</fb>
    <v>20</v>
  </rv>
  <rv s="10">
    <fb>97.95</fb>
    <v>20</v>
  </rv>
  <rv s="10">
    <fb>2451.6999999999998</fb>
    <v>20</v>
  </rv>
  <rv s="10">
    <fb>2486</fb>
    <v>20</v>
  </rv>
  <rv s="10">
    <fb>2506.75</fb>
    <v>20</v>
  </rv>
  <rv s="10">
    <fb>2500.75</fb>
    <v>20</v>
  </rv>
  <rv s="10">
    <fb>2516.3000000000002</fb>
    <v>20</v>
  </rv>
  <rv s="10">
    <fb>2515.8000000000002</fb>
    <v>20</v>
  </rv>
  <rv s="10">
    <fb>2522.6999999999998</fb>
    <v>20</v>
  </rv>
  <rv s="10">
    <fb>2592.4</fb>
    <v>20</v>
  </rv>
  <rv s="10">
    <fb>2623.4</fb>
    <v>20</v>
  </rv>
  <rv s="10">
    <fb>2662.25</fb>
    <v>20</v>
  </rv>
  <rv s="10">
    <fb>2675.9</fb>
    <v>20</v>
  </rv>
  <rv s="10">
    <fb>2661.75</fb>
    <v>20</v>
  </rv>
  <rv s="10">
    <fb>2627.55</fb>
    <v>20</v>
  </rv>
  <rv s="10">
    <fb>2641.45</fb>
    <v>20</v>
  </rv>
  <rv s="10">
    <fb>2638.1</fb>
    <v>20</v>
  </rv>
  <rv s="10">
    <fb>2628.3</fb>
    <v>20</v>
  </rv>
  <rv s="10">
    <fb>2614.9499999999998</fb>
    <v>20</v>
  </rv>
  <rv s="10">
    <fb>2597.25</fb>
    <v>20</v>
  </rv>
  <rv s="10">
    <fb>2652.35</fb>
    <v>20</v>
  </rv>
  <rv s="10">
    <fb>2650.3</fb>
    <v>20</v>
  </rv>
  <rv s="10">
    <fb>2656.55</fb>
    <v>20</v>
  </rv>
  <rv s="10">
    <fb>2667.55</fb>
    <v>20</v>
  </rv>
  <rv s="10">
    <fb>2697.9</fb>
    <v>20</v>
  </rv>
  <rv s="10">
    <fb>2716.7</fb>
    <v>20</v>
  </rv>
  <rv s="10">
    <fb>2695.8</fb>
    <v>20</v>
  </rv>
  <rv s="10">
    <fb>2691.15</fb>
    <v>20</v>
  </rv>
  <rv s="10">
    <fb>2716.2</fb>
    <v>20</v>
  </rv>
  <rv s="10">
    <fb>2679.9</fb>
    <v>20</v>
  </rv>
  <rv s="10">
    <fb>2636.2</fb>
    <v>20</v>
  </rv>
  <rv s="10">
    <fb>2643.45</fb>
    <v>20</v>
  </rv>
  <rv s="10">
    <fb>2698.75</fb>
    <v>20</v>
  </rv>
  <rv s="10">
    <fb>2689.7</fb>
    <v>20</v>
  </rv>
  <rv s="10">
    <fb>2715.65</fb>
    <v>20</v>
  </rv>
  <rv s="10">
    <fb>2683.25</fb>
    <v>20</v>
  </rv>
  <rv s="10">
    <fb>2676.1</fb>
    <v>20</v>
  </rv>
  <rv s="10">
    <fb>2676.6</fb>
    <v>20</v>
  </rv>
  <rv s="10">
    <fb>2654.35</fb>
    <v>20</v>
  </rv>
  <rv s="10">
    <fb>2641.6</fb>
    <v>20</v>
  </rv>
  <rv s="10">
    <fb>2651.35</fb>
    <v>20</v>
  </rv>
  <rv s="10">
    <fb>2661.25</fb>
    <v>20</v>
  </rv>
  <rv s="10">
    <fb>2678.15</fb>
    <v>20</v>
  </rv>
  <rv s="10">
    <fb>2701.05</fb>
    <v>20</v>
  </rv>
  <rv s="10">
    <fb>2700</fb>
    <v>20</v>
  </rv>
  <rv s="10">
    <fb>2755.85</fb>
    <v>20</v>
  </rv>
  <rv s="10">
    <fb>2757.1</fb>
    <v>20</v>
  </rv>
  <rv s="10">
    <fb>2698.1</fb>
    <v>20</v>
  </rv>
  <rv s="10">
    <fb>2684.5</fb>
    <v>20</v>
  </rv>
  <rv s="10">
    <fb>2673.65</fb>
    <v>20</v>
  </rv>
  <rv s="10">
    <fb>2654.7</fb>
    <v>20</v>
  </rv>
  <rv s="10">
    <fb>2676.9</fb>
    <v>20</v>
  </rv>
  <rv s="10">
    <fb>2681.7</fb>
    <v>20</v>
  </rv>
  <rv s="10">
    <fb>2682.8</fb>
    <v>20</v>
  </rv>
  <rv s="10">
    <fb>2671.6</fb>
    <v>20</v>
  </rv>
  <rv s="10">
    <fb>2703.25</fb>
    <v>20</v>
  </rv>
  <rv s="10">
    <fb>2604</fb>
    <v>20</v>
  </rv>
  <rv s="10">
    <fb>2580.25</fb>
    <v>20</v>
  </rv>
  <rv s="10">
    <fb>2568.15</fb>
    <v>20</v>
  </rv>
  <rv s="10">
    <fb>2583.3000000000002</fb>
    <v>20</v>
  </rv>
  <rv s="10">
    <fb>2569.85</fb>
    <v>20</v>
  </rv>
  <rv s="10">
    <fb>2584.6</fb>
    <v>20</v>
  </rv>
  <rv s="10">
    <fb>2560.8000000000002</fb>
    <v>20</v>
  </rv>
  <rv s="10">
    <fb>2551.1</fb>
    <v>20</v>
  </rv>
  <rv s="10">
    <fb>2568.9499999999998</fb>
    <v>20</v>
  </rv>
  <rv s="10">
    <fb>2551.3000000000002</fb>
    <v>20</v>
  </rv>
  <rv s="10">
    <fb>2546</fb>
    <v>20</v>
  </rv>
  <rv s="10">
    <fb>2569.1999999999998</fb>
    <v>20</v>
  </rv>
  <rv s="10">
    <fb>2565.85</fb>
    <v>20</v>
  </rv>
  <rv s="10">
    <fb>2552.1999999999998</fb>
    <v>20</v>
  </rv>
  <rv s="10">
    <fb>2536.6999999999998</fb>
    <v>20</v>
  </rv>
  <rv s="10">
    <fb>2501.8000000000002</fb>
    <v>20</v>
  </rv>
  <rv s="10">
    <fb>2533.1</fb>
    <v>20</v>
  </rv>
  <rv s="10">
    <fb>2552.6</fb>
    <v>20</v>
  </rv>
  <rv s="10">
    <fb>2543.25</fb>
    <v>20</v>
  </rv>
  <rv s="10">
    <fb>2554.75</fb>
    <v>20</v>
  </rv>
  <rv s="10">
    <fb>2562.75</fb>
    <v>20</v>
  </rv>
  <rv s="10">
    <fb>2565.8000000000002</fb>
    <v>20</v>
  </rv>
  <rv s="10">
    <fb>2574.0500000000002</fb>
    <v>20</v>
  </rv>
  <rv s="10">
    <fb>2581.25</fb>
    <v>20</v>
  </rv>
  <rv s="10">
    <fb>2563.5500000000002</fb>
    <v>20</v>
  </rv>
  <rv s="10">
    <fb>2555.6999999999998</fb>
    <v>20</v>
  </rv>
  <rv s="10">
    <fb>2526.15</fb>
    <v>20</v>
  </rv>
  <rv s="10">
    <fb>2531.9499999999998</fb>
    <v>20</v>
  </rv>
  <rv s="10">
    <fb>2505.0500000000002</fb>
    <v>20</v>
  </rv>
  <rv s="10">
    <fb>2504.8000000000002</fb>
    <v>20</v>
  </rv>
  <rv s="10">
    <fb>2501.4</fb>
    <v>20</v>
  </rv>
  <rv s="10">
    <fb>2507.0500000000002</fb>
    <v>20</v>
  </rv>
  <rv s="10">
    <fb>2523.5</fb>
    <v>20</v>
  </rv>
  <rv s="10">
    <fb>2507.4499999999998</fb>
    <v>20</v>
  </rv>
  <rv s="10">
    <fb>2513.8000000000002</fb>
    <v>20</v>
  </rv>
  <rv s="10">
    <fb>2536.25</fb>
    <v>20</v>
  </rv>
  <rv s="10">
    <fb>2498.85</fb>
    <v>20</v>
  </rv>
  <rv s="10">
    <fb>2506.5500000000002</fb>
    <v>20</v>
  </rv>
  <rv s="10">
    <fb>2469.6999999999998</fb>
    <v>20</v>
  </rv>
  <rv s="10">
    <fb>2488.65</fb>
    <v>20</v>
  </rv>
  <rv s="10">
    <fb>2466.85</fb>
    <v>20</v>
  </rv>
  <rv s="10">
    <fb>2473.35</fb>
    <v>20</v>
  </rv>
  <rv s="10">
    <fb>2482.4499999999998</fb>
    <v>20</v>
  </rv>
  <rv s="10">
    <fb>2475.85</fb>
    <v>20</v>
  </rv>
  <rv s="10">
    <fb>2478.9499999999998</fb>
    <v>20</v>
  </rv>
  <rv s="10">
    <fb>2460.35</fb>
    <v>20</v>
  </rv>
  <rv s="10">
    <fb>2465.6</fb>
    <v>20</v>
  </rv>
  <rv s="10">
    <fb>2468.9</fb>
    <v>20</v>
  </rv>
  <rv s="10">
    <fb>2507.85</fb>
    <v>20</v>
  </rv>
  <rv s="10">
    <fb>2519.5500000000002</fb>
    <v>20</v>
  </rv>
  <rv s="10">
    <fb>2499.4</fb>
    <v>20</v>
  </rv>
  <rv s="10">
    <fb>2511.3000000000002</fb>
    <v>20</v>
  </rv>
  <rv s="10">
    <fb>2516.1999999999998</fb>
    <v>20</v>
  </rv>
  <rv s="10">
    <fb>2556.4</fb>
    <v>20</v>
  </rv>
  <rv s="10">
    <fb>2557</fb>
    <v>20</v>
  </rv>
  <rv s="10">
    <fb>2569.4499999999998</fb>
    <v>20</v>
  </rv>
  <rv s="10">
    <fb>2558.3000000000002</fb>
    <v>20</v>
  </rv>
  <rv s="10">
    <fb>2556.15</fb>
    <v>20</v>
  </rv>
  <rv s="10">
    <fb>2548.25</fb>
    <v>20</v>
  </rv>
  <rv s="10">
    <fb>2548.1</fb>
    <v>20</v>
  </rv>
  <rv s="10">
    <fb>2495.15</fb>
    <v>20</v>
  </rv>
  <rv s="10">
    <fb>2483.5</fb>
    <v>20</v>
  </rv>
  <rv s="10">
    <fb>2477.3000000000002</fb>
    <v>20</v>
  </rv>
  <rv s="10">
    <fb>2476.4</fb>
    <v>20</v>
  </rv>
  <rv s="10">
    <fb>2482.0500000000002</fb>
    <v>20</v>
  </rv>
  <rv s="10">
    <fb>2478.9</fb>
    <v>20</v>
  </rv>
  <rv s="10">
    <fb>2484</fb>
    <v>20</v>
  </rv>
  <rv s="10">
    <fb>2472.25</fb>
    <v>20</v>
  </rv>
  <rv s="10">
    <fb>2486.8000000000002</fb>
    <v>20</v>
  </rv>
  <rv s="10">
    <fb>2509.25</fb>
    <v>20</v>
  </rv>
  <rv s="10">
    <fb>2497.4</fb>
    <v>20</v>
  </rv>
  <rv s="10">
    <fb>2496.4499999999998</fb>
    <v>20</v>
  </rv>
  <rv s="10">
    <fb>2519.35</fb>
    <v>20</v>
  </rv>
  <rv s="10">
    <fb>2476.6999999999998</fb>
    <v>20</v>
  </rv>
  <rv s="10">
    <fb>2486.5500000000002</fb>
    <v>20</v>
  </rv>
  <rv s="10">
    <fb>2491.5500000000002</fb>
    <v>20</v>
  </rv>
  <rv s="10">
    <fb>2478.15</fb>
    <v>20</v>
  </rv>
  <rv s="10">
    <fb>2486.4</fb>
    <v>20</v>
  </rv>
  <rv s="10">
    <fb>2491.1999999999998</fb>
    <v>20</v>
  </rv>
  <rv s="10">
    <fb>2528.8000000000002</fb>
    <v>20</v>
  </rv>
  <rv s="10">
    <fb>2506.4499999999998</fb>
    <v>20</v>
  </rv>
  <rv s="10">
    <fb>2505.25</fb>
    <v>20</v>
  </rv>
  <rv s="10">
    <fb>2521.9</fb>
    <v>20</v>
  </rv>
  <rv s="10">
    <fb>2519.9</fb>
    <v>20</v>
  </rv>
  <rv s="10">
    <fb>2515.1999999999998</fb>
    <v>20</v>
  </rv>
  <rv s="10">
    <fb>2525.0500000000002</fb>
    <v>20</v>
  </rv>
  <rv s="10">
    <fb>2545.5500000000002</fb>
    <v>20</v>
  </rv>
  <rv s="10">
    <fb>2563.65</fb>
    <v>20</v>
  </rv>
  <rv s="10">
    <fb>2602.3000000000002</fb>
    <v>20</v>
  </rv>
  <rv s="10">
    <fb>2563.25</fb>
    <v>20</v>
  </rv>
  <rv s="10">
    <fb>2567.65</fb>
    <v>20</v>
  </rv>
  <rv s="10">
    <fb>2518.25</fb>
    <v>20</v>
  </rv>
  <rv s="10">
    <fb>2522.3000000000002</fb>
    <v>20</v>
  </rv>
  <rv s="10">
    <fb>2503.65</fb>
    <v>20</v>
  </rv>
  <rv s="10">
    <fb>2502.75</fb>
    <v>20</v>
  </rv>
  <rv s="10">
    <fb>2511.9</fb>
    <v>20</v>
  </rv>
  <rv s="10">
    <fb>2516.35</fb>
    <v>20</v>
  </rv>
  <rv s="10">
    <fb>2522.9</fb>
    <v>20</v>
  </rv>
  <rv s="10">
    <fb>2535.5</fb>
    <v>20</v>
  </rv>
  <rv s="10">
    <fb>2560.6999999999998</fb>
    <v>20</v>
  </rv>
  <rv s="10">
    <fb>2557.5</fb>
    <v>20</v>
  </rv>
  <rv s="10">
    <fb>2553.1999999999998</fb>
    <v>20</v>
  </rv>
  <rv s="10">
    <fb>2575.6</fb>
    <v>20</v>
  </rv>
  <rv s="10">
    <fb>2584.75</fb>
    <v>20</v>
  </rv>
  <rv s="10">
    <fb>2608.3000000000002</fb>
    <v>20</v>
  </rv>
  <rv s="10">
    <fb>2633.8</fb>
    <v>20</v>
  </rv>
  <rv s="10">
    <fb>2663.95</fb>
    <v>20</v>
  </rv>
  <rv s="10">
    <fb>2654.75</fb>
    <v>20</v>
  </rv>
  <rv s="10">
    <fb>2613.8000000000002</fb>
    <v>20</v>
  </rv>
  <rv s="10">
    <fb>2606.5500000000002</fb>
    <v>20</v>
  </rv>
  <rv s="10">
    <fb>2592.5500000000002</fb>
    <v>20</v>
  </rv>
  <rv s="10">
    <fb>2620.0500000000002</fb>
    <v>20</v>
  </rv>
  <rv s="10">
    <fb>2578.25</fb>
    <v>20</v>
  </rv>
  <rv s="10">
    <fb>2579.75</fb>
    <v>20</v>
  </rv>
  <rv s="10">
    <fb>2577.4</fb>
    <v>20</v>
  </rv>
  <rv s="10">
    <fb>2536.1999999999998</fb>
    <v>20</v>
  </rv>
  <rv s="10">
    <fb>2544</fb>
    <v>20</v>
  </rv>
  <rv s="10">
    <fb>2573.1999999999998</fb>
    <v>20</v>
  </rv>
  <rv s="10">
    <fb>2569.1</fb>
    <v>20</v>
  </rv>
  <rv s="10">
    <fb>2548</fb>
    <v>20</v>
  </rv>
  <rv s="10">
    <fb>2565.4</fb>
    <v>20</v>
  </rv>
  <rv s="10">
    <fb>2375.5500000000002</fb>
    <v>20</v>
  </rv>
  <rv s="10">
    <fb>2441.65</fb>
    <v>20</v>
  </rv>
  <rv s="10">
    <fb>2428.3000000000002</fb>
    <v>20</v>
  </rv>
  <rv s="10">
    <fb>2444.4</fb>
    <v>20</v>
  </rv>
  <rv s="10">
    <fb>2458.65</fb>
    <v>20</v>
  </rv>
  <rv s="10">
    <fb>2481.5500000000002</fb>
    <v>20</v>
  </rv>
  <rv s="10">
    <fb>2473.6</fb>
    <v>20</v>
  </rv>
  <rv s="10">
    <fb>2452.6</fb>
    <v>20</v>
  </rv>
  <rv s="10">
    <fb>2419.5</fb>
    <v>20</v>
  </rv>
  <rv s="10">
    <fb>2426.35</fb>
    <v>20</v>
  </rv>
  <rv s="10">
    <fb>2425.4499999999998</fb>
    <v>20</v>
  </rv>
  <rv s="10">
    <fb>2417.0500000000002</fb>
    <v>20</v>
  </rv>
  <rv s="10">
    <fb>2424.15</fb>
    <v>20</v>
  </rv>
  <rv s="10">
    <fb>2385.65</fb>
    <v>20</v>
  </rv>
  <rv s="10">
    <fb>2394</fb>
    <v>20</v>
  </rv>
  <rv s="10">
    <fb>2387.9499999999998</fb>
    <v>20</v>
  </rv>
  <rv s="10">
    <fb>2350.85</fb>
    <v>20</v>
  </rv>
  <rv s="10">
    <fb>2375.25</fb>
    <v>20</v>
  </rv>
  <rv s="10">
    <fb>2387.15</fb>
    <v>20</v>
  </rv>
  <rv s="10">
    <fb>2404.1</fb>
    <v>20</v>
  </rv>
  <rv s="10">
    <fb>2407.1</fb>
    <v>20</v>
  </rv>
  <rv s="10">
    <fb>2388.1</fb>
    <v>20</v>
  </rv>
  <rv s="10">
    <fb>2394.1</fb>
    <v>20</v>
  </rv>
  <rv s="10">
    <fb>2404.25</fb>
    <v>20</v>
  </rv>
  <rv s="10">
    <fb>2405.3000000000002</fb>
    <v>20</v>
  </rv>
  <rv s="10">
    <fb>2421.5500000000002</fb>
    <v>20</v>
  </rv>
  <rv s="10">
    <fb>2412.3000000000002</fb>
    <v>20</v>
  </rv>
  <rv s="10">
    <fb>2409.6999999999998</fb>
    <v>20</v>
  </rv>
  <rv s="10">
    <fb>2416.1999999999998</fb>
    <v>20</v>
  </rv>
  <rv s="10">
    <fb>2422</fb>
    <v>20</v>
  </rv>
  <rv s="10">
    <fb>2399.85</fb>
    <v>20</v>
  </rv>
  <rv s="10">
    <fb>2400.8000000000002</fb>
    <v>20</v>
  </rv>
  <rv s="10">
    <fb>2419.5500000000002</fb>
    <v>20</v>
  </rv>
  <rv s="10">
    <fb>2389.85</fb>
    <v>20</v>
  </rv>
  <rv s="10">
    <fb>2378.15</fb>
    <v>20</v>
  </rv>
  <rv s="10">
    <fb>2312.6</fb>
    <v>20</v>
  </rv>
  <rv s="10">
    <fb>2334.6</fb>
    <v>20</v>
  </rv>
  <rv s="10">
    <fb>2327.6999999999998</fb>
    <v>20</v>
  </rv>
  <rv s="10">
    <fb>2299.9499999999998</fb>
    <v>20</v>
  </rv>
  <rv s="10">
    <fb>2266.9499999999998</fb>
    <v>20</v>
  </rv>
  <rv s="10">
    <fb>2241.9499999999998</fb>
    <v>20</v>
  </rv>
  <rv s="10">
    <fb>2242.35</fb>
    <v>20</v>
  </rv>
  <rv s="10">
    <fb>2256.5500000000002</fb>
    <v>20</v>
  </rv>
  <rv s="10">
    <fb>2240</fb>
    <v>20</v>
  </rv>
  <rv s="10">
    <fb>2239.6999999999998</fb>
    <v>20</v>
  </rv>
  <rv s="10">
    <fb>2264.35</fb>
    <v>20</v>
  </rv>
  <rv s="10">
    <fb>2285.9</fb>
    <v>20</v>
  </rv>
  <rv s="10">
    <fb>2286.6999999999998</fb>
    <v>20</v>
  </rv>
  <rv s="10">
    <fb>2265.1999999999998</fb>
    <v>20</v>
  </rv>
  <rv s="10">
    <fb>2264.9499999999998</fb>
    <v>20</v>
  </rv>
  <rv s="10">
    <fb>2268.9499999999998</fb>
    <v>20</v>
  </rv>
  <rv s="10">
    <fb>2264.15</fb>
    <v>20</v>
  </rv>
  <rv s="10">
    <fb>2260.9</fb>
    <v>20</v>
  </rv>
  <rv s="10">
    <fb>2232.3000000000002</fb>
    <v>20</v>
  </rv>
  <rv s="10">
    <fb>2194.0500000000002</fb>
    <v>20</v>
  </rv>
  <rv s="10">
    <fb>2220.8000000000002</fb>
    <v>20</v>
  </rv>
  <rv s="10">
    <fb>2214.8000000000002</fb>
    <v>20</v>
  </rv>
  <rv s="10">
    <fb>2231.6</fb>
    <v>20</v>
  </rv>
  <rv s="10">
    <fb>2241.5</fb>
    <v>20</v>
  </rv>
  <rv s="10">
    <fb>2262.75</fb>
    <v>20</v>
  </rv>
  <rv s="10">
    <fb>2230.85</fb>
    <v>20</v>
  </rv>
  <rv s="10">
    <fb>2222.65</fb>
    <v>20</v>
  </rv>
  <rv s="10">
    <fb>2226.1</fb>
    <v>20</v>
  </rv>
  <rv s="10">
    <fb>91.9</fb>
    <v>20</v>
  </rv>
  <rv s="10">
    <fb>93.3</fb>
    <v>20</v>
  </rv>
  <rv s="10">
    <fb>92.15</fb>
    <v>20</v>
  </rv>
  <rv s="10">
    <fb>91.5</fb>
    <v>20</v>
  </rv>
  <rv s="10">
    <fb>90.25</fb>
    <v>20</v>
  </rv>
  <rv s="10">
    <fb>93.45</fb>
    <v>20</v>
  </rv>
  <rv s="10">
    <fb>94.7</fb>
    <v>20</v>
  </rv>
  <rv s="10">
    <fb>95.25</fb>
    <v>20</v>
  </rv>
  <rv s="10">
    <fb>94.45</fb>
    <v>20</v>
  </rv>
  <rv s="10">
    <fb>93.35</fb>
    <v>20</v>
  </rv>
  <rv s="10">
    <fb>94</fb>
    <v>20</v>
  </rv>
  <rv s="10">
    <fb>94.6</fb>
    <v>20</v>
  </rv>
  <rv s="10">
    <fb>95.85</fb>
    <v>20</v>
  </rv>
  <rv s="10">
    <fb>95.5</fb>
    <v>20</v>
  </rv>
  <rv s="10">
    <fb>93.1</fb>
    <v>20</v>
  </rv>
  <rv s="10">
    <fb>93.4</fb>
    <v>20</v>
  </rv>
  <rv s="10">
    <fb>94.25</fb>
    <v>20</v>
  </rv>
  <rv s="10">
    <fb>98.85</fb>
    <v>20</v>
  </rv>
  <rv s="10">
    <fb>99.2</fb>
    <v>20</v>
  </rv>
  <rv s="10">
    <fb>100.2</fb>
    <v>20</v>
  </rv>
  <rv s="10">
    <fb>100.45</fb>
    <v>20</v>
  </rv>
  <rv s="10">
    <fb>98.35</fb>
    <v>20</v>
  </rv>
  <rv s="10">
    <fb>99.1</fb>
    <v>20</v>
  </rv>
  <rv s="10">
    <fb>100.95</fb>
    <v>20</v>
  </rv>
  <rv s="10">
    <fb>105.9</fb>
    <v>20</v>
  </rv>
  <rv s="10">
    <fb>106.15</fb>
    <v>20</v>
  </rv>
  <rv s="10">
    <fb>122.3</fb>
    <v>20</v>
  </rv>
  <rv s="10">
    <fb>122.9</fb>
    <v>20</v>
  </rv>
  <rv s="10">
    <fb>126.75</fb>
    <v>20</v>
  </rv>
  <rv s="10">
    <fb>131.1</fb>
    <v>20</v>
  </rv>
  <rv s="10">
    <fb>133.65</fb>
    <v>20</v>
  </rv>
  <rv s="10">
    <fb>132.30000000000001</fb>
    <v>20</v>
  </rv>
  <rv s="10">
    <fb>131.75</fb>
    <v>20</v>
  </rv>
  <rv s="10">
    <fb>128.5</fb>
    <v>20</v>
  </rv>
  <rv s="10">
    <fb>131.44999999999999</fb>
    <v>20</v>
  </rv>
  <rv s="10">
    <fb>129.44999999999999</fb>
    <v>20</v>
  </rv>
  <rv s="10">
    <fb>155.30000000000001</fb>
    <v>20</v>
  </rv>
  <rv s="10">
    <fb>180.9</fb>
    <v>20</v>
  </rv>
  <rv s="10">
    <fb>173.7</fb>
    <v>20</v>
  </rv>
  <rv s="10">
    <fb>173</fb>
    <v>20</v>
  </rv>
  <rv s="10">
    <fb>168.25</fb>
    <v>20</v>
  </rv>
  <rv s="10">
    <fb>185.3</fb>
    <v>20</v>
  </rv>
  <rv s="10">
    <fb>193.65</fb>
    <v>20</v>
  </rv>
  <rv s="10">
    <fb>211.9</fb>
    <v>20</v>
  </rv>
  <rv s="10">
    <fb>233.05</fb>
    <v>20</v>
  </rv>
  <rv s="10">
    <fb>221.4</fb>
    <v>20</v>
  </rv>
  <rv s="10">
    <fb>210.35</fb>
    <v>20</v>
  </rv>
  <rv s="10">
    <fb>205.9</fb>
    <v>20</v>
  </rv>
  <rv s="10">
    <fb>216.15</fb>
    <v>20</v>
  </rv>
  <rv s="10">
    <fb>209.7</fb>
    <v>20</v>
  </rv>
  <rv s="10">
    <fb>199.25</fb>
    <v>20</v>
  </rv>
  <rv s="10">
    <fb>193.15</fb>
    <v>20</v>
  </rv>
  <rv s="10">
    <fb>202.8</fb>
    <v>20</v>
  </rv>
  <rv s="10">
    <fb>207</fb>
    <v>20</v>
  </rv>
  <rv s="10">
    <fb>201.8</fb>
    <v>20</v>
  </rv>
  <rv s="10">
    <fb>203.05</fb>
    <v>20</v>
  </rv>
  <rv s="10">
    <fb>200</fb>
    <v>20</v>
  </rv>
  <rv s="10">
    <fb>210</fb>
    <v>20</v>
  </rv>
  <rv s="10">
    <fb>205.4</fb>
    <v>20</v>
  </rv>
  <rv s="10">
    <fb>215.65</fb>
    <v>20</v>
  </rv>
  <rv s="10">
    <fb>215.1</fb>
    <v>20</v>
  </rv>
  <rv s="10">
    <fb>204.35</fb>
    <v>20</v>
  </rv>
  <rv s="10">
    <fb>199.95</fb>
    <v>20</v>
  </rv>
  <rv s="10">
    <fb>202</fb>
    <v>20</v>
  </rv>
  <rv s="10">
    <fb>202.1</fb>
    <v>20</v>
  </rv>
  <rv s="10">
    <fb>202.35</fb>
    <v>20</v>
  </rv>
  <rv s="10">
    <fb>203.85</fb>
    <v>20</v>
  </rv>
  <rv s="10">
    <fb>214</fb>
    <v>20</v>
  </rv>
  <rv s="10">
    <fb>214.8</fb>
    <v>20</v>
  </rv>
  <rv s="10">
    <fb>213.7</fb>
    <v>20</v>
  </rv>
  <rv s="10">
    <fb>213.9</fb>
    <v>20</v>
  </rv>
  <rv s="10">
    <fb>213.65</fb>
    <v>20</v>
  </rv>
  <rv s="10">
    <fb>224.3</fb>
    <v>20</v>
  </rv>
  <rv s="10">
    <fb>229.25</fb>
    <v>20</v>
  </rv>
  <rv s="10">
    <fb>218.1</fb>
    <v>20</v>
  </rv>
  <rv s="10">
    <fb>221.75</fb>
    <v>20</v>
  </rv>
  <rv s="10">
    <fb>232.8</fb>
    <v>20</v>
  </rv>
  <rv s="10">
    <fb>244.4</fb>
    <v>20</v>
  </rv>
  <rv s="10">
    <fb>256.60000000000002</fb>
    <v>20</v>
  </rv>
  <rv s="10">
    <fb>243.8</fb>
    <v>20</v>
  </rv>
  <rv s="10">
    <fb>231.9</fb>
    <v>20</v>
  </rv>
  <rv s="10">
    <fb>233.55</fb>
    <v>20</v>
  </rv>
  <rv s="10">
    <fb>228.5</fb>
    <v>20</v>
  </rv>
  <rv s="10">
    <fb>217.1</fb>
    <v>20</v>
  </rv>
  <rv s="10">
    <fb>227.95</fb>
    <v>20</v>
  </rv>
  <rv s="10">
    <fb>221.8</fb>
    <v>20</v>
  </rv>
  <rv s="10">
    <fb>221.3</fb>
    <v>20</v>
  </rv>
  <rv s="10">
    <fb>222.35</fb>
    <v>20</v>
  </rv>
  <rv s="10">
    <fb>217.9</fb>
    <v>20</v>
  </rv>
  <rv s="10">
    <fb>222.5</fb>
    <v>20</v>
  </rv>
  <rv s="10">
    <fb>218.45</fb>
    <v>20</v>
  </rv>
  <rv s="10">
    <fb>217.2</fb>
    <v>20</v>
  </rv>
  <rv s="10">
    <fb>217</fb>
    <v>20</v>
  </rv>
  <rv s="10">
    <fb>217.65</fb>
    <v>20</v>
  </rv>
  <rv s="10">
    <fb>215.35</fb>
    <v>20</v>
  </rv>
  <rv s="10">
    <fb>212.15</fb>
    <v>20</v>
  </rv>
  <rv s="10">
    <fb>208.35</fb>
    <v>20</v>
  </rv>
  <rv s="10">
    <fb>218.75</fb>
    <v>20</v>
  </rv>
  <rv s="10">
    <fb>209.3</fb>
    <v>20</v>
  </rv>
  <rv s="10">
    <fb>216.7</fb>
    <v>20</v>
  </rv>
  <rv s="10">
    <fb>214.7</fb>
    <v>20</v>
  </rv>
  <rv s="10">
    <fb>216.55</fb>
    <v>20</v>
  </rv>
  <rv s="10">
    <fb>225.8</fb>
    <v>20</v>
  </rv>
  <rv s="10">
    <fb>221.35</fb>
    <v>20</v>
  </rv>
  <rv s="10">
    <fb>219.85</fb>
    <v>20</v>
  </rv>
  <rv s="10">
    <fb>212.1</fb>
    <v>20</v>
  </rv>
  <rv s="10">
    <fb>210.8</fb>
    <v>20</v>
  </rv>
  <rv s="10">
    <fb>208.7</fb>
    <v>20</v>
  </rv>
  <rv s="10">
    <fb>198.3</fb>
    <v>20</v>
  </rv>
  <rv s="10">
    <fb>188.4</fb>
    <v>20</v>
  </rv>
  <rv s="10">
    <fb>185.9</fb>
    <v>20</v>
  </rv>
  <rv s="10">
    <fb>195.15</fb>
    <v>20</v>
  </rv>
  <rv s="10">
    <fb>199.3</fb>
    <v>20</v>
  </rv>
  <rv s="10">
    <fb>197.25</fb>
    <v>20</v>
  </rv>
  <rv s="10">
    <fb>192.35</fb>
    <v>20</v>
  </rv>
  <rv s="10">
    <fb>193.55</fb>
    <v>20</v>
  </rv>
  <rv s="10">
    <fb>194.15</fb>
    <v>20</v>
  </rv>
  <rv s="10">
    <fb>197.5</fb>
    <v>20</v>
  </rv>
  <rv s="10">
    <fb>196.05</fb>
    <v>20</v>
  </rv>
  <rv s="10">
    <fb>204.7</fb>
    <v>20</v>
  </rv>
  <rv s="10">
    <fb>209.35</fb>
    <v>20</v>
  </rv>
  <rv s="10">
    <fb>205.6</fb>
    <v>20</v>
  </rv>
  <rv s="10">
    <fb>209.2</fb>
    <v>20</v>
  </rv>
  <rv s="10">
    <fb>209.85</fb>
    <v>20</v>
  </rv>
  <rv s="10">
    <fb>206.55</fb>
    <v>20</v>
  </rv>
  <rv s="10">
    <fb>206.4</fb>
    <v>20</v>
  </rv>
  <rv s="10">
    <fb>214.45</fb>
    <v>20</v>
  </rv>
  <rv s="10">
    <fb>210.85</fb>
    <v>20</v>
  </rv>
  <rv s="10">
    <fb>211.55</fb>
    <v>20</v>
  </rv>
  <rv s="10">
    <fb>208.5</fb>
    <v>20</v>
  </rv>
  <rv s="10">
    <fb>207.45</fb>
    <v>20</v>
  </rv>
  <rv s="10">
    <fb>204.65</fb>
    <v>20</v>
  </rv>
  <rv s="10">
    <fb>205</fb>
    <v>20</v>
  </rv>
  <rv s="10">
    <fb>203.75</fb>
    <v>20</v>
  </rv>
  <rv s="10">
    <fb>200.8</fb>
    <v>20</v>
  </rv>
  <rv s="10">
    <fb>204.15</fb>
    <v>20</v>
  </rv>
  <rv s="10">
    <fb>204.45</fb>
    <v>20</v>
  </rv>
  <rv s="10">
    <fb>203.95</fb>
    <v>20</v>
  </rv>
  <rv s="10">
    <fb>200.85</fb>
    <v>20</v>
  </rv>
  <rv s="10">
    <fb>220.9</fb>
    <v>20</v>
  </rv>
  <rv s="10">
    <fb>229.3</fb>
    <v>20</v>
  </rv>
  <rv s="10">
    <fb>223.1</fb>
    <v>20</v>
  </rv>
  <rv s="10">
    <fb>227.05</fb>
    <v>20</v>
  </rv>
  <rv s="10">
    <fb>222.55</fb>
    <v>20</v>
  </rv>
  <rv s="10">
    <fb>208.4</fb>
    <v>20</v>
  </rv>
  <rv s="10">
    <fb>214.25</fb>
    <v>20</v>
  </rv>
  <rv s="10">
    <fb>214.15</fb>
    <v>20</v>
  </rv>
  <rv s="10">
    <fb>210.4</fb>
    <v>20</v>
  </rv>
  <rv s="10">
    <fb>231.4</fb>
    <v>20</v>
  </rv>
  <rv s="10">
    <fb>234.4</fb>
    <v>20</v>
  </rv>
  <rv s="10">
    <fb>248.95</fb>
    <v>20</v>
  </rv>
  <rv s="10">
    <fb>273.8</fb>
    <v>20</v>
  </rv>
  <rv s="10">
    <fb>287.45</fb>
    <v>20</v>
  </rv>
  <rv s="10">
    <fb>284.89999999999998</fb>
    <v>20</v>
  </rv>
  <rv s="10">
    <fb>299.10000000000002</fb>
    <v>20</v>
  </rv>
  <rv s="10">
    <fb>314.05</fb>
    <v>20</v>
  </rv>
  <rv s="10">
    <fb>299.39999999999998</fb>
    <v>20</v>
  </rv>
  <rv s="10">
    <fb>292.14999999999998</fb>
    <v>20</v>
  </rv>
  <rv s="10">
    <fb>293.55</fb>
    <v>20</v>
  </rv>
  <rv s="10">
    <fb>292.64999999999998</fb>
    <v>20</v>
  </rv>
  <rv s="10">
    <fb>286.95</fb>
    <v>20</v>
  </rv>
  <rv s="10">
    <fb>284.64999999999998</fb>
    <v>20</v>
  </rv>
  <rv s="10">
    <fb>282.45</fb>
    <v>20</v>
  </rv>
  <rv s="10">
    <fb>277.85000000000002</fb>
    <v>20</v>
  </rv>
  <rv s="10">
    <fb>281.89999999999998</fb>
    <v>20</v>
  </rv>
  <rv s="10">
    <fb>285.39999999999998</fb>
    <v>20</v>
  </rv>
  <rv s="10">
    <fb>281.8</fb>
    <v>20</v>
  </rv>
  <rv s="10">
    <fb>274</fb>
    <v>20</v>
  </rv>
  <rv s="10">
    <fb>287.7</fb>
    <v>20</v>
  </rv>
  <rv s="10">
    <fb>290.2</fb>
    <v>20</v>
  </rv>
  <rv s="10">
    <fb>288</fb>
    <v>20</v>
  </rv>
  <rv s="10">
    <fb>285.8</fb>
    <v>20</v>
  </rv>
  <rv s="10">
    <fb>300.05</fb>
    <v>20</v>
  </rv>
  <rv s="10">
    <fb>314.55</fb>
    <v>20</v>
  </rv>
  <rv s="10">
    <fb>330.25</fb>
    <v>20</v>
  </rv>
  <rv s="10">
    <fb>334.75</fb>
    <v>20</v>
  </rv>
  <rv s="10">
    <fb>321</fb>
    <v>20</v>
  </rv>
  <rv s="10">
    <fb>325.35000000000002</fb>
    <v>20</v>
  </rv>
  <rv s="10">
    <fb>312.05</fb>
    <v>20</v>
  </rv>
  <rv s="10">
    <fb>293.10000000000002</fb>
    <v>20</v>
  </rv>
  <rv s="10">
    <fb>321.85000000000002</fb>
    <v>20</v>
  </rv>
  <rv s="10">
    <fb>313.7</fb>
    <v>20</v>
  </rv>
  <rv s="10">
    <fb>345.05</fb>
    <v>20</v>
  </rv>
  <rv s="10">
    <fb>379.55</fb>
    <v>20</v>
  </rv>
  <rv s="10">
    <fb>373.55</fb>
    <v>20</v>
  </rv>
  <rv s="10">
    <fb>372.95</fb>
    <v>20</v>
  </rv>
  <rv s="10">
    <fb>354.3</fb>
    <v>20</v>
  </rv>
  <rv s="10">
    <fb>342.95</fb>
    <v>20</v>
  </rv>
  <rv s="10">
    <fb>334.6</fb>
    <v>20</v>
  </rv>
  <rv s="10">
    <fb>351.3</fb>
    <v>20</v>
  </rv>
  <rv s="10">
    <fb>342.8</fb>
    <v>20</v>
  </rv>
  <rv s="10">
    <fb>333.45</fb>
    <v>20</v>
  </rv>
  <rv s="10">
    <fb>327.3</fb>
    <v>20</v>
  </rv>
  <rv s="10">
    <fb>343.65</fb>
    <v>20</v>
  </rv>
  <rv s="10">
    <fb>353.8</fb>
    <v>20</v>
  </rv>
  <rv s="10">
    <fb>342.7</fb>
    <v>20</v>
  </rv>
  <rv s="10">
    <fb>335</fb>
    <v>20</v>
  </rv>
  <rv s="10">
    <fb>327.39999999999998</fb>
    <v>20</v>
  </rv>
  <rv s="10">
    <fb>330.05</fb>
    <v>20</v>
  </rv>
  <rv s="10">
    <fb>319.10000000000002</fb>
    <v>20</v>
  </rv>
  <rv s="10">
    <fb>304.2</fb>
    <v>20</v>
  </rv>
  <rv s="10">
    <fb>289</fb>
    <v>20</v>
  </rv>
  <rv s="10">
    <fb>303.45</fb>
    <v>20</v>
  </rv>
  <rv s="10">
    <fb>299.95</fb>
    <v>20</v>
  </rv>
  <rv s="10">
    <fb>309.35000000000002</fb>
    <v>20</v>
  </rv>
  <rv s="10">
    <fb>298.39999999999998</fb>
    <v>20</v>
  </rv>
  <rv s="10">
    <fb>294.55</fb>
    <v>20</v>
  </rv>
  <rv s="10">
    <fb>309.25</fb>
    <v>20</v>
  </rv>
  <rv s="10">
    <fb>311.60000000000002</fb>
    <v>20</v>
  </rv>
  <rv s="10">
    <fb>310.5</fb>
    <v>20</v>
  </rv>
  <rv s="10">
    <fb>326</fb>
    <v>20</v>
  </rv>
  <rv s="10">
    <fb>316.5</fb>
    <v>20</v>
  </rv>
  <rv s="10">
    <fb>332.3</fb>
    <v>20</v>
  </rv>
  <rv s="10">
    <fb>341.15</fb>
    <v>20</v>
  </rv>
  <rv s="10">
    <fb>340.3</fb>
    <v>20</v>
  </rv>
  <rv s="10">
    <fb>342.6</fb>
    <v>20</v>
  </rv>
  <rv s="10">
    <fb>338.9</fb>
    <v>20</v>
  </rv>
  <rv s="10">
    <fb>332.25</fb>
    <v>20</v>
  </rv>
  <rv s="10">
    <fb>329.5</fb>
    <v>20</v>
  </rv>
  <rv s="10">
    <fb>330.6</fb>
    <v>20</v>
  </rv>
  <rv s="10">
    <fb>327.05</fb>
    <v>20</v>
  </rv>
  <rv s="10">
    <fb>313.14999999999998</fb>
    <v>20</v>
  </rv>
  <rv s="10">
    <fb>327.25</fb>
    <v>20</v>
  </rv>
  <rv s="10">
    <fb>326.45</fb>
    <v>20</v>
  </rv>
  <rv s="10">
    <fb>331.2</fb>
    <v>20</v>
  </rv>
  <rv s="10">
    <fb>358.65</fb>
    <v>20</v>
  </rv>
  <rv s="10">
    <fb>349.75</fb>
    <v>20</v>
  </rv>
  <rv s="10">
    <fb>371.95</fb>
    <v>20</v>
  </rv>
  <rv s="10">
    <fb>365.85</fb>
    <v>20</v>
  </rv>
  <rv s="10">
    <fb>360.3</fb>
    <v>20</v>
  </rv>
  <rv s="10">
    <fb>91.15</fb>
    <v>20</v>
  </rv>
  <rv s="10">
    <fb>89.9</fb>
    <v>20</v>
  </rv>
  <rv s="10">
    <fb>89.4</fb>
    <v>20</v>
  </rv>
  <rv s="10">
    <fb>90.35</fb>
    <v>20</v>
  </rv>
  <rv s="10">
    <fb>90.2</fb>
    <v>20</v>
  </rv>
  <rv s="10">
    <fb>89.55</fb>
    <v>20</v>
  </rv>
  <rv s="10">
    <fb>89.85</fb>
    <v>20</v>
  </rv>
  <rv s="10">
    <fb>89.65</fb>
    <v>20</v>
  </rv>
  <rv s="10">
    <fb>92.05</fb>
    <v>20</v>
  </rv>
  <rv s="10">
    <fb>91.6</fb>
    <v>20</v>
  </rv>
  <rv s="10">
    <fb>91.2</fb>
    <v>20</v>
  </rv>
  <rv s="10">
    <fb>90.85</fb>
    <v>20</v>
  </rv>
  <rv s="10">
    <fb>90.8</fb>
    <v>20</v>
  </rv>
  <rv s="10">
    <fb>91.4</fb>
    <v>20</v>
  </rv>
  <rv s="10">
    <fb>91.45</fb>
    <v>20</v>
  </rv>
  <rv s="10">
    <fb>99.15</fb>
    <v>20</v>
  </rv>
  <rv s="10">
    <fb>99.4</fb>
    <v>20</v>
  </rv>
  <rv s="10">
    <fb>98.9</fb>
    <v>20</v>
  </rv>
  <rv s="10">
    <fb>100</fb>
    <v>20</v>
  </rv>
  <rv s="10">
    <fb>102</fb>
    <v>20</v>
  </rv>
  <rv s="10">
    <fb>101</fb>
    <v>20</v>
  </rv>
  <rv s="10">
    <fb>101.35</fb>
    <v>20</v>
  </rv>
  <rv s="10">
    <fb>104.8</fb>
    <v>20</v>
  </rv>
  <rv s="10">
    <fb>105.6</fb>
    <v>20</v>
  </rv>
  <rv s="10">
    <fb>108.3</fb>
    <v>20</v>
  </rv>
  <rv s="10">
    <fb>106.9</fb>
    <v>20</v>
  </rv>
  <rv s="10">
    <fb>105.5</fb>
    <v>20</v>
  </rv>
  <rv s="10">
    <fb>102.8</fb>
    <v>20</v>
  </rv>
  <rv s="10">
    <fb>99.9</fb>
    <v>20</v>
  </rv>
  <rv s="10">
    <fb>98.3</fb>
    <v>20</v>
  </rv>
  <rv s="10">
    <fb>102.3</fb>
    <v>20</v>
  </rv>
  <rv s="10">
    <fb>102.7</fb>
    <v>20</v>
  </rv>
  <rv s="10">
    <fb>109.2</fb>
    <v>20</v>
  </rv>
  <rv s="10">
    <fb>111.2</fb>
    <v>20</v>
  </rv>
  <rv s="10">
    <fb>114.3</fb>
    <v>20</v>
  </rv>
  <rv s="10">
    <fb>113.7</fb>
    <v>20</v>
  </rv>
  <rv s="10">
    <fb>111.35</fb>
    <v>20</v>
  </rv>
  <rv s="10">
    <fb>110.3</fb>
    <v>20</v>
  </rv>
  <rv s="10">
    <fb>114.8</fb>
    <v>20</v>
  </rv>
  <rv s="10">
    <fb>115.05</fb>
    <v>20</v>
  </rv>
  <rv s="10">
    <fb>113.85</fb>
    <v>20</v>
  </rv>
  <rv s="10">
    <fb>112.45</fb>
    <v>20</v>
  </rv>
  <rv s="10">
    <fb>111.15</fb>
    <v>20</v>
  </rv>
  <rv s="10">
    <fb>112.35</fb>
    <v>20</v>
  </rv>
  <rv s="10">
    <fb>112.1</fb>
    <v>20</v>
  </rv>
  <rv s="10">
    <fb>113.35</fb>
    <v>20</v>
  </rv>
  <rv s="10">
    <fb>113.75</fb>
    <v>20</v>
  </rv>
  <rv s="10">
    <fb>113.95</fb>
    <v>20</v>
  </rv>
  <rv s="10">
    <fb>116.2</fb>
    <v>20</v>
  </rv>
  <rv s="10">
    <fb>113.55</fb>
    <v>20</v>
  </rv>
  <rv s="10">
    <fb>115.6</fb>
    <v>20</v>
  </rv>
  <rv s="10">
    <fb>118.75</fb>
    <v>20</v>
  </rv>
  <rv s="10">
    <fb>120.2</fb>
    <v>20</v>
  </rv>
  <rv s="10">
    <fb>117.85</fb>
    <v>20</v>
  </rv>
  <rv s="10">
    <fb>118.4</fb>
    <v>20</v>
  </rv>
  <rv s="10">
    <fb>118.6</fb>
    <v>20</v>
  </rv>
  <rv s="10">
    <fb>119.45</fb>
    <v>20</v>
  </rv>
  <rv s="10">
    <fb>118.85</fb>
    <v>20</v>
  </rv>
  <rv s="10">
    <fb>119.35</fb>
    <v>20</v>
  </rv>
  <rv s="10">
    <fb>118.35</fb>
    <v>20</v>
  </rv>
  <rv s="10">
    <fb>118.25</fb>
    <v>20</v>
  </rv>
  <rv s="10">
    <fb>118.55</fb>
    <v>20</v>
  </rv>
  <rv s="10">
    <fb>119.05</fb>
    <v>20</v>
  </rv>
  <rv s="10">
    <fb>119.15</fb>
    <v>20</v>
  </rv>
  <rv s="10">
    <fb>121.3</fb>
    <v>20</v>
  </rv>
  <rv s="10">
    <fb>123.1</fb>
    <v>20</v>
  </rv>
  <rv s="10">
    <fb>124.4</fb>
    <v>20</v>
  </rv>
  <rv s="10">
    <fb>122.6</fb>
    <v>20</v>
  </rv>
  <rv s="10">
    <fb>121.05</fb>
    <v>20</v>
  </rv>
  <rv s="10">
    <fb>120.9</fb>
    <v>20</v>
  </rv>
  <rv s="10">
    <fb>122.4</fb>
    <v>20</v>
  </rv>
  <rv s="10">
    <fb>121.75</fb>
    <v>20</v>
  </rv>
  <rv s="10">
    <fb>123.5</fb>
    <v>20</v>
  </rv>
  <rv s="10">
    <fb>129.25</fb>
    <v>20</v>
  </rv>
  <rv s="10">
    <fb>128.05000000000001</fb>
    <v>20</v>
  </rv>
  <rv s="10">
    <fb>127.2</fb>
    <v>20</v>
  </rv>
  <rv s="10">
    <fb>128.1</fb>
    <v>20</v>
  </rv>
  <rv s="10">
    <fb>129.1</fb>
    <v>20</v>
  </rv>
  <rv s="10">
    <fb>129.55000000000001</fb>
    <v>20</v>
  </rv>
  <rv s="10">
    <fb>124.55</fb>
    <v>20</v>
  </rv>
  <rv s="10">
    <fb>125.55</fb>
    <v>20</v>
  </rv>
  <rv s="10">
    <fb>126.45</fb>
    <v>20</v>
  </rv>
  <rv s="10">
    <fb>125.85</fb>
    <v>20</v>
  </rv>
  <rv s="10">
    <fb>127.35</fb>
    <v>20</v>
  </rv>
  <rv s="10">
    <fb>126.8</fb>
    <v>20</v>
  </rv>
  <rv s="10">
    <fb>125.7</fb>
    <v>20</v>
  </rv>
  <rv s="10">
    <fb>127.15</fb>
    <v>20</v>
  </rv>
  <rv s="10">
    <fb>128.44999999999999</fb>
    <v>20</v>
  </rv>
  <rv s="10">
    <fb>130.69999999999999</fb>
    <v>20</v>
  </rv>
  <rv s="10">
    <fb>128.85</fb>
    <v>20</v>
  </rv>
  <rv s="10">
    <fb>127.9</fb>
    <v>20</v>
  </rv>
  <rv s="10">
    <fb>124.05</fb>
    <v>20</v>
  </rv>
  <rv s="10">
    <fb>123.7</fb>
    <v>20</v>
  </rv>
  <rv s="10">
    <fb>122.75</fb>
    <v>20</v>
  </rv>
  <rv s="10">
    <fb>123.8</fb>
    <v>20</v>
  </rv>
  <rv s="10">
    <fb>125.95</fb>
    <v>20</v>
  </rv>
  <rv s="10">
    <fb>124.85</fb>
    <v>20</v>
  </rv>
  <rv s="10">
    <fb>125.35</fb>
    <v>20</v>
  </rv>
  <rv s="10">
    <fb>125.5</fb>
    <v>20</v>
  </rv>
  <rv s="10">
    <fb>126.65</fb>
    <v>20</v>
  </rv>
  <rv s="10">
    <fb>126.2</fb>
    <v>20</v>
  </rv>
  <rv s="10">
    <fb>119.5</fb>
    <v>20</v>
  </rv>
  <rv s="10">
    <fb>120.1</fb>
    <v>20</v>
  </rv>
  <rv s="10">
    <fb>118.15</fb>
    <v>20</v>
  </rv>
  <rv s="10">
    <fb>120.8</fb>
    <v>20</v>
  </rv>
  <rv s="10">
    <fb>115</fb>
    <v>20</v>
  </rv>
  <rv s="10">
    <fb>114.5</fb>
    <v>20</v>
  </rv>
  <rv s="10">
    <fb>112.9</fb>
    <v>20</v>
  </rv>
  <rv s="10">
    <fb>113.2</fb>
    <v>20</v>
  </rv>
  <rv s="10">
    <fb>115.4</fb>
    <v>20</v>
  </rv>
  <rv s="10">
    <fb>115.7</fb>
    <v>20</v>
  </rv>
  <rv s="10">
    <fb>116.15</fb>
    <v>20</v>
  </rv>
  <rv s="10">
    <fb>117.05</fb>
    <v>20</v>
  </rv>
  <rv s="10">
    <fb>118.9</fb>
    <v>20</v>
  </rv>
  <rv s="10">
    <fb>120.45</fb>
    <v>20</v>
  </rv>
  <rv s="10">
    <fb>122.05</fb>
    <v>20</v>
  </rv>
  <rv s="10">
    <fb>118</fb>
    <v>20</v>
  </rv>
  <rv s="10">
    <fb>117.5</fb>
    <v>20</v>
  </rv>
  <rv s="10">
    <fb>118.2</fb>
    <v>20</v>
  </rv>
  <rv s="10">
    <fb>116.95</fb>
    <v>20</v>
  </rv>
  <rv s="10">
    <fb>116.35</fb>
    <v>20</v>
  </rv>
  <rv s="10">
    <fb>117.55</fb>
    <v>20</v>
  </rv>
  <rv s="10">
    <fb>118.45</fb>
    <v>20</v>
  </rv>
  <rv s="10">
    <fb>119</fb>
    <v>20</v>
  </rv>
  <rv s="10">
    <fb>121.1</fb>
    <v>20</v>
  </rv>
  <rv s="10">
    <fb>123.6</fb>
    <v>20</v>
  </rv>
  <rv s="10">
    <fb>124.45</fb>
    <v>20</v>
  </rv>
  <rv s="10">
    <fb>122.25</fb>
    <v>20</v>
  </rv>
  <rv s="10">
    <fb>121.2</fb>
    <v>20</v>
  </rv>
  <rv s="10">
    <fb>120.75</fb>
    <v>20</v>
  </rv>
  <rv s="10">
    <fb>123.2</fb>
    <v>20</v>
  </rv>
  <rv s="10">
    <fb>126.95</fb>
    <v>20</v>
  </rv>
  <rv s="10">
    <fb>125.6</fb>
    <v>20</v>
  </rv>
  <rv s="10">
    <fb>122</fb>
    <v>20</v>
  </rv>
  <rv s="10">
    <fb>123.65</fb>
    <v>20</v>
  </rv>
  <rv s="10">
    <fb>124.2</fb>
    <v>20</v>
  </rv>
  <rv s="10">
    <fb>124.35</fb>
    <v>20</v>
  </rv>
  <rv s="10">
    <fb>125</fb>
    <v>20</v>
  </rv>
  <rv s="10">
    <fb>123.45</fb>
    <v>20</v>
  </rv>
  <rv s="10">
    <fb>123.9</fb>
    <v>20</v>
  </rv>
  <rv s="10">
    <fb>124.95</fb>
    <v>20</v>
  </rv>
  <rv s="10">
    <fb>122.7</fb>
    <v>20</v>
  </rv>
  <rv s="10">
    <fb>121</fb>
    <v>20</v>
  </rv>
  <rv s="10">
    <fb>124.8</fb>
    <v>20</v>
  </rv>
  <rv s="10">
    <fb>125.2</fb>
    <v>20</v>
  </rv>
  <rv s="10">
    <fb>127.5</fb>
    <v>20</v>
  </rv>
  <rv s="10">
    <fb>123.85</fb>
    <v>20</v>
  </rv>
  <rv s="10">
    <fb>115.75</fb>
    <v>20</v>
  </rv>
  <rv s="10">
    <fb>115.3</fb>
    <v>20</v>
  </rv>
  <rv s="10">
    <fb>116</fb>
    <v>20</v>
  </rv>
  <rv s="10">
    <fb>117.75</fb>
    <v>20</v>
  </rv>
  <rv s="10">
    <fb>115.85</fb>
    <v>20</v>
  </rv>
  <rv s="10">
    <fb>116.6</fb>
    <v>20</v>
  </rv>
  <rv s="10">
    <fb>115.2</fb>
    <v>20</v>
  </rv>
  <rv s="10">
    <fb>114.95</fb>
    <v>20</v>
  </rv>
  <rv s="10">
    <fb>116.05</fb>
    <v>20</v>
  </rv>
  <rv s="10">
    <fb>117.1</fb>
    <v>20</v>
  </rv>
  <rv s="10">
    <fb>115.9</fb>
    <v>20</v>
  </rv>
  <rv s="10">
    <fb>116.65</fb>
    <v>20</v>
  </rv>
  <rv s="10">
    <fb>118.8</fb>
    <v>20</v>
  </rv>
  <rv s="10">
    <fb>118.7</fb>
    <v>20</v>
  </rv>
  <rv s="10">
    <fb>115.45</fb>
    <v>20</v>
  </rv>
  <rv s="10">
    <fb>116.45</fb>
    <v>20</v>
  </rv>
  <rv s="10">
    <fb>118.1</fb>
    <v>20</v>
  </rv>
  <rv s="10">
    <fb>117.6</fb>
    <v>20</v>
  </rv>
  <rv s="10">
    <fb>114.2</fb>
    <v>20</v>
  </rv>
  <rv s="10">
    <fb>113.05</fb>
    <v>20</v>
  </rv>
  <rv s="10">
    <fb>108.9</fb>
    <v>20</v>
  </rv>
  <rv s="10">
    <fb>110.6</fb>
    <v>20</v>
  </rv>
  <rv s="10">
    <fb>110.75</fb>
    <v>20</v>
  </rv>
  <rv s="10">
    <fb>109.4</fb>
    <v>20</v>
  </rv>
  <rv s="10">
    <fb>108.45</fb>
    <v>20</v>
  </rv>
  <rv s="10">
    <fb>107.8</fb>
    <v>20</v>
  </rv>
  <rv s="10">
    <fb>109.6</fb>
    <v>20</v>
  </rv>
  <rv s="10">
    <fb>110.4</fb>
    <v>20</v>
  </rv>
  <rv s="10">
    <fb>110.15</fb>
    <v>20</v>
  </rv>
  <rv s="10">
    <fb>111.25</fb>
    <v>20</v>
  </rv>
  <rv s="10">
    <fb>110.7</fb>
    <v>20</v>
  </rv>
  <rv s="10">
    <fb>114.9</fb>
    <v>20</v>
  </rv>
  <rv s="10">
    <fb>121.45</fb>
    <v>20</v>
  </rv>
  <rv s="10">
    <fb>120.7</fb>
    <v>20</v>
  </rv>
  <rv s="10">
    <fb>123.55</fb>
    <v>20</v>
  </rv>
  <rv s="10">
    <fb>121.95</fb>
    <v>20</v>
  </rv>
  <rv s="10">
    <fb>122.35</fb>
    <v>20</v>
  </rv>
  <rv s="10">
    <fb>122.85</fb>
    <v>20</v>
  </rv>
  <rv s="10">
    <fb>127.25</fb>
    <v>20</v>
  </rv>
  <rv s="10">
    <fb>121.65</fb>
    <v>20</v>
  </rv>
  <rv s="10">
    <fb>63.85</fb>
    <v>20</v>
  </rv>
  <rv s="10">
    <fb>63.25</fb>
    <v>20</v>
  </rv>
  <rv s="10">
    <fb>64.2</fb>
    <v>20</v>
  </rv>
  <rv s="10">
    <fb>64.05</fb>
    <v>20</v>
  </rv>
  <rv s="10">
    <fb>64.8</fb>
    <v>20</v>
  </rv>
  <rv s="10">
    <fb>66.8</fb>
    <v>20</v>
  </rv>
  <rv s="10">
    <fb>71.650000000000006</fb>
    <v>20</v>
  </rv>
  <rv s="10">
    <fb>72.599999999999994</fb>
    <v>20</v>
  </rv>
  <rv s="10">
    <fb>73.7</fb>
    <v>20</v>
  </rv>
  <rv s="10">
    <fb>73.599999999999994</fb>
    <v>20</v>
  </rv>
  <rv s="10">
    <fb>72.2</fb>
    <v>20</v>
  </rv>
  <rv s="10">
    <fb>72.8</fb>
    <v>20</v>
  </rv>
  <rv s="10">
    <fb>74.8</fb>
    <v>20</v>
  </rv>
  <rv s="10">
    <fb>76.75</fb>
    <v>20</v>
  </rv>
  <rv s="10">
    <fb>79</fb>
    <v>20</v>
  </rv>
  <rv s="10">
    <fb>81.7</fb>
    <v>20</v>
  </rv>
  <rv s="10">
    <fb>81.3</fb>
    <v>20</v>
  </rv>
  <rv s="10">
    <fb>82.8</fb>
    <v>20</v>
  </rv>
  <rv s="10">
    <fb>82.2</fb>
    <v>20</v>
  </rv>
  <rv s="10">
    <fb>77.599999999999994</fb>
    <v>20</v>
  </rv>
  <rv s="10">
    <fb>77.75</fb>
    <v>20</v>
  </rv>
  <rv s="10">
    <fb>78.25</fb>
    <v>20</v>
  </rv>
  <rv s="10">
    <fb>79.7</fb>
    <v>20</v>
  </rv>
  <rv s="10">
    <fb>79.400000000000006</fb>
    <v>20</v>
  </rv>
  <rv s="10">
    <fb>81.95</fb>
    <v>20</v>
  </rv>
  <rv s="10">
    <fb>78.650000000000006</fb>
    <v>20</v>
  </rv>
  <rv s="10">
    <fb>80.349999999999994</fb>
    <v>20</v>
  </rv>
  <rv s="10">
    <fb>80.5</fb>
    <v>20</v>
  </rv>
  <rv s="10">
    <fb>79.25</fb>
    <v>20</v>
  </rv>
  <rv s="10">
    <fb>83.1</fb>
    <v>20</v>
  </rv>
  <rv s="10">
    <fb>81.349999999999994</fb>
    <v>20</v>
  </rv>
  <rv s="10">
    <fb>82.5</fb>
    <v>20</v>
  </rv>
  <rv s="10">
    <fb>81.099999999999994</fb>
    <v>20</v>
  </rv>
  <rv s="10">
    <fb>81.8</fb>
    <v>20</v>
  </rv>
  <rv s="10">
    <fb>81.400000000000006</fb>
    <v>20</v>
  </rv>
  <rv s="10">
    <fb>82.85</fb>
    <v>20</v>
  </rv>
  <rv s="10">
    <fb>83.05</fb>
    <v>20</v>
  </rv>
  <rv s="10">
    <fb>84.65</fb>
    <v>20</v>
  </rv>
  <rv s="10">
    <fb>82.55</fb>
    <v>20</v>
  </rv>
  <rv s="10">
    <fb>83.95</fb>
    <v>20</v>
  </rv>
  <rv s="10">
    <fb>87.2</fb>
    <v>20</v>
  </rv>
  <rv s="10">
    <fb>88.5</fb>
    <v>20</v>
  </rv>
  <rv s="10">
    <fb>87.1</fb>
    <v>20</v>
  </rv>
  <rv s="10">
    <fb>86.95</fb>
    <v>20</v>
  </rv>
  <rv s="10">
    <fb>87.65</fb>
    <v>20</v>
  </rv>
  <rv s="10">
    <fb>88.15</fb>
    <v>20</v>
  </rv>
  <rv s="10">
    <fb>87.55</fb>
    <v>20</v>
  </rv>
  <rv s="10">
    <fb>88.35</fb>
    <v>20</v>
  </rv>
  <rv s="10">
    <fb>88.95</fb>
    <v>20</v>
  </rv>
  <rv s="10">
    <fb>89.7</fb>
    <v>20</v>
  </rv>
  <rv s="10">
    <fb>92.25</fb>
    <v>20</v>
  </rv>
  <rv s="10">
    <fb>91.1</fb>
    <v>20</v>
  </rv>
  <rv s="10">
    <fb>91.05</fb>
    <v>20</v>
  </rv>
  <rv s="10">
    <fb>90.3</fb>
    <v>20</v>
  </rv>
  <rv s="10">
    <fb>98.45</fb>
    <v>20</v>
  </rv>
  <rv s="10">
    <fb>97.65</fb>
    <v>20</v>
  </rv>
  <rv s="10">
    <fb>95.35</fb>
    <v>20</v>
  </rv>
  <rv s="10">
    <fb>96.55</fb>
    <v>20</v>
  </rv>
  <rv s="10">
    <fb>94.55</fb>
    <v>20</v>
  </rv>
  <rv s="10">
    <fb>93.15</fb>
    <v>20</v>
  </rv>
  <rv s="10">
    <fb>93.6</fb>
    <v>20</v>
  </rv>
  <rv s="10">
    <fb>94.3</fb>
    <v>20</v>
  </rv>
  <rv s="10">
    <fb>95.55</fb>
    <v>20</v>
  </rv>
  <rv s="10">
    <fb>97.55</fb>
    <v>20</v>
  </rv>
  <rv s="10">
    <fb>91.75</fb>
    <v>20</v>
  </rv>
  <rv s="10">
    <fb>90.05</fb>
    <v>20</v>
  </rv>
  <rv s="10">
    <fb>91.55</fb>
    <v>20</v>
  </rv>
  <rv s="10">
    <fb>90.95</fb>
    <v>20</v>
  </rv>
  <rv s="10">
    <fb>88.9</fb>
    <v>20</v>
  </rv>
  <rv s="10">
    <fb>86.45</fb>
    <v>20</v>
  </rv>
  <rv s="10">
    <fb>87.15</fb>
    <v>20</v>
  </rv>
  <rv s="10">
    <fb>84.95</fb>
    <v>20</v>
  </rv>
  <rv s="10">
    <fb>86.05</fb>
    <v>20</v>
  </rv>
  <rv s="10">
    <fb>83.2</fb>
    <v>20</v>
  </rv>
  <rv s="10">
    <fb>82.7</fb>
    <v>20</v>
  </rv>
  <rv s="10">
    <fb>82.3</fb>
    <v>20</v>
  </rv>
  <rv s="10">
    <fb>83.15</fb>
    <v>20</v>
  </rv>
  <rv s="10">
    <fb>85.35</fb>
    <v>20</v>
  </rv>
  <rv s="10">
    <fb>86.2</fb>
    <v>20</v>
  </rv>
  <rv s="10">
    <fb>86.35</fb>
    <v>20</v>
  </rv>
  <rv s="10">
    <fb>86.85</fb>
    <v>20</v>
  </rv>
  <rv s="10">
    <fb>85.1</fb>
    <v>20</v>
  </rv>
  <rv s="10">
    <fb>84.4</fb>
    <v>20</v>
  </rv>
  <rv s="10">
    <fb>84.3</fb>
    <v>20</v>
  </rv>
  <rv s="10">
    <fb>85.25</fb>
    <v>20</v>
  </rv>
  <rv s="10">
    <fb>84.9</fb>
    <v>20</v>
  </rv>
  <rv s="10">
    <fb>89.25</fb>
    <v>20</v>
  </rv>
  <rv s="10">
    <fb>90.4</fb>
    <v>20</v>
  </rv>
  <rv s="10">
    <fb>87.5</fb>
    <v>20</v>
  </rv>
  <rv s="10">
    <fb>90</fb>
    <v>20</v>
  </rv>
  <rv s="10">
    <fb>89.75</fb>
    <v>20</v>
  </rv>
  <rv s="10">
    <fb>90.15</fb>
    <v>20</v>
  </rv>
  <rv s="10">
    <fb>88.45</fb>
    <v>20</v>
  </rv>
  <rv s="10">
    <fb>88.85</fb>
    <v>20</v>
  </rv>
  <rv s="10">
    <fb>88.7</fb>
    <v>20</v>
  </rv>
  <rv s="10">
    <fb>87.8</fb>
    <v>20</v>
  </rv>
  <rv s="10">
    <fb>87.05</fb>
    <v>20</v>
  </rv>
  <rv s="10">
    <fb>86.7</fb>
    <v>20</v>
  </rv>
  <rv s="10">
    <fb>85.45</fb>
    <v>20</v>
  </rv>
  <rv s="10">
    <fb>84.25</fb>
    <v>20</v>
  </rv>
  <rv s="10">
    <fb>83.9</fb>
    <v>20</v>
  </rv>
  <rv s="10">
    <fb>86.65</fb>
    <v>20</v>
  </rv>
  <rv s="10">
    <fb>86.75</fb>
    <v>20</v>
  </rv>
  <rv s="10">
    <fb>88.3</fb>
    <v>20</v>
  </rv>
  <rv s="10">
    <fb>86.4</fb>
    <v>20</v>
  </rv>
  <rv s="10">
    <fb>85.7</fb>
    <v>20</v>
  </rv>
  <rv s="10">
    <fb>79.599999999999994</fb>
    <v>20</v>
  </rv>
  <rv s="10">
    <fb>80.05</fb>
    <v>20</v>
  </rv>
  <rv s="10">
    <fb>83.5</fb>
    <v>20</v>
  </rv>
  <rv s="10">
    <fb>84.35</fb>
    <v>20</v>
  </rv>
  <rv s="10">
    <fb>83.4</fb>
    <v>20</v>
  </rv>
  <rv s="10">
    <fb>83.25</fb>
    <v>20</v>
  </rv>
  <rv s="10">
    <fb>83</fb>
    <v>20</v>
  </rv>
  <rv s="10">
    <fb>81</fb>
    <v>20</v>
  </rv>
  <rv s="10">
    <fb>81.25</fb>
    <v>20</v>
  </rv>
  <rv s="10">
    <fb>79.2</fb>
    <v>20</v>
  </rv>
  <rv s="10">
    <fb>80.849999999999994</fb>
    <v>20</v>
  </rv>
  <rv s="10">
    <fb>82.15</fb>
    <v>20</v>
  </rv>
  <rv s="10">
    <fb>81.75</fb>
    <v>20</v>
  </rv>
  <rv s="10">
    <fb>80.95</fb>
    <v>20</v>
  </rv>
  <rv s="10">
    <fb>81.150000000000006</fb>
    <v>20</v>
  </rv>
  <rv s="10">
    <fb>83.3</fb>
    <v>20</v>
  </rv>
  <rv s="10">
    <fb>80.55</fb>
    <v>20</v>
  </rv>
  <rv s="10">
    <fb>82.1</fb>
    <v>20</v>
  </rv>
  <rv s="10">
    <fb>81.55</fb>
    <v>20</v>
  </rv>
  <rv s="10">
    <fb>80.8</fb>
    <v>20</v>
  </rv>
  <rv s="10">
    <fb>79.5</fb>
    <v>20</v>
  </rv>
  <rv s="10">
    <fb>78.45</fb>
    <v>20</v>
  </rv>
  <rv s="10">
    <fb>78.7</fb>
    <v>20</v>
  </rv>
  <rv s="10">
    <fb>77.95</fb>
    <v>20</v>
  </rv>
  <rv s="10">
    <fb>76.650000000000006</fb>
    <v>20</v>
  </rv>
  <rv s="10">
    <fb>76.349999999999994</fb>
    <v>20</v>
  </rv>
  <rv s="10">
    <fb>77.900000000000006</fb>
    <v>20</v>
  </rv>
  <rv s="10">
    <fb>78.05</fb>
    <v>20</v>
  </rv>
  <rv s="10">
    <fb>77.7</fb>
    <v>20</v>
  </rv>
  <rv s="10">
    <fb>77.8</fb>
    <v>20</v>
  </rv>
  <rv s="10">
    <fb>75.400000000000006</fb>
    <v>20</v>
  </rv>
  <rv s="10">
    <fb>79.150000000000006</fb>
    <v>20</v>
  </rv>
  <rv s="10">
    <fb>78.400000000000006</fb>
    <v>20</v>
  </rv>
  <rv s="10">
    <fb>79.45</fb>
    <v>20</v>
  </rv>
  <rv s="10">
    <fb>80.650000000000006</fb>
    <v>20</v>
  </rv>
  <rv s="10">
    <fb>84.7</fb>
    <v>20</v>
  </rv>
  <rv s="10">
    <fb>82.6</fb>
    <v>20</v>
  </rv>
  <rv s="10">
    <fb>81.849999999999994</fb>
    <v>20</v>
  </rv>
  <rv s="10">
    <fb>83.45</fb>
    <v>20</v>
  </rv>
  <rv s="10">
    <fb>83.35</fb>
    <v>20</v>
  </rv>
  <rv s="10">
    <fb>84.8</fb>
    <v>20</v>
  </rv>
  <rv s="10">
    <fb>81.650000000000006</fb>
    <v>20</v>
  </rv>
  <rv s="10">
    <fb>626.95000000000005</fb>
    <v>20</v>
  </rv>
  <rv s="10">
    <fb>627.70000000000005</fb>
    <v>20</v>
  </rv>
  <rv s="10">
    <fb>631.6</fb>
    <v>20</v>
  </rv>
  <rv s="10">
    <fb>625.4</fb>
    <v>20</v>
  </rv>
  <rv s="10">
    <fb>628.1</fb>
    <v>20</v>
  </rv>
  <rv s="10">
    <fb>622.6</fb>
    <v>20</v>
  </rv>
  <rv s="10">
    <fb>624.29999999999995</fb>
    <v>20</v>
  </rv>
  <rv s="10">
    <fb>626.6</fb>
    <v>20</v>
  </rv>
  <rv s="10">
    <fb>628.45000000000005</fb>
    <v>20</v>
  </rv>
  <rv s="10">
    <fb>632.35</fb>
    <v>20</v>
  </rv>
  <rv s="10">
    <fb>626.15</fb>
    <v>20</v>
  </rv>
  <rv s="10">
    <fb>622.75</fb>
    <v>20</v>
  </rv>
  <rv s="10">
    <fb>614.85</fb>
    <v>20</v>
  </rv>
  <rv s="10">
    <fb>610.35</fb>
    <v>20</v>
  </rv>
  <rv s="10">
    <fb>623.5</fb>
    <v>20</v>
  </rv>
  <rv s="10">
    <fb>618.9</fb>
    <v>20</v>
  </rv>
  <rv s="10">
    <fb>618.54999999999995</fb>
    <v>20</v>
  </rv>
  <rv s="10">
    <fb>645.75</fb>
    <v>20</v>
  </rv>
  <rv s="10">
    <fb>643.75</fb>
    <v>20</v>
  </rv>
  <rv s="10">
    <fb>649.5</fb>
    <v>20</v>
  </rv>
  <rv s="10">
    <fb>645.45000000000005</fb>
    <v>20</v>
  </rv>
  <rv s="10">
    <fb>643.65</fb>
    <v>20</v>
  </rv>
  <rv s="10">
    <fb>643</fb>
    <v>20</v>
  </rv>
  <rv s="10">
    <fb>652.9</fb>
    <v>20</v>
  </rv>
  <rv s="10">
    <fb>644</fb>
    <v>20</v>
  </rv>
  <rv s="10">
    <fb>640.15</fb>
    <v>20</v>
  </rv>
  <rv s="10">
    <fb>645.9</fb>
    <v>20</v>
  </rv>
  <rv s="10">
    <fb>647.6</fb>
    <v>20</v>
  </rv>
  <rv s="10">
    <fb>643.5</fb>
    <v>20</v>
  </rv>
  <rv s="10">
    <fb>665</fb>
    <v>20</v>
  </rv>
  <rv s="10">
    <fb>667.85</fb>
    <v>20</v>
  </rv>
  <rv s="10">
    <fb>664.05</fb>
    <v>20</v>
  </rv>
  <rv s="10">
    <fb>662.35</fb>
    <v>20</v>
  </rv>
  <rv s="10">
    <fb>644.9</fb>
    <v>20</v>
  </rv>
  <rv s="10">
    <fb>627.79999999999995</fb>
    <v>20</v>
  </rv>
  <rv s="10">
    <fb>632.45000000000005</fb>
    <v>20</v>
  </rv>
  <rv s="10">
    <fb>630.6</fb>
    <v>20</v>
  </rv>
  <rv s="10">
    <fb>628.79999999999995</fb>
    <v>20</v>
  </rv>
  <rv s="10">
    <fb>635.1</fb>
    <v>20</v>
  </rv>
  <rv s="10">
    <fb>633.1</fb>
    <v>20</v>
  </rv>
  <rv s="10">
    <fb>628.70000000000005</fb>
    <v>20</v>
  </rv>
  <rv s="10">
    <fb>632.29999999999995</fb>
    <v>20</v>
  </rv>
  <rv s="10">
    <fb>630.65</fb>
    <v>20</v>
  </rv>
  <rv s="10">
    <fb>615.9</fb>
    <v>20</v>
  </rv>
  <rv s="10">
    <fb>619</fb>
    <v>20</v>
  </rv>
  <rv s="10">
    <fb>620.70000000000005</fb>
    <v>20</v>
  </rv>
  <rv s="10">
    <fb>617.75</fb>
    <v>20</v>
  </rv>
  <rv s="10">
    <fb>622.85</fb>
    <v>20</v>
  </rv>
  <rv s="10">
    <fb>625.54999999999995</fb>
    <v>20</v>
  </rv>
  <rv s="10">
    <fb>625.5</fb>
    <v>20</v>
  </rv>
  <rv s="10">
    <fb>625.15</fb>
    <v>20</v>
  </rv>
  <rv s="10">
    <fb>623.1</fb>
    <v>20</v>
  </rv>
  <rv s="10">
    <fb>620.29999999999995</fb>
    <v>20</v>
  </rv>
  <rv s="10">
    <fb>619.45000000000005</fb>
    <v>20</v>
  </rv>
  <rv s="10">
    <fb>620</fb>
    <v>20</v>
  </rv>
  <rv s="10">
    <fb>619.5</fb>
    <v>20</v>
  </rv>
  <rv s="10">
    <fb>640.65</fb>
    <v>20</v>
  </rv>
  <rv s="10">
    <fb>642.75</fb>
    <v>20</v>
  </rv>
  <rv s="10">
    <fb>637.75</fb>
    <v>20</v>
  </rv>
  <rv s="10">
    <fb>660.2</fb>
    <v>20</v>
  </rv>
  <rv s="10">
    <fb>653.54999999999995</fb>
    <v>20</v>
  </rv>
  <rv s="10">
    <fb>653.79999999999995</fb>
    <v>20</v>
  </rv>
  <rv s="10">
    <fb>642.6</fb>
    <v>20</v>
  </rv>
  <rv s="10">
    <fb>648.65</fb>
    <v>20</v>
  </rv>
  <rv s="10">
    <fb>646.45000000000005</fb>
    <v>20</v>
  </rv>
  <rv s="10">
    <fb>662.5</fb>
    <v>20</v>
  </rv>
  <rv s="10">
    <fb>649.65</fb>
    <v>20</v>
  </rv>
  <rv s="10">
    <fb>641.35</fb>
    <v>20</v>
  </rv>
  <rv s="10">
    <fb>649.1</fb>
    <v>20</v>
  </rv>
  <rv s="10">
    <fb>643.4</fb>
    <v>20</v>
  </rv>
  <rv s="10">
    <fb>650.5</fb>
    <v>20</v>
  </rv>
  <rv s="10">
    <fb>651.70000000000005</fb>
    <v>20</v>
  </rv>
  <rv s="10">
    <fb>659.6</fb>
    <v>20</v>
  </rv>
  <rv s="10">
    <fb>658.25</fb>
    <v>20</v>
  </rv>
  <rv s="10">
    <fb>678.1</fb>
    <v>20</v>
  </rv>
  <rv s="10">
    <fb>672.5</fb>
    <v>20</v>
  </rv>
  <rv s="10">
    <fb>672.55</fb>
    <v>20</v>
  </rv>
  <rv s="10">
    <fb>672</fb>
    <v>20</v>
  </rv>
  <rv s="10">
    <fb>688.35</fb>
    <v>20</v>
  </rv>
  <rv s="10">
    <fb>703.25</fb>
    <v>20</v>
  </rv>
  <rv s="10">
    <fb>701.9</fb>
    <v>20</v>
  </rv>
  <rv s="10">
    <fb>708.5</fb>
    <v>20</v>
  </rv>
  <rv s="10">
    <fb>707.25</fb>
    <v>20</v>
  </rv>
  <rv s="10">
    <fb>725.55</fb>
    <v>20</v>
  </rv>
  <rv s="10">
    <fb>717.4</fb>
    <v>20</v>
  </rv>
  <rv s="10">
    <fb>688.2</fb>
    <v>20</v>
  </rv>
  <rv s="10">
    <fb>687</fb>
    <v>20</v>
  </rv>
  <rv s="10">
    <fb>696.4</fb>
    <v>20</v>
  </rv>
  <rv s="10">
    <fb>695.65</fb>
    <v>20</v>
  </rv>
  <rv s="10">
    <fb>689.35</fb>
    <v>20</v>
  </rv>
  <rv s="10">
    <fb>678.55</fb>
    <v>20</v>
  </rv>
  <rv s="10">
    <fb>671.3</fb>
    <v>20</v>
  </rv>
  <rv s="10">
    <fb>663.35</fb>
    <v>20</v>
  </rv>
  <rv s="10">
    <fb>689.2</fb>
    <v>20</v>
  </rv>
  <rv s="10">
    <fb>681.55</fb>
    <v>20</v>
  </rv>
  <rv s="10">
    <fb>682</fb>
    <v>20</v>
  </rv>
  <rv s="10">
    <fb>672.1</fb>
    <v>20</v>
  </rv>
  <rv s="10">
    <fb>680.85</fb>
    <v>20</v>
  </rv>
  <rv s="10">
    <fb>703.55</fb>
    <v>20</v>
  </rv>
  <rv s="10">
    <fb>704.05</fb>
    <v>20</v>
  </rv>
  <rv s="10">
    <fb>719.45</fb>
    <v>20</v>
  </rv>
  <rv s="10">
    <fb>719.8</fb>
    <v>20</v>
  </rv>
  <rv s="10">
    <fb>702.85</fb>
    <v>20</v>
  </rv>
  <rv s="10">
    <fb>705.7</fb>
    <v>20</v>
  </rv>
  <rv s="10">
    <fb>704.6</fb>
    <v>20</v>
  </rv>
  <rv s="10">
    <fb>700.25</fb>
    <v>20</v>
  </rv>
  <rv s="10">
    <fb>704.15</fb>
    <v>20</v>
  </rv>
  <rv s="10">
    <fb>703.35</fb>
    <v>20</v>
  </rv>
  <rv s="10">
    <fb>714.6</fb>
    <v>20</v>
  </rv>
  <rv s="10">
    <fb>703.85</fb>
    <v>20</v>
  </rv>
  <rv s="10">
    <fb>699.65</fb>
    <v>20</v>
  </rv>
  <rv s="10">
    <fb>692.1</fb>
    <v>20</v>
  </rv>
  <rv s="10">
    <fb>666.2</fb>
    <v>20</v>
  </rv>
  <rv s="10">
    <fb>658.05</fb>
    <v>20</v>
  </rv>
  <rv s="10">
    <fb>645.04999999999995</fb>
    <v>20</v>
  </rv>
  <rv s="10">
    <fb>659.35</fb>
    <v>20</v>
  </rv>
  <rv s="10">
    <fb>663.3</fb>
    <v>20</v>
  </rv>
  <rv s="10">
    <fb>665.35</fb>
    <v>20</v>
  </rv>
  <rv s="10">
    <fb>652.85</fb>
    <v>20</v>
  </rv>
  <rv s="10">
    <fb>655.29999999999995</fb>
    <v>20</v>
  </rv>
  <rv s="10">
    <fb>663.6</fb>
    <v>20</v>
  </rv>
  <rv s="10">
    <fb>671.5</fb>
    <v>20</v>
  </rv>
  <rv s="10">
    <fb>681.1</fb>
    <v>20</v>
  </rv>
  <rv s="10">
    <fb>676.9</fb>
    <v>20</v>
  </rv>
  <rv s="10">
    <fb>670.55</fb>
    <v>20</v>
  </rv>
  <rv s="10">
    <fb>672.45</fb>
    <v>20</v>
  </rv>
  <rv s="10">
    <fb>677.15</fb>
    <v>20</v>
  </rv>
  <rv s="10">
    <fb>671</fb>
    <v>20</v>
  </rv>
  <rv s="10">
    <fb>677.35</fb>
    <v>20</v>
  </rv>
  <rv s="10">
    <fb>679.65</fb>
    <v>20</v>
  </rv>
  <rv s="10">
    <fb>707.35</fb>
    <v>20</v>
  </rv>
  <rv s="10">
    <fb>701.3</fb>
    <v>20</v>
  </rv>
  <rv s="10">
    <fb>708.95</fb>
    <v>20</v>
  </rv>
  <rv s="10">
    <fb>700</fb>
    <v>20</v>
  </rv>
  <rv s="10">
    <fb>692.8</fb>
    <v>20</v>
  </rv>
  <rv s="10">
    <fb>696.8</fb>
    <v>20</v>
  </rv>
  <rv s="10">
    <fb>700.5</fb>
    <v>20</v>
  </rv>
  <rv s="10">
    <fb>705.75</fb>
    <v>20</v>
  </rv>
  <rv s="10">
    <fb>720.85</fb>
    <v>20</v>
  </rv>
  <rv s="10">
    <fb>715.1</fb>
    <v>20</v>
  </rv>
  <rv s="10">
    <fb>740.5</fb>
    <v>20</v>
  </rv>
  <rv s="10">
    <fb>757.8</fb>
    <v>20</v>
  </rv>
  <rv s="10">
    <fb>749.55</fb>
    <v>20</v>
  </rv>
  <rv s="10">
    <fb>762.1</fb>
    <v>20</v>
  </rv>
  <rv s="10">
    <fb>770.6</fb>
    <v>20</v>
  </rv>
  <rv s="10">
    <fb>777.95</fb>
    <v>20</v>
  </rv>
  <rv s="10">
    <fb>791.05</fb>
    <v>20</v>
  </rv>
  <rv s="10">
    <fb>780.85</fb>
    <v>20</v>
  </rv>
  <rv s="10">
    <fb>879.15</fb>
    <v>20</v>
  </rv>
  <rv s="10">
    <fb>882.1</fb>
    <v>20</v>
  </rv>
  <rv s="10">
    <fb>815.15</fb>
    <v>20</v>
  </rv>
  <rv s="10">
    <fb>868.25</fb>
    <v>20</v>
  </rv>
  <rv s="10">
    <fb>860.9</fb>
    <v>20</v>
  </rv>
  <rv s="10">
    <fb>869.8</fb>
    <v>20</v>
  </rv>
  <rv s="10">
    <fb>867.5</fb>
    <v>20</v>
  </rv>
  <rv s="10">
    <fb>864.15</fb>
    <v>20</v>
  </rv>
  <rv s="10">
    <fb>887.5</fb>
    <v>20</v>
  </rv>
  <rv s="10">
    <fb>891.85</fb>
    <v>20</v>
  </rv>
  <rv s="10">
    <fb>886.2</fb>
    <v>20</v>
  </rv>
  <rv s="10">
    <fb>899.25</fb>
    <v>20</v>
  </rv>
  <rv s="10">
    <fb>901.55</fb>
    <v>20</v>
  </rv>
  <rv s="10">
    <fb>905.9</fb>
    <v>20</v>
  </rv>
  <rv s="10">
    <fb>916.55</fb>
    <v>20</v>
  </rv>
  <rv s="10">
    <fb>918.8</fb>
    <v>20</v>
  </rv>
  <rv s="10">
    <fb>941.7</fb>
    <v>20</v>
  </rv>
  <rv s="10">
    <fb>940.3</fb>
    <v>20</v>
  </rv>
  <rv s="10">
    <fb>951.2</fb>
    <v>20</v>
  </rv>
  <rv s="10">
    <fb>967.4</fb>
    <v>20</v>
  </rv>
  <rv s="10">
    <fb>949.65</fb>
    <v>20</v>
  </rv>
  <rv s="10">
    <fb>934.7</fb>
    <v>20</v>
  </rv>
  <rv s="10">
    <fb>927.25</fb>
    <v>20</v>
  </rv>
  <rv s="10">
    <fb>983.8</fb>
    <v>20</v>
  </rv>
  <rv s="10">
    <fb>1027</fb>
    <v>20</v>
  </rv>
  <rv s="10">
    <fb>935.35</fb>
    <v>20</v>
  </rv>
  <rv s="10">
    <fb>970.6</fb>
    <v>20</v>
  </rv>
  <rv s="10">
    <fb>970.3</fb>
    <v>20</v>
  </rv>
  <rv s="10">
    <fb>424.45</fb>
    <v>20</v>
  </rv>
  <rv s="10">
    <fb>427.15</fb>
    <v>20</v>
  </rv>
  <rv s="10">
    <fb>424.6</fb>
    <v>20</v>
  </rv>
  <rv s="10">
    <fb>428.75</fb>
    <v>20</v>
  </rv>
  <rv s="10">
    <fb>431.45</fb>
    <v>20</v>
  </rv>
  <rv s="10">
    <fb>423.8</fb>
    <v>20</v>
  </rv>
  <rv s="10">
    <fb>425.35</fb>
    <v>20</v>
  </rv>
  <rv s="10">
    <fb>420.4</fb>
    <v>20</v>
  </rv>
  <rv s="10">
    <fb>420.45</fb>
    <v>20</v>
  </rv>
  <rv s="10">
    <fb>427.8</fb>
    <v>20</v>
  </rv>
  <rv s="10">
    <fb>423.95</fb>
    <v>20</v>
  </rv>
  <rv s="10">
    <fb>419.7</fb>
    <v>20</v>
  </rv>
  <rv s="10">
    <fb>419.85</fb>
    <v>20</v>
  </rv>
  <rv s="10">
    <fb>424.75</fb>
    <v>20</v>
  </rv>
  <rv s="10">
    <fb>429.15</fb>
    <v>20</v>
  </rv>
  <rv s="10">
    <fb>433.5</fb>
    <v>20</v>
  </rv>
  <rv s="10">
    <fb>441.15</fb>
    <v>20</v>
  </rv>
  <rv s="10">
    <fb>443.6</fb>
    <v>20</v>
  </rv>
  <rv s="10">
    <fb>449.1</fb>
    <v>20</v>
  </rv>
  <rv s="10">
    <fb>449.9</fb>
    <v>20</v>
  </rv>
  <rv s="10">
    <fb>445.5</fb>
    <v>20</v>
  </rv>
  <rv s="10">
    <fb>439.7</fb>
    <v>20</v>
  </rv>
  <rv s="10">
    <fb>443.4</fb>
    <v>20</v>
  </rv>
  <rv s="10">
    <fb>440.65</fb>
    <v>20</v>
  </rv>
  <rv s="10">
    <fb>442.8</fb>
    <v>20</v>
  </rv>
  <rv s="10">
    <fb>443.95</fb>
    <v>20</v>
  </rv>
  <rv s="10">
    <fb>442.9</fb>
    <v>20</v>
  </rv>
  <rv s="10">
    <fb>438.45</fb>
    <v>20</v>
  </rv>
  <rv s="10">
    <fb>436.95</fb>
    <v>20</v>
  </rv>
  <rv s="10">
    <fb>445.4</fb>
    <v>20</v>
  </rv>
  <rv s="10">
    <fb>444.5</fb>
    <v>20</v>
  </rv>
  <rv s="10">
    <fb>448.1</fb>
    <v>20</v>
  </rv>
  <rv s="10">
    <fb>453.1</fb>
    <v>20</v>
  </rv>
  <rv s="10">
    <fb>453.6</fb>
    <v>20</v>
  </rv>
  <rv s="10">
    <fb>452.85</fb>
    <v>20</v>
  </rv>
  <rv s="10">
    <fb>447.05</fb>
    <v>20</v>
  </rv>
  <rv s="10">
    <fb>447.65</fb>
    <v>20</v>
  </rv>
  <rv s="10">
    <fb>444.75</fb>
    <v>20</v>
  </rv>
  <rv s="10">
    <fb>445.7</fb>
    <v>20</v>
  </rv>
  <rv s="10">
    <fb>445.1</fb>
    <v>20</v>
  </rv>
  <rv s="10">
    <fb>449.35</fb>
    <v>20</v>
  </rv>
  <rv s="10">
    <fb>451.6</fb>
    <v>20</v>
  </rv>
  <rv s="10">
    <fb>463.25</fb>
    <v>20</v>
  </rv>
  <rv s="10">
    <fb>466.35</fb>
    <v>20</v>
  </rv>
  <rv s="10">
    <fb>475.1</fb>
    <v>20</v>
  </rv>
  <rv s="10">
    <fb>473.9</fb>
    <v>20</v>
  </rv>
  <rv s="10">
    <fb>465.85</fb>
    <v>20</v>
  </rv>
  <rv s="10">
    <fb>473.15</fb>
    <v>20</v>
  </rv>
  <rv s="10">
    <fb>472.3</fb>
    <v>20</v>
  </rv>
  <rv s="10">
    <fb>472</fb>
    <v>20</v>
  </rv>
  <rv s="10">
    <fb>472.9</fb>
    <v>20</v>
  </rv>
  <rv s="10">
    <fb>472.35</fb>
    <v>20</v>
  </rv>
  <rv s="10">
    <fb>472.5</fb>
    <v>20</v>
  </rv>
  <rv s="10">
    <fb>478.85</fb>
    <v>20</v>
  </rv>
  <rv s="10">
    <fb>492.15</fb>
    <v>20</v>
  </rv>
  <rv s="10">
    <fb>471.35</fb>
    <v>20</v>
  </rv>
  <rv s="10">
    <fb>462.3</fb>
    <v>20</v>
  </rv>
  <rv s="10">
    <fb>472.25</fb>
    <v>20</v>
  </rv>
  <rv s="10">
    <fb>465.05</fb>
    <v>20</v>
  </rv>
  <rv s="10">
    <fb>468.45</fb>
    <v>20</v>
  </rv>
  <rv s="10">
    <fb>465.7</fb>
    <v>20</v>
  </rv>
  <rv s="10">
    <fb>464.8</fb>
    <v>20</v>
  </rv>
  <rv s="10">
    <fb>460.1</fb>
    <v>20</v>
  </rv>
  <rv s="10">
    <fb>456.05</fb>
    <v>20</v>
  </rv>
  <rv s="10">
    <fb>454.95</fb>
    <v>20</v>
  </rv>
  <rv s="10">
    <fb>454.9</fb>
    <v>20</v>
  </rv>
  <rv s="10">
    <fb>452.35</fb>
    <v>20</v>
  </rv>
  <rv s="10">
    <fb>451.75</fb>
    <v>20</v>
  </rv>
  <rv s="10">
    <fb>448.75</fb>
    <v>20</v>
  </rv>
  <rv s="10">
    <fb>449.2</fb>
    <v>20</v>
  </rv>
  <rv s="10">
    <fb>450.25</fb>
    <v>20</v>
  </rv>
  <rv s="10">
    <fb>441</fb>
    <v>20</v>
  </rv>
  <rv s="10">
    <fb>441.65</fb>
    <v>20</v>
  </rv>
  <rv s="10">
    <fb>447.8</fb>
    <v>20</v>
  </rv>
  <rv s="10">
    <fb>454.25</fb>
    <v>20</v>
  </rv>
  <rv s="10">
    <fb>450.45</fb>
    <v>20</v>
  </rv>
  <rv s="10">
    <fb>450.9</fb>
    <v>20</v>
  </rv>
  <rv s="10">
    <fb>443.35</fb>
    <v>20</v>
  </rv>
  <rv s="10">
    <fb>441.4</fb>
    <v>20</v>
  </rv>
  <rv s="10">
    <fb>440.1</fb>
    <v>20</v>
  </rv>
  <rv s="10">
    <fb>441.05</fb>
    <v>20</v>
  </rv>
  <rv s="10">
    <fb>437.5</fb>
    <v>20</v>
  </rv>
  <rv s="10">
    <fb>443.1</fb>
    <v>20</v>
  </rv>
  <rv s="10">
    <fb>447.45</fb>
    <v>20</v>
  </rv>
  <rv s="10">
    <fb>445.9</fb>
    <v>20</v>
  </rv>
  <rv s="10">
    <fb>442.65</fb>
    <v>20</v>
  </rv>
  <rv s="10">
    <fb>447.2</fb>
    <v>20</v>
  </rv>
  <rv s="10">
    <fb>451.15</fb>
    <v>20</v>
  </rv>
  <rv s="10">
    <fb>453.5</fb>
    <v>20</v>
  </rv>
  <rv s="10">
    <fb>449.95</fb>
    <v>20</v>
  </rv>
  <rv s="10">
    <fb>448.35</fb>
    <v>20</v>
  </rv>
  <rv s="10">
    <fb>452.05</fb>
    <v>20</v>
  </rv>
  <rv s="10">
    <fb>452.95</fb>
    <v>20</v>
  </rv>
  <rv s="10">
    <fb>447.5</fb>
    <v>20</v>
  </rv>
  <rv s="10">
    <fb>442.6</fb>
    <v>20</v>
  </rv>
  <rv s="10">
    <fb>442.45</fb>
    <v>20</v>
  </rv>
  <rv s="10">
    <fb>449.15</fb>
    <v>20</v>
  </rv>
  <rv s="10">
    <fb>440.75</fb>
    <v>20</v>
  </rv>
  <rv s="10">
    <fb>444.4</fb>
    <v>20</v>
  </rv>
  <rv s="10">
    <fb>439.75</fb>
    <v>20</v>
  </rv>
  <rv s="10">
    <fb>436.1</fb>
    <v>20</v>
  </rv>
  <rv s="10">
    <fb>436.05</fb>
    <v>20</v>
  </rv>
  <rv s="10">
    <fb>442.15</fb>
    <v>20</v>
  </rv>
  <rv s="10">
    <fb>440.45</fb>
    <v>20</v>
  </rv>
  <rv s="10">
    <fb>448.25</fb>
    <v>20</v>
  </rv>
  <rv s="10">
    <fb>450.7</fb>
    <v>20</v>
  </rv>
  <rv s="10">
    <fb>448.95</fb>
    <v>20</v>
  </rv>
  <rv s="10">
    <fb>453.45</fb>
    <v>20</v>
  </rv>
  <rv s="10">
    <fb>451.65</fb>
    <v>20</v>
  </rv>
  <rv s="10">
    <fb>450.4</fb>
    <v>20</v>
  </rv>
  <rv s="10">
    <fb>438.3</fb>
    <v>20</v>
  </rv>
  <rv s="10">
    <fb>435.9</fb>
    <v>20</v>
  </rv>
  <rv s="10">
    <fb>432.7</fb>
    <v>20</v>
  </rv>
  <rv s="10">
    <fb>434.35</fb>
    <v>20</v>
  </rv>
  <rv s="10">
    <fb>433.75</fb>
    <v>20</v>
  </rv>
  <rv s="10">
    <fb>430.45</fb>
    <v>20</v>
  </rv>
  <rv s="10">
    <fb>428.4</fb>
    <v>20</v>
  </rv>
  <rv s="10">
    <fb>428.1</fb>
    <v>20</v>
  </rv>
  <rv s="10">
    <fb>431.15</fb>
    <v>20</v>
  </rv>
  <rv s="10">
    <fb>433.25</fb>
    <v>20</v>
  </rv>
  <rv s="10">
    <fb>435.35</fb>
    <v>20</v>
  </rv>
  <rv s="10">
    <fb>434.4</fb>
    <v>20</v>
  </rv>
  <rv s="10">
    <fb>436.55</fb>
    <v>20</v>
  </rv>
  <rv s="10">
    <fb>436</fb>
    <v>20</v>
  </rv>
  <rv s="10">
    <fb>441.95</fb>
    <v>20</v>
  </rv>
  <rv s="10">
    <fb>438.65</fb>
    <v>20</v>
  </rv>
  <rv s="10">
    <fb>439.25</fb>
    <v>20</v>
  </rv>
  <rv s="10">
    <fb>436.8</fb>
    <v>20</v>
  </rv>
  <rv s="10">
    <fb>436.25</fb>
    <v>20</v>
  </rv>
  <rv s="10">
    <fb>440.35</fb>
    <v>20</v>
  </rv>
  <rv s="10">
    <fb>437.8</fb>
    <v>20</v>
  </rv>
  <rv s="10">
    <fb>435.25</fb>
    <v>20</v>
  </rv>
  <rv s="10">
    <fb>437.2</fb>
    <v>20</v>
  </rv>
  <rv s="10">
    <fb>435.8</fb>
    <v>20</v>
  </rv>
  <rv s="10">
    <fb>449.8</fb>
    <v>20</v>
  </rv>
  <rv s="10">
    <fb>454.05</fb>
    <v>20</v>
  </rv>
  <rv s="10">
    <fb>458.1</fb>
    <v>20</v>
  </rv>
  <rv s="10">
    <fb>458.2</fb>
    <v>20</v>
  </rv>
  <rv s="10">
    <fb>451</fb>
    <v>20</v>
  </rv>
  <rv s="10">
    <fb>451.45</fb>
    <v>20</v>
  </rv>
  <rv s="10">
    <fb>455.2</fb>
    <v>20</v>
  </rv>
  <rv s="10">
    <fb>456.45</fb>
    <v>20</v>
  </rv>
  <rv s="10">
    <fb>457.1</fb>
    <v>20</v>
  </rv>
  <rv s="10">
    <fb>464.1</fb>
    <v>20</v>
  </rv>
  <rv s="10">
    <fb>462.1</fb>
    <v>20</v>
  </rv>
  <rv s="10">
    <fb>468.05</fb>
    <v>20</v>
  </rv>
  <rv s="10">
    <fb>470.35</fb>
    <v>20</v>
  </rv>
  <rv s="10">
    <fb>477.25</fb>
    <v>20</v>
  </rv>
  <rv s="10">
    <fb>476.4</fb>
    <v>20</v>
  </rv>
  <rv s="10">
    <fb>473.95</fb>
    <v>20</v>
  </rv>
  <rv s="10">
    <fb>465.5</fb>
    <v>20</v>
  </rv>
  <rv s="10">
    <fb>464.55</fb>
    <v>20</v>
  </rv>
  <rv s="10">
    <fb>463.3</fb>
    <v>20</v>
  </rv>
  <rv s="10">
    <fb>462.65</fb>
    <v>20</v>
  </rv>
  <rv s="10">
    <fb>466.7</fb>
    <v>20</v>
  </rv>
  <rv s="10">
    <fb>467.6</fb>
    <v>20</v>
  </rv>
  <rv s="10">
    <fb>466.6</fb>
    <v>20</v>
  </rv>
  <rv s="10">
    <fb>471.5</fb>
    <v>20</v>
  </rv>
  <rv s="10">
    <fb>459.3</fb>
    <v>20</v>
  </rv>
  <rv s="10">
    <fb>463.6</fb>
    <v>20</v>
  </rv>
  <rv s="10">
    <fb>438.05</fb>
    <v>20</v>
  </rv>
  <rv s="10">
    <fb>441.55</fb>
    <v>20</v>
  </rv>
  <rv s="10">
    <fb>431.4</fb>
    <v>20</v>
  </rv>
  <rv s="10">
    <fb>431.8</fb>
    <v>20</v>
  </rv>
  <rv s="10">
    <fb>414.55</fb>
    <v>20</v>
  </rv>
  <rv s="10">
    <fb>415.5</fb>
    <v>20</v>
  </rv>
  <rv s="10">
    <fb>406.85</fb>
    <v>20</v>
  </rv>
  <rv s="10">
    <fb>406.75</fb>
    <v>20</v>
  </rv>
  <rv s="10">
    <fb>411.55</fb>
    <v>20</v>
  </rv>
  <rv s="10">
    <fb>403.9</fb>
    <v>20</v>
  </rv>
  <rv s="10">
    <fb>404.6</fb>
    <v>20</v>
  </rv>
  <rv s="10">
    <fb>409.25</fb>
    <v>20</v>
  </rv>
  <rv s="10">
    <fb>406.1</fb>
    <v>20</v>
  </rv>
  <rv s="10">
    <fb>403.35</fb>
    <v>20</v>
  </rv>
  <rv s="10">
    <fb>414.45</fb>
    <v>20</v>
  </rv>
  <rv s="10">
    <fb>411.4</fb>
    <v>20</v>
  </rv>
  <rv s="10">
    <fb>409.2</fb>
    <v>20</v>
  </rv>
  <rv s="10">
    <fb>411.15</fb>
    <v>20</v>
  </rv>
  <rv s="10">
    <fb>408.3</fb>
    <v>20</v>
  </rv>
  <rv s="10">
    <fb>406.3</fb>
    <v>20</v>
  </rv>
  <rv s="10">
    <fb>412.05</fb>
    <v>20</v>
  </rv>
  <rv s="10">
    <fb>409.1</fb>
    <v>20</v>
  </rv>
  <rv s="10">
    <fb>406.15</fb>
    <v>20</v>
  </rv>
  <rv s="10">
    <fb>407.85</fb>
    <v>20</v>
  </rv>
  <rv s="10">
    <fb>413.55</fb>
    <v>20</v>
  </rv>
  <rv s="10">
    <fb>409.4</fb>
    <v>20</v>
  </rv>
  <rv s="10">
    <fb>404.45</fb>
    <v>20</v>
  </rv>
  <rv s="10">
    <fb>422.45</fb>
    <v>20</v>
  </rv>
  <rv s="10">
    <fb>419.65</fb>
    <v>20</v>
  </rv>
  <rv s="10">
    <fb>419.1</fb>
    <v>20</v>
  </rv>
  <rv s="10">
    <fb>417.45</fb>
    <v>20</v>
  </rv>
  <rv s="10">
    <fb>409.55</fb>
    <v>20</v>
  </rv>
  <rv s="10">
    <fb>415.7</fb>
    <v>20</v>
  </rv>
  <rv s="10">
    <fb>421.25</fb>
    <v>20</v>
  </rv>
  <rv s="10">
    <fb>428.6</fb>
    <v>20</v>
  </rv>
  <rv s="10">
    <fb>427.65</fb>
    <v>20</v>
  </rv>
  <rv s="10">
    <fb>428</fb>
    <v>20</v>
  </rv>
  <rv s="10">
    <fb>428.35</fb>
    <v>20</v>
  </rv>
  <rv s="10">
    <fb>426.7</fb>
    <v>20</v>
  </rv>
  <rv s="10">
    <fb>425.85</fb>
    <v>20</v>
  </rv>
  <rv s="10">
    <fb>425.2</fb>
    <v>20</v>
  </rv>
  <rv s="10">
    <fb>422.75</fb>
    <v>20</v>
  </rv>
  <rv s="10">
    <fb>427.55</fb>
    <v>20</v>
  </rv>
  <rv s="10">
    <fb>429.1</fb>
    <v>20</v>
  </rv>
  <rv s="10">
    <fb>426.35</fb>
    <v>20</v>
  </rv>
  <rv s="10">
    <fb>430.1</fb>
    <v>20</v>
  </rv>
  <rv s="10">
    <fb>425.9</fb>
    <v>20</v>
  </rv>
  <rv s="10">
    <fb>418.85</fb>
    <v>20</v>
  </rv>
  <rv s="10">
    <fb>425.3</fb>
    <v>20</v>
  </rv>
  <rv s="10">
    <fb>429.2</fb>
    <v>20</v>
  </rv>
  <rv s="10">
    <fb>428.9</fb>
    <v>20</v>
  </rv>
  <rv s="10">
    <fb>437.55</fb>
    <v>20</v>
  </rv>
  <rv s="10">
    <fb>440</fb>
    <v>20</v>
  </rv>
  <rv s="10">
    <fb>438.2</fb>
    <v>20</v>
  </rv>
  <rv s="10">
    <fb>248.9</fb>
    <v>20</v>
  </rv>
  <rv s="10">
    <fb>236.45</fb>
    <v>20</v>
  </rv>
  <rv s="10">
    <fb>224.65</fb>
    <v>20</v>
  </rv>
  <rv s="10">
    <fb>213.45</fb>
    <v>20</v>
  </rv>
  <rv s="10">
    <fb>214.5</fb>
    <v>20</v>
  </rv>
  <rv s="10">
    <fb>211.15</fb>
    <v>20</v>
  </rv>
  <rv s="10">
    <fb>220.25</fb>
    <v>20</v>
  </rv>
  <rv s="10">
    <fb>231.25</fb>
    <v>20</v>
  </rv>
  <rv s="10">
    <fb>233.5</fb>
    <v>20</v>
  </rv>
  <rv s="10">
    <fb>245.15</fb>
    <v>20</v>
  </rv>
  <rv s="10">
    <fb>253.45</fb>
    <v>20</v>
  </rv>
  <rv s="10">
    <fb>255.05</fb>
    <v>20</v>
  </rv>
  <rv s="10">
    <fb>252.85</fb>
    <v>20</v>
  </rv>
  <rv s="10">
    <fb>251.8</fb>
    <v>20</v>
  </rv>
  <rv s="10">
    <fb>253.2</fb>
    <v>20</v>
  </rv>
  <rv s="10">
    <fb>250.15</fb>
    <v>20</v>
  </rv>
  <rv s="10">
    <fb>244.25</fb>
    <v>20</v>
  </rv>
  <rv s="10">
    <fb>240.2</fb>
    <v>20</v>
  </rv>
  <rv s="10">
    <fb>242.55</fb>
    <v>20</v>
  </rv>
  <rv s="10">
    <fb>239.4</fb>
    <v>20</v>
  </rv>
  <rv s="10">
    <fb>229.65</fb>
    <v>20</v>
  </rv>
  <rv s="10">
    <fb>227.65</fb>
    <v>20</v>
  </rv>
  <rv s="10">
    <fb>227.8</fb>
    <v>20</v>
  </rv>
  <rv s="10">
    <fb>229.75</fb>
    <v>20</v>
  </rv>
  <rv s="10">
    <fb>230.4</fb>
    <v>20</v>
  </rv>
  <rv s="10">
    <fb>227.35</fb>
    <v>20</v>
  </rv>
  <rv s="10">
    <fb>225.05</fb>
    <v>20</v>
  </rv>
  <rv s="10">
    <fb>231.2</fb>
    <v>20</v>
  </rv>
  <rv s="10">
    <fb>225.4</fb>
    <v>20</v>
  </rv>
  <rv s="10">
    <fb>225.1</fb>
    <v>20</v>
  </rv>
  <rv s="10">
    <fb>219.65</fb>
    <v>20</v>
  </rv>
  <rv s="10">
    <fb>220.15</fb>
    <v>20</v>
  </rv>
  <rv s="10">
    <fb>225.15</fb>
    <v>20</v>
  </rv>
  <rv s="10">
    <fb>224.55</fb>
    <v>20</v>
  </rv>
  <rv s="10">
    <fb>224.8</fb>
    <v>20</v>
  </rv>
  <rv s="10">
    <fb>220.95</fb>
    <v>20</v>
  </rv>
  <rv s="10">
    <fb>216</fb>
    <v>20</v>
  </rv>
  <rv s="10">
    <fb>214.2</fb>
    <v>20</v>
  </rv>
  <rv s="10">
    <fb>206.6</fb>
    <v>20</v>
  </rv>
  <rv s="10">
    <fb>210.15</fb>
    <v>20</v>
  </rv>
  <rv s="10">
    <fb>215.85</fb>
    <v>20</v>
  </rv>
  <rv s="10">
    <fb>222.9</fb>
    <v>20</v>
  </rv>
  <rv s="10">
    <fb>219</fb>
    <v>20</v>
  </rv>
  <rv s="10">
    <fb>217.35</fb>
    <v>20</v>
  </rv>
  <rv s="10">
    <fb>219.05</fb>
    <v>20</v>
  </rv>
  <rv s="10">
    <fb>217.15</fb>
    <v>20</v>
  </rv>
  <rv s="10">
    <fb>215.15</fb>
    <v>20</v>
  </rv>
  <rv s="10">
    <fb>221.95</fb>
    <v>20</v>
  </rv>
  <rv s="10">
    <fb>225.55</fb>
    <v>20</v>
  </rv>
  <rv s="10">
    <fb>224.75</fb>
    <v>20</v>
  </rv>
  <rv s="10">
    <fb>224.15</fb>
    <v>20</v>
  </rv>
  <rv s="10">
    <fb>226.95</fb>
    <v>20</v>
  </rv>
  <rv s="10">
    <fb>220.8</fb>
    <v>20</v>
  </rv>
  <rv s="10">
    <fb>215.5</fb>
    <v>20</v>
  </rv>
  <rv s="10">
    <fb>220.2</fb>
    <v>20</v>
  </rv>
  <rv s="10">
    <fb>221.9</fb>
    <v>20</v>
  </rv>
  <rv s="10">
    <fb>221.25</fb>
    <v>20</v>
  </rv>
  <rv s="10">
    <fb>226.5</fb>
    <v>20</v>
  </rv>
  <rv s="10">
    <fb>226.35</fb>
    <v>20</v>
  </rv>
  <rv s="10">
    <fb>226.05</fb>
    <v>20</v>
  </rv>
  <rv s="10">
    <fb>229.4</fb>
    <v>20</v>
  </rv>
  <rv s="10">
    <fb>225.5</fb>
    <v>20</v>
  </rv>
  <rv s="10">
    <fb>230.1</fb>
    <v>20</v>
  </rv>
  <rv s="10">
    <fb>242.5</fb>
    <v>20</v>
  </rv>
  <rv s="10">
    <fb>247.05</fb>
    <v>20</v>
  </rv>
  <rv s="10">
    <fb>249.15</fb>
    <v>20</v>
  </rv>
  <rv s="10">
    <fb>245.6</fb>
    <v>20</v>
  </rv>
  <rv s="10">
    <fb>240.55</fb>
    <v>20</v>
  </rv>
  <rv s="10">
    <fb>239.75</fb>
    <v>20</v>
  </rv>
  <rv s="10">
    <fb>238.6</fb>
    <v>20</v>
  </rv>
  <rv s="10">
    <fb>237.65</fb>
    <v>20</v>
  </rv>
  <rv s="10">
    <fb>240.15</fb>
    <v>20</v>
  </rv>
  <rv s="10">
    <fb>238.3</fb>
    <v>20</v>
  </rv>
  <rv s="10">
    <fb>232.1</fb>
    <v>20</v>
  </rv>
  <rv s="10">
    <fb>238</fb>
    <v>20</v>
  </rv>
  <rv s="10">
    <fb>236.75</fb>
    <v>20</v>
  </rv>
  <rv s="10">
    <fb>234.7</fb>
    <v>20</v>
  </rv>
  <rv s="10">
    <fb>234</fb>
    <v>20</v>
  </rv>
  <rv s="10">
    <fb>233.35</fb>
    <v>20</v>
  </rv>
  <rv s="10">
    <fb>232.95</fb>
    <v>20</v>
  </rv>
  <rv s="10">
    <fb>234.55</fb>
    <v>20</v>
  </rv>
  <rv s="10">
    <fb>235.35</fb>
    <v>20</v>
  </rv>
  <rv s="10">
    <fb>234.5</fb>
    <v>20</v>
  </rv>
  <rv s="10">
    <fb>241.4</fb>
    <v>20</v>
  </rv>
  <rv s="10">
    <fb>243.65</fb>
    <v>20</v>
  </rv>
  <rv s="10">
    <fb>242.4</fb>
    <v>20</v>
  </rv>
  <rv s="10">
    <fb>242.15</fb>
    <v>20</v>
  </rv>
  <rv s="10">
    <fb>240.95</fb>
    <v>20</v>
  </rv>
  <rv s="10">
    <fb>251.55</fb>
    <v>20</v>
  </rv>
  <rv s="10">
    <fb>266.75</fb>
    <v>20</v>
  </rv>
  <rv s="10">
    <fb>248.85</fb>
    <v>20</v>
  </rv>
  <rv s="10">
    <fb>243.25</fb>
    <v>20</v>
  </rv>
  <rv s="10">
    <fb>246.25</fb>
    <v>20</v>
  </rv>
  <rv s="10">
    <fb>246.45</fb>
    <v>20</v>
  </rv>
  <rv s="10">
    <fb>240.4</fb>
    <v>20</v>
  </rv>
  <rv s="10">
    <fb>239.85</fb>
    <v>20</v>
  </rv>
  <rv s="10">
    <fb>247.7</fb>
    <v>20</v>
  </rv>
  <rv s="10">
    <fb>248.25</fb>
    <v>20</v>
  </rv>
  <rv s="10">
    <fb>252.4</fb>
    <v>20</v>
  </rv>
  <rv s="10">
    <fb>253.8</fb>
    <v>20</v>
  </rv>
  <rv s="10">
    <fb>289.10000000000002</fb>
    <v>20</v>
  </rv>
  <rv s="10">
    <fb>270.95</fb>
    <v>20</v>
  </rv>
  <rv s="10">
    <fb>268.5</fb>
    <v>20</v>
  </rv>
  <rv s="10">
    <fb>262.8</fb>
    <v>20</v>
  </rv>
  <rv s="10">
    <fb>273</fb>
    <v>20</v>
  </rv>
  <rv s="10">
    <fb>272.75</fb>
    <v>20</v>
  </rv>
  <rv s="10">
    <fb>274.05</fb>
    <v>20</v>
  </rv>
  <rv s="10">
    <fb>271.89999999999998</fb>
    <v>20</v>
  </rv>
  <rv s="10">
    <fb>281.7</fb>
    <v>20</v>
  </rv>
  <rv s="10">
    <fb>290.10000000000002</fb>
    <v>20</v>
  </rv>
  <rv s="10">
    <fb>302.85000000000002</fb>
    <v>20</v>
  </rv>
  <rv s="10">
    <fb>333.95</fb>
    <v>20</v>
  </rv>
  <rv s="10">
    <fb>327.8</fb>
    <v>20</v>
  </rv>
  <rv s="10">
    <fb>318.5</fb>
    <v>20</v>
  </rv>
  <rv s="10">
    <fb>308.3</fb>
    <v>20</v>
  </rv>
  <rv s="10">
    <fb>310</fb>
    <v>20</v>
  </rv>
  <rv s="10">
    <fb>317.89999999999998</fb>
    <v>20</v>
  </rv>
  <rv s="10">
    <fb>328.25</fb>
    <v>20</v>
  </rv>
  <rv s="10">
    <fb>322.60000000000002</fb>
    <v>20</v>
  </rv>
  <rv s="10">
    <fb>321.7</fb>
    <v>20</v>
  </rv>
  <rv s="10">
    <fb>326.35000000000002</fb>
    <v>20</v>
  </rv>
  <rv s="10">
    <fb>333.9</fb>
    <v>20</v>
  </rv>
  <rv s="10">
    <fb>355.65</fb>
    <v>20</v>
  </rv>
  <rv s="10">
    <fb>361.85</fb>
    <v>20</v>
  </rv>
  <rv s="10">
    <fb>328.2</fb>
    <v>20</v>
  </rv>
  <rv s="10">
    <fb>338.35</fb>
    <v>20</v>
  </rv>
  <rv s="10">
    <fb>344.75</fb>
    <v>20</v>
  </rv>
  <rv s="10">
    <fb>352.55</fb>
    <v>20</v>
  </rv>
  <rv s="10">
    <fb>353.3</fb>
    <v>20</v>
  </rv>
  <rv s="10">
    <fb>337.5</fb>
    <v>20</v>
  </rv>
  <rv s="10">
    <fb>338.7</fb>
    <v>20</v>
  </rv>
  <rv s="10">
    <fb>344.65</fb>
    <v>20</v>
  </rv>
  <rv s="10">
    <fb>346.15</fb>
    <v>20</v>
  </rv>
  <rv s="10">
    <fb>350.7</fb>
    <v>20</v>
  </rv>
  <rv s="10">
    <fb>353.75</fb>
    <v>20</v>
  </rv>
  <rv s="10">
    <fb>356.95</fb>
    <v>20</v>
  </rv>
  <rv s="10">
    <fb>357.1</fb>
    <v>20</v>
  </rv>
  <rv s="10">
    <fb>361.3</fb>
    <v>20</v>
  </rv>
  <rv s="10">
    <fb>373.2</fb>
    <v>20</v>
  </rv>
  <rv s="10">
    <fb>369.25</fb>
    <v>20</v>
  </rv>
  <rv s="10">
    <fb>367.7</fb>
    <v>20</v>
  </rv>
  <rv s="10">
    <fb>370.45</fb>
    <v>20</v>
  </rv>
  <rv s="10">
    <fb>372.2</fb>
    <v>20</v>
  </rv>
  <rv s="10">
    <fb>378.4</fb>
    <v>20</v>
  </rv>
  <rv s="10">
    <fb>370.1</fb>
    <v>20</v>
  </rv>
  <rv s="10">
    <fb>382.7</fb>
    <v>20</v>
  </rv>
  <rv s="10">
    <fb>387.95</fb>
    <v>20</v>
  </rv>
  <rv s="10">
    <fb>381.85</fb>
    <v>20</v>
  </rv>
  <rv s="10">
    <fb>382.3</fb>
    <v>20</v>
  </rv>
  <rv s="10">
    <fb>381.75</fb>
    <v>20</v>
  </rv>
  <rv s="10">
    <fb>380.5</fb>
    <v>20</v>
  </rv>
  <rv s="10">
    <fb>461.6</fb>
    <v>20</v>
  </rv>
  <rv s="10">
    <fb>458</fb>
    <v>20</v>
  </rv>
  <rv s="10">
    <fb>471.9</fb>
    <v>20</v>
  </rv>
  <rv s="10">
    <fb>465.15</fb>
    <v>20</v>
  </rv>
  <rv s="10">
    <fb>466</fb>
    <v>20</v>
  </rv>
  <rv s="10">
    <fb>469.15</fb>
    <v>20</v>
  </rv>
  <rv s="10">
    <fb>470.5</fb>
    <v>20</v>
  </rv>
  <rv s="10">
    <fb>467.35</fb>
    <v>20</v>
  </rv>
  <rv s="10">
    <fb>469.05</fb>
    <v>20</v>
  </rv>
  <rv s="10">
    <fb>481.1</fb>
    <v>20</v>
  </rv>
  <rv s="10">
    <fb>474.7</fb>
    <v>20</v>
  </rv>
  <rv s="10">
    <fb>468.7</fb>
    <v>20</v>
  </rv>
  <rv s="10">
    <fb>469.6</fb>
    <v>20</v>
  </rv>
  <rv s="10">
    <fb>474</fb>
    <v>20</v>
  </rv>
  <rv s="10">
    <fb>473.8</fb>
    <v>20</v>
  </rv>
  <rv s="10">
    <fb>489.15</fb>
    <v>20</v>
  </rv>
  <rv s="10">
    <fb>483.65</fb>
    <v>20</v>
  </rv>
  <rv s="10">
    <fb>482.4</fb>
    <v>20</v>
  </rv>
  <rv s="10">
    <fb>487.95</fb>
    <v>20</v>
  </rv>
  <rv s="10">
    <fb>483.3</fb>
    <v>20</v>
  </rv>
  <rv s="10">
    <fb>491.5</fb>
    <v>20</v>
  </rv>
  <rv s="10">
    <fb>492.05</fb>
    <v>20</v>
  </rv>
  <rv s="10">
    <fb>494</fb>
    <v>20</v>
  </rv>
  <rv s="10">
    <fb>490.75</fb>
    <v>20</v>
  </rv>
  <rv s="10">
    <fb>493.05</fb>
    <v>20</v>
  </rv>
  <rv s="10">
    <fb>486.05</fb>
    <v>20</v>
  </rv>
  <rv s="10">
    <fb>479.55</fb>
    <v>20</v>
  </rv>
  <rv s="10">
    <fb>483.15</fb>
    <v>20</v>
  </rv>
  <rv s="10">
    <fb>485</fb>
    <v>20</v>
  </rv>
  <rv s="10">
    <fb>494.3</fb>
    <v>20</v>
  </rv>
  <rv s="10">
    <fb>497</fb>
    <v>20</v>
  </rv>
  <rv s="10">
    <fb>498.15</fb>
    <v>20</v>
  </rv>
  <rv s="10">
    <fb>494.4</fb>
    <v>20</v>
  </rv>
  <rv s="10">
    <fb>495.15</fb>
    <v>20</v>
  </rv>
  <rv s="10">
    <fb>495.3</fb>
    <v>20</v>
  </rv>
  <rv s="10">
    <fb>486.7</fb>
    <v>20</v>
  </rv>
  <rv s="10">
    <fb>494.2</fb>
    <v>20</v>
  </rv>
  <rv s="10">
    <fb>495</fb>
    <v>20</v>
  </rv>
  <rv s="10">
    <fb>501.25</fb>
    <v>20</v>
  </rv>
  <rv s="10">
    <fb>502.2</fb>
    <v>20</v>
  </rv>
  <rv s="10">
    <fb>499.9</fb>
    <v>20</v>
  </rv>
  <rv s="10">
    <fb>493.55</fb>
    <v>20</v>
  </rv>
  <rv s="10">
    <fb>492.45</fb>
    <v>20</v>
  </rv>
  <rv s="10">
    <fb>493.25</fb>
    <v>20</v>
  </rv>
  <rv s="10">
    <fb>481.5</fb>
    <v>20</v>
  </rv>
  <rv s="10">
    <fb>480.15</fb>
    <v>20</v>
  </rv>
  <rv s="10">
    <fb>479.8</fb>
    <v>20</v>
  </rv>
  <rv s="10">
    <fb>471.15</fb>
    <v>20</v>
  </rv>
  <rv s="10">
    <fb>470.7</fb>
    <v>20</v>
  </rv>
  <rv s="10">
    <fb>474.85</fb>
    <v>20</v>
  </rv>
  <rv s="10">
    <fb>470.8</fb>
    <v>20</v>
  </rv>
  <rv s="10">
    <fb>476</fb>
    <v>20</v>
  </rv>
  <rv s="10">
    <fb>473.05</fb>
    <v>20</v>
  </rv>
  <rv s="10">
    <fb>466.95</fb>
    <v>20</v>
  </rv>
  <rv s="10">
    <fb>467</fb>
    <v>20</v>
  </rv>
  <rv s="10">
    <fb>476.65</fb>
    <v>20</v>
  </rv>
  <rv s="10">
    <fb>467.95</fb>
    <v>20</v>
  </rv>
  <rv s="10">
    <fb>477.7</fb>
    <v>20</v>
  </rv>
  <rv s="10">
    <fb>478.5</fb>
    <v>20</v>
  </rv>
  <rv s="10">
    <fb>490.4</fb>
    <v>20</v>
  </rv>
  <rv s="10">
    <fb>488.05</fb>
    <v>20</v>
  </rv>
  <rv s="10">
    <fb>491.25</fb>
    <v>20</v>
  </rv>
  <rv s="10">
    <fb>517.15</fb>
    <v>20</v>
  </rv>
  <rv s="10">
    <fb>513.54999999999995</fb>
    <v>20</v>
  </rv>
  <rv s="10">
    <fb>506</fb>
    <v>20</v>
  </rv>
  <rv s="10">
    <fb>501.05</fb>
    <v>20</v>
  </rv>
  <rv s="10">
    <fb>492.2</fb>
    <v>20</v>
  </rv>
  <rv s="10">
    <fb>491.1</fb>
    <v>20</v>
  </rv>
  <rv s="10">
    <fb>482.55</fb>
    <v>20</v>
  </rv>
  <rv s="10">
    <fb>478.3</fb>
    <v>20</v>
  </rv>
  <rv s="10">
    <fb>481.35</fb>
    <v>20</v>
  </rv>
  <rv s="10">
    <fb>483.5</fb>
    <v>20</v>
  </rv>
  <rv s="10">
    <fb>486.8</fb>
    <v>20</v>
  </rv>
  <rv s="10">
    <fb>485.1</fb>
    <v>20</v>
  </rv>
  <rv s="10">
    <fb>485.25</fb>
    <v>20</v>
  </rv>
  <rv s="10">
    <fb>512.04999999999995</fb>
    <v>20</v>
  </rv>
  <rv s="10">
    <fb>502.7</fb>
    <v>20</v>
  </rv>
  <rv s="10">
    <fb>533.29999999999995</fb>
    <v>20</v>
  </rv>
  <rv s="10">
    <fb>532.95000000000005</fb>
    <v>20</v>
  </rv>
  <rv s="10">
    <fb>545.65</fb>
    <v>20</v>
  </rv>
  <rv s="10">
    <fb>528</fb>
    <v>20</v>
  </rv>
  <rv s="10">
    <fb>518.54999999999995</fb>
    <v>20</v>
  </rv>
  <rv s="10">
    <fb>522.65</fb>
    <v>20</v>
  </rv>
  <rv s="10">
    <fb>538.95000000000005</fb>
    <v>20</v>
  </rv>
  <rv s="10">
    <fb>535.45000000000005</fb>
    <v>20</v>
  </rv>
  <rv s="10">
    <fb>541.25</fb>
    <v>20</v>
  </rv>
  <rv s="10">
    <fb>551.54999999999995</fb>
    <v>20</v>
  </rv>
  <rv s="10">
    <fb>540.65</fb>
    <v>20</v>
  </rv>
  <rv s="10">
    <fb>533.1</fb>
    <v>20</v>
  </rv>
  <rv s="10">
    <fb>540.29999999999995</fb>
    <v>20</v>
  </rv>
  <rv s="10">
    <fb>534.45000000000005</fb>
    <v>20</v>
  </rv>
  <rv s="10">
    <fb>530.20000000000005</fb>
    <v>20</v>
  </rv>
  <rv s="10">
    <fb>532.9</fb>
    <v>20</v>
  </rv>
  <rv s="10">
    <fb>536.9</fb>
    <v>20</v>
  </rv>
  <rv s="10">
    <fb>530.35</fb>
    <v>20</v>
  </rv>
  <rv s="10">
    <fb>543.25</fb>
    <v>20</v>
  </rv>
  <rv s="10">
    <fb>532.04999999999995</fb>
    <v>20</v>
  </rv>
  <rv s="10">
    <fb>535.79999999999995</fb>
    <v>20</v>
  </rv>
  <rv s="10">
    <fb>529.75</fb>
    <v>20</v>
  </rv>
  <rv s="10">
    <fb>527</fb>
    <v>20</v>
  </rv>
  <rv s="10">
    <fb>524.85</fb>
    <v>20</v>
  </rv>
  <rv s="10">
    <fb>529.1</fb>
    <v>20</v>
  </rv>
  <rv s="10">
    <fb>494.55</fb>
    <v>20</v>
  </rv>
  <rv s="10">
    <fb>500.95</fb>
    <v>20</v>
  </rv>
  <rv s="10">
    <fb>498.75</fb>
    <v>20</v>
  </rv>
  <rv s="10">
    <fb>501.4</fb>
    <v>20</v>
  </rv>
  <rv s="10">
    <fb>506.8</fb>
    <v>20</v>
  </rv>
  <rv s="10">
    <fb>507.95</fb>
    <v>20</v>
  </rv>
  <rv s="10">
    <fb>504.15</fb>
    <v>20</v>
  </rv>
  <rv s="10">
    <fb>505.75</fb>
    <v>20</v>
  </rv>
  <rv s="10">
    <fb>507.6</fb>
    <v>20</v>
  </rv>
  <rv s="10">
    <fb>504.95</fb>
    <v>20</v>
  </rv>
  <rv s="10">
    <fb>515.75</fb>
    <v>20</v>
  </rv>
  <rv s="10">
    <fb>527.35</fb>
    <v>20</v>
  </rv>
  <rv s="10">
    <fb>528.04999999999995</fb>
    <v>20</v>
  </rv>
  <rv s="10">
    <fb>521.25</fb>
    <v>20</v>
  </rv>
  <rv s="10">
    <fb>518.45000000000005</fb>
    <v>20</v>
  </rv>
  <rv s="10">
    <fb>544.85</fb>
    <v>20</v>
  </rv>
  <rv s="10">
    <fb>544.70000000000005</fb>
    <v>20</v>
  </rv>
  <rv s="10">
    <fb>563.25</fb>
    <v>20</v>
  </rv>
  <rv s="10">
    <fb>560.85</fb>
    <v>20</v>
  </rv>
  <rv s="10">
    <fb>565.4</fb>
    <v>20</v>
  </rv>
  <rv s="10">
    <fb>561.45000000000005</fb>
    <v>20</v>
  </rv>
  <rv s="10">
    <fb>555.85</fb>
    <v>20</v>
  </rv>
  <rv s="10">
    <fb>559.75</fb>
    <v>20</v>
  </rv>
  <rv s="10">
    <fb>560.54999999999995</fb>
    <v>20</v>
  </rv>
  <rv s="10">
    <fb>558.29999999999995</fb>
    <v>20</v>
  </rv>
  <rv s="10">
    <fb>556.15</fb>
    <v>20</v>
  </rv>
  <rv s="10">
    <fb>565.45000000000005</fb>
    <v>20</v>
  </rv>
  <rv s="10">
    <fb>559.1</fb>
    <v>20</v>
  </rv>
  <rv s="10">
    <fb>564.95000000000005</fb>
    <v>20</v>
  </rv>
  <rv s="10">
    <fb>581.45000000000005</fb>
    <v>20</v>
  </rv>
  <rv s="10">
    <fb>570.20000000000005</fb>
    <v>20</v>
  </rv>
  <rv s="10">
    <fb>567.5</fb>
    <v>20</v>
  </rv>
  <rv s="10">
    <fb>570.15</fb>
    <v>20</v>
  </rv>
  <rv s="10">
    <fb>558.6</fb>
    <v>20</v>
  </rv>
  <rv s="10">
    <fb>554</fb>
    <v>20</v>
  </rv>
  <rv s="10">
    <fb>555.54999999999995</fb>
    <v>20</v>
  </rv>
  <rv s="10">
    <fb>524.6</fb>
    <v>20</v>
  </rv>
  <rv s="10">
    <fb>522.9</fb>
    <v>20</v>
  </rv>
  <rv s="10">
    <fb>527.70000000000005</fb>
    <v>20</v>
  </rv>
  <rv s="10">
    <fb>524.29999999999995</fb>
    <v>20</v>
  </rv>
  <rv s="10">
    <fb>531.65</fb>
    <v>20</v>
  </rv>
  <rv s="10">
    <fb>523.20000000000005</fb>
    <v>20</v>
  </rv>
  <rv s="10">
    <fb>520.6</fb>
    <v>20</v>
  </rv>
  <rv s="10">
    <fb>525.5</fb>
    <v>20</v>
  </rv>
  <rv s="10">
    <fb>508.25</fb>
    <v>20</v>
  </rv>
  <rv s="10">
    <fb>513.15</fb>
    <v>20</v>
  </rv>
  <rv s="10">
    <fb>510.15</fb>
    <v>20</v>
  </rv>
  <rv s="10">
    <fb>519.54999999999995</fb>
    <v>20</v>
  </rv>
  <rv s="10">
    <fb>501.9</fb>
    <v>20</v>
  </rv>
  <rv s="10">
    <fb>494.85</fb>
    <v>20</v>
  </rv>
  <rv s="10">
    <fb>484.85</fb>
    <v>20</v>
  </rv>
  <rv s="10">
    <fb>479.85</fb>
    <v>20</v>
  </rv>
  <rv s="10">
    <fb>482.05</fb>
    <v>20</v>
  </rv>
  <rv s="10">
    <fb>475.3</fb>
    <v>20</v>
  </rv>
  <rv s="10">
    <fb>471.95</fb>
    <v>20</v>
  </rv>
  <rv s="10">
    <fb>479.35</fb>
    <v>20</v>
  </rv>
  <rv s="10">
    <fb>478.8</fb>
    <v>20</v>
  </rv>
  <rv s="10">
    <fb>496</fb>
    <v>20</v>
  </rv>
  <rv s="10">
    <fb>496.5</fb>
    <v>20</v>
  </rv>
  <rv s="10">
    <fb>507.7</fb>
    <v>20</v>
  </rv>
  <rv s="10">
    <fb>495.25</fb>
    <v>20</v>
  </rv>
  <rv s="10">
    <fb>491.4</fb>
    <v>20</v>
  </rv>
  <rv s="10">
    <fb>493.5</fb>
    <v>20</v>
  </rv>
  <rv s="10">
    <fb>486.5</fb>
    <v>20</v>
  </rv>
  <rv s="10">
    <fb>483.25</fb>
    <v>20</v>
  </rv>
  <rv s="10">
    <fb>469.7</fb>
    <v>20</v>
  </rv>
  <rv s="10">
    <fb>463.9</fb>
    <v>20</v>
  </rv>
  <rv s="10">
    <fb>463.1</fb>
    <v>20</v>
  </rv>
  <rv s="10">
    <fb>463.65</fb>
    <v>20</v>
  </rv>
  <rv s="10">
    <fb>457.25</fb>
    <v>20</v>
  </rv>
  <rv s="10">
    <fb>449.65</fb>
    <v>20</v>
  </rv>
  <rv s="10">
    <fb>453.4</fb>
    <v>20</v>
  </rv>
  <rv s="10">
    <fb>450.85</fb>
    <v>20</v>
  </rv>
  <rv s="10">
    <fb>445</fb>
    <v>20</v>
  </rv>
  <rv s="10">
    <fb>431</fb>
    <v>20</v>
  </rv>
  <rv s="10">
    <fb>444.95</fb>
    <v>20</v>
  </rv>
  <rv s="10">
    <fb>447.55</fb>
    <v>20</v>
  </rv>
  <rv s="10">
    <fb>450.3</fb>
    <v>20</v>
  </rv>
  <rv s="10">
    <fb>465.8</fb>
    <v>20</v>
  </rv>
  <rv s="10">
    <fb>448.85</fb>
    <v>20</v>
  </rv>
  <rv s="10">
    <fb>460.25</fb>
    <v>20</v>
  </rv>
  <rv s="10">
    <fb>460.5</fb>
    <v>20</v>
  </rv>
  <rv s="10">
    <fb>452.7</fb>
    <v>20</v>
  </rv>
  <rv s="10">
    <fb>448</fb>
    <v>20</v>
  </rv>
  <rv s="10">
    <fb>461.35</fb>
    <v>20</v>
  </rv>
  <rv s="10">
    <fb>444.7</fb>
    <v>20</v>
  </rv>
  <rv s="10">
    <fb>441.9</fb>
    <v>20</v>
  </rv>
  <rv s="10">
    <fb>435.65</fb>
    <v>20</v>
  </rv>
  <rv s="10">
    <fb>438.5</fb>
    <v>20</v>
  </rv>
  <rv s="10">
    <fb>440.15</fb>
    <v>20</v>
  </rv>
  <rv s="10">
    <fb>439</fb>
    <v>20</v>
  </rv>
  <rv s="10">
    <fb>437.35</fb>
    <v>20</v>
  </rv>
  <rv s="10">
    <fb>439.05</fb>
    <v>20</v>
  </rv>
  <rv s="10">
    <fb>935.3</fb>
    <v>20</v>
  </rv>
  <rv s="10">
    <fb>922.4</fb>
    <v>20</v>
  </rv>
  <rv s="10">
    <fb>909.25</fb>
    <v>20</v>
  </rv>
  <rv s="10">
    <fb>884.55</fb>
    <v>20</v>
  </rv>
  <rv s="10">
    <fb>880.55</fb>
    <v>20</v>
  </rv>
  <rv s="10">
    <fb>896.25</fb>
    <v>20</v>
  </rv>
  <rv s="10">
    <fb>897.75</fb>
    <v>20</v>
  </rv>
  <rv s="10">
    <fb>920.9</fb>
    <v>20</v>
  </rv>
  <rv s="10">
    <fb>927.2</fb>
    <v>20</v>
  </rv>
  <rv s="10">
    <fb>933.15</fb>
    <v>20</v>
  </rv>
  <rv s="10">
    <fb>941.05</fb>
    <v>20</v>
  </rv>
  <rv s="10">
    <fb>943.75</fb>
    <v>20</v>
  </rv>
  <rv s="10">
    <fb>926.2</fb>
    <v>20</v>
  </rv>
  <rv s="10">
    <fb>979.65</fb>
    <v>20</v>
  </rv>
  <rv s="10">
    <fb>1020.3</fb>
    <v>20</v>
  </rv>
  <rv s="10">
    <fb>1006.8</fb>
    <v>20</v>
  </rv>
  <rv s="10">
    <fb>993.75</fb>
    <v>20</v>
  </rv>
  <rv s="10">
    <fb>1011</fb>
    <v>20</v>
  </rv>
  <rv s="10">
    <fb>1063.05</fb>
    <v>20</v>
  </rv>
  <rv s="10">
    <fb>1114.8499999999999</fb>
    <v>20</v>
  </rv>
  <rv s="10">
    <fb>1115.5999999999999</fb>
    <v>20</v>
  </rv>
  <rv s="10">
    <fb>1131.05</fb>
    <v>20</v>
  </rv>
  <rv s="10">
    <fb>1153.2</fb>
    <v>20</v>
  </rv>
  <rv s="10">
    <fb>1129.1500000000001</fb>
    <v>20</v>
  </rv>
  <rv s="10">
    <fb>1142.25</fb>
    <v>20</v>
  </rv>
  <rv s="10">
    <fb>1092.75</fb>
    <v>20</v>
  </rv>
  <rv s="10">
    <fb>1039.7</fb>
    <v>20</v>
  </rv>
  <rv s="10">
    <fb>1063.6500000000001</fb>
    <v>20</v>
  </rv>
  <rv s="10">
    <fb>1084.4000000000001</fb>
    <v>20</v>
  </rv>
  <rv s="10">
    <fb>1071.6500000000001</fb>
    <v>20</v>
  </rv>
  <rv s="10">
    <fb>1058.45</fb>
    <v>20</v>
  </rv>
  <rv s="10">
    <fb>1063.1500000000001</fb>
    <v>20</v>
  </rv>
  <rv s="10">
    <fb>1062.2</fb>
    <v>20</v>
  </rv>
  <rv s="10">
    <fb>1067.3499999999999</fb>
    <v>20</v>
  </rv>
  <rv s="10">
    <fb>1075.3499999999999</fb>
    <v>20</v>
  </rv>
  <rv s="10">
    <fb>1082.1500000000001</fb>
    <v>20</v>
  </rv>
  <rv s="10">
    <fb>1094.75</fb>
    <v>20</v>
  </rv>
  <rv s="10">
    <fb>1089.8</fb>
    <v>20</v>
  </rv>
  <rv s="10">
    <fb>1076.3499999999999</fb>
    <v>20</v>
  </rv>
  <rv s="10">
    <fb>1060.75</fb>
    <v>20</v>
  </rv>
  <rv s="10">
    <fb>1055.5999999999999</fb>
    <v>20</v>
  </rv>
  <rv s="10">
    <fb>1085.75</fb>
    <v>20</v>
  </rv>
  <rv s="10">
    <fb>1079.4000000000001</fb>
    <v>20</v>
  </rv>
  <rv s="10">
    <fb>1060.9000000000001</fb>
    <v>20</v>
  </rv>
  <rv s="10">
    <fb>1054.4000000000001</fb>
    <v>20</v>
  </rv>
  <rv s="10">
    <fb>1064.3</fb>
    <v>20</v>
  </rv>
  <rv s="10">
    <fb>1047.55</fb>
    <v>20</v>
  </rv>
  <rv s="10">
    <fb>1067.0999999999999</fb>
    <v>20</v>
  </rv>
  <rv s="10">
    <fb>1084.3499999999999</fb>
    <v>20</v>
  </rv>
  <rv s="10">
    <fb>1060.7</fb>
    <v>20</v>
  </rv>
  <rv s="10">
    <fb>1000.9</fb>
    <v>20</v>
  </rv>
  <rv s="10">
    <fb>1056.8</fb>
    <v>20</v>
  </rv>
  <rv s="10">
    <fb>1056.5999999999999</fb>
    <v>20</v>
  </rv>
  <rv s="10">
    <fb>1064.05</fb>
    <v>20</v>
  </rv>
  <rv s="10">
    <fb>1084.8499999999999</fb>
    <v>20</v>
  </rv>
  <rv s="10">
    <fb>1071.5</fb>
    <v>20</v>
  </rv>
  <rv s="10">
    <fb>1082.75</fb>
    <v>20</v>
  </rv>
  <rv s="10">
    <fb>1092.4000000000001</fb>
    <v>20</v>
  </rv>
  <rv s="10">
    <fb>1099.7</fb>
    <v>20</v>
  </rv>
  <rv s="10">
    <fb>1146.25</fb>
    <v>20</v>
  </rv>
  <rv s="10">
    <fb>1151</fb>
    <v>20</v>
  </rv>
  <rv s="10">
    <fb>1147.0999999999999</fb>
    <v>20</v>
  </rv>
  <rv s="10">
    <fb>1139.4000000000001</fb>
    <v>20</v>
  </rv>
  <rv s="10">
    <fb>1120.6500000000001</fb>
    <v>20</v>
  </rv>
  <rv s="10">
    <fb>1142.1500000000001</fb>
    <v>20</v>
  </rv>
  <rv s="10">
    <fb>1127</fb>
    <v>20</v>
  </rv>
  <rv s="10">
    <fb>1135.55</fb>
    <v>20</v>
  </rv>
  <rv s="10">
    <fb>1154.2</fb>
    <v>20</v>
  </rv>
  <rv s="10">
    <fb>1152.6500000000001</fb>
    <v>20</v>
  </rv>
  <rv s="10">
    <fb>1131.4000000000001</fb>
    <v>20</v>
  </rv>
  <rv s="10">
    <fb>1132.55</fb>
    <v>20</v>
  </rv>
  <rv s="10">
    <fb>1177.3499999999999</fb>
    <v>20</v>
  </rv>
  <rv s="10">
    <fb>1173.25</fb>
    <v>20</v>
  </rv>
  <rv s="10">
    <fb>1147.55</fb>
    <v>20</v>
  </rv>
  <rv s="10">
    <fb>1151.0999999999999</fb>
    <v>20</v>
  </rv>
  <rv s="10">
    <fb>1155.5999999999999</fb>
    <v>20</v>
  </rv>
  <rv s="10">
    <fb>1155.6500000000001</fb>
    <v>20</v>
  </rv>
  <rv s="10">
    <fb>1175.9000000000001</fb>
    <v>20</v>
  </rv>
  <rv s="10">
    <fb>1200.7</fb>
    <v>20</v>
  </rv>
  <rv s="10">
    <fb>1178.3</fb>
    <v>20</v>
  </rv>
  <rv s="10">
    <fb>1165.95</fb>
    <v>20</v>
  </rv>
  <rv s="10">
    <fb>1167.45</fb>
    <v>20</v>
  </rv>
  <rv s="10">
    <fb>1164.5</fb>
    <v>20</v>
  </rv>
  <rv s="10">
    <fb>1166.8499999999999</fb>
    <v>20</v>
  </rv>
  <rv s="10">
    <fb>1144.45</fb>
    <v>20</v>
  </rv>
  <rv s="10">
    <fb>1137.45</fb>
    <v>20</v>
  </rv>
  <rv s="10">
    <fb>1169.2</fb>
    <v>20</v>
  </rv>
  <rv s="10">
    <fb>1169.6500000000001</fb>
    <v>20</v>
  </rv>
  <rv s="10">
    <fb>1140.55</fb>
    <v>20</v>
  </rv>
  <rv s="10">
    <fb>1128.8</fb>
    <v>20</v>
  </rv>
  <rv s="10">
    <fb>1051.2</fb>
    <v>20</v>
  </rv>
  <rv s="10">
    <fb>1086.5999999999999</fb>
    <v>20</v>
  </rv>
  <rv s="10">
    <fb>1128.3</fb>
    <v>20</v>
  </rv>
  <rv s="10">
    <fb>1142.4000000000001</fb>
    <v>20</v>
  </rv>
  <rv s="10">
    <fb>1152.3</fb>
    <v>20</v>
  </rv>
  <rv s="10">
    <fb>1130</fb>
    <v>20</v>
  </rv>
  <rv s="10">
    <fb>1139.3499999999999</fb>
    <v>20</v>
  </rv>
  <rv s="10">
    <fb>1157.3</fb>
    <v>20</v>
  </rv>
  <rv s="10">
    <fb>1146.8</fb>
    <v>20</v>
  </rv>
  <rv s="10">
    <fb>1133.2</fb>
    <v>20</v>
  </rv>
  <rv s="10">
    <fb>1165.05</fb>
    <v>20</v>
  </rv>
  <rv s="10">
    <fb>1223.7</fb>
    <v>20</v>
  </rv>
  <rv s="10">
    <fb>1211.05</fb>
    <v>20</v>
  </rv>
  <rv s="10">
    <fb>1201.2</fb>
    <v>20</v>
  </rv>
  <rv s="10">
    <fb>1229.1500000000001</fb>
    <v>20</v>
  </rv>
  <rv s="10">
    <fb>1198.7</fb>
    <v>20</v>
  </rv>
  <rv s="10">
    <fb>1204.8499999999999</fb>
    <v>20</v>
  </rv>
  <rv s="10">
    <fb>1213.25</fb>
    <v>20</v>
  </rv>
  <rv s="10">
    <fb>1195.4000000000001</fb>
    <v>20</v>
  </rv>
  <rv s="10">
    <fb>1151.9000000000001</fb>
    <v>20</v>
  </rv>
  <rv s="10">
    <fb>1147.8499999999999</fb>
    <v>20</v>
  </rv>
  <rv s="10">
    <fb>1120.3499999999999</fb>
    <v>20</v>
  </rv>
  <rv s="10">
    <fb>1128.5</fb>
    <v>20</v>
  </rv>
  <rv s="10">
    <fb>1185.4000000000001</fb>
    <v>20</v>
  </rv>
  <rv s="10">
    <fb>1217.55</fb>
    <v>20</v>
  </rv>
  <rv s="10">
    <fb>1213.8499999999999</fb>
    <v>20</v>
  </rv>
  <rv s="10">
    <fb>1221.0999999999999</fb>
    <v>20</v>
  </rv>
  <rv s="10">
    <fb>1241.5</fb>
    <v>20</v>
  </rv>
  <rv s="10">
    <fb>1253.3499999999999</fb>
    <v>20</v>
  </rv>
  <rv s="10">
    <fb>1271.95</fb>
    <v>20</v>
  </rv>
  <rv s="10">
    <fb>1327.75</fb>
    <v>20</v>
  </rv>
  <rv s="10">
    <fb>1314.7</fb>
    <v>20</v>
  </rv>
  <rv s="10">
    <fb>1411.2</fb>
    <v>20</v>
  </rv>
  <rv s="10">
    <fb>1393.5</fb>
    <v>20</v>
  </rv>
  <rv s="10">
    <fb>1393.1</fb>
    <v>20</v>
  </rv>
  <rv s="10">
    <fb>1479.95</fb>
    <v>20</v>
  </rv>
  <rv s="10">
    <fb>1536.65</fb>
    <v>20</v>
  </rv>
  <rv s="10">
    <fb>1624</fb>
    <v>20</v>
  </rv>
  <rv s="10">
    <fb>1505.8</fb>
    <v>20</v>
  </rv>
  <rv s="10">
    <fb>1445.8</fb>
    <v>20</v>
  </rv>
  <rv s="10">
    <fb>1446.45</fb>
    <v>20</v>
  </rv>
  <rv s="10">
    <fb>1468.75</fb>
    <v>20</v>
  </rv>
  <rv s="10">
    <fb>1489.8</fb>
    <v>20</v>
  </rv>
  <rv s="10">
    <fb>1492.6</fb>
    <v>20</v>
  </rv>
  <rv s="10">
    <fb>1499.3</fb>
    <v>20</v>
  </rv>
  <rv s="10">
    <fb>1483.05</fb>
    <v>20</v>
  </rv>
  <rv s="10">
    <fb>1497.25</fb>
    <v>20</v>
  </rv>
  <rv s="10">
    <fb>1478.15</fb>
    <v>20</v>
  </rv>
  <rv s="10">
    <fb>1462.2</fb>
    <v>20</v>
  </rv>
  <rv s="10">
    <fb>1458.95</fb>
    <v>20</v>
  </rv>
  <rv s="10">
    <fb>1478.6</fb>
    <v>20</v>
  </rv>
  <rv s="10">
    <fb>1463.25</fb>
    <v>20</v>
  </rv>
  <rv s="10">
    <fb>1432.65</fb>
    <v>20</v>
  </rv>
  <rv s="10">
    <fb>1474.95</fb>
    <v>20</v>
  </rv>
  <rv s="10">
    <fb>1482.95</fb>
    <v>20</v>
  </rv>
  <rv s="10">
    <fb>1518.6</fb>
    <v>20</v>
  </rv>
  <rv s="10">
    <fb>1493.5</fb>
    <v>20</v>
  </rv>
  <rv s="10">
    <fb>1501.25</fb>
    <v>20</v>
  </rv>
  <rv s="10">
    <fb>1467.35</fb>
    <v>20</v>
  </rv>
  <rv s="10">
    <fb>1516.4</fb>
    <v>20</v>
  </rv>
  <rv s="10">
    <fb>1539.35</fb>
    <v>20</v>
  </rv>
  <rv s="10">
    <fb>1527.7</fb>
    <v>20</v>
  </rv>
  <rv s="10">
    <fb>1517.85</fb>
    <v>20</v>
  </rv>
  <rv s="10">
    <fb>1505.9</fb>
    <v>20</v>
  </rv>
  <rv s="10">
    <fb>1513.85</fb>
    <v>20</v>
  </rv>
  <rv s="10">
    <fb>1490.5</fb>
    <v>20</v>
  </rv>
  <rv s="10">
    <fb>1467.85</fb>
    <v>20</v>
  </rv>
  <rv s="10">
    <fb>1472.4</fb>
    <v>20</v>
  </rv>
  <rv s="10">
    <fb>1506.55</fb>
    <v>20</v>
  </rv>
  <rv s="10">
    <fb>1506.1</fb>
    <v>20</v>
  </rv>
  <rv s="10">
    <fb>1517.6</fb>
    <v>20</v>
  </rv>
  <rv s="10">
    <fb>1532.9</fb>
    <v>20</v>
  </rv>
  <rv s="10">
    <fb>1540.95</fb>
    <v>20</v>
  </rv>
  <rv s="10">
    <fb>1550.3</fb>
    <v>20</v>
  </rv>
  <rv s="10">
    <fb>1538.8</fb>
    <v>20</v>
  </rv>
  <rv s="10">
    <fb>1546.3</fb>
    <v>20</v>
  </rv>
  <rv s="10">
    <fb>1541.3</fb>
    <v>20</v>
  </rv>
  <rv s="10">
    <fb>1547.8</fb>
    <v>20</v>
  </rv>
  <rv s="10">
    <fb>1501.5</fb>
    <v>20</v>
  </rv>
  <rv s="10">
    <fb>1415.45</fb>
    <v>20</v>
  </rv>
  <rv s="10">
    <fb>1407.15</fb>
    <v>20</v>
  </rv>
  <rv s="10">
    <fb>1457.25</fb>
    <v>20</v>
  </rv>
  <rv s="10">
    <fb>1550.8</fb>
    <v>20</v>
  </rv>
  <rv s="10">
    <fb>1524.65</fb>
    <v>20</v>
  </rv>
  <rv s="10">
    <fb>1577.1</fb>
    <v>20</v>
  </rv>
  <rv s="10">
    <fb>1594.35</fb>
    <v>20</v>
  </rv>
  <rv s="10">
    <fb>1674.95</fb>
    <v>20</v>
  </rv>
  <rv s="10">
    <fb>1655.05</fb>
    <v>20</v>
  </rv>
  <rv s="10">
    <fb>1711</fb>
    <v>20</v>
  </rv>
  <rv s="10">
    <fb>1727.85</fb>
    <v>20</v>
  </rv>
  <rv s="10">
    <fb>1708</fb>
    <v>20</v>
  </rv>
  <rv s="10">
    <fb>1588.6</fb>
    <v>20</v>
  </rv>
  <rv s="10">
    <fb>1637.4</fb>
    <v>20</v>
  </rv>
  <rv s="10">
    <fb>1643.25</fb>
    <v>20</v>
  </rv>
  <rv s="10">
    <fb>1673.6</fb>
    <v>20</v>
  </rv>
  <rv s="10">
    <fb>1619.75</fb>
    <v>20</v>
  </rv>
  <rv s="10">
    <fb>1571.75</fb>
    <v>20</v>
  </rv>
  <rv s="10">
    <fb>1590.65</fb>
    <v>20</v>
  </rv>
  <rv s="10">
    <fb>1583.65</fb>
    <v>20</v>
  </rv>
  <rv s="10">
    <fb>1591.4</fb>
    <v>20</v>
  </rv>
  <rv s="10">
    <fb>1579.95</fb>
    <v>20</v>
  </rv>
  <rv s="10">
    <fb>1572.3</fb>
    <v>20</v>
  </rv>
  <rv s="10">
    <fb>1578.65</fb>
    <v>20</v>
  </rv>
  <rv s="10">
    <fb>1583.9</fb>
    <v>20</v>
  </rv>
  <rv s="10">
    <fb>1546.1</fb>
    <v>20</v>
  </rv>
  <rv s="10">
    <fb>1493.35</fb>
    <v>20</v>
  </rv>
  <rv s="10">
    <fb>1496.3</fb>
    <v>20</v>
  </rv>
  <rv s="10">
    <fb>1475.5</fb>
    <v>20</v>
  </rv>
  <rv s="10">
    <fb>1456.3</fb>
    <v>20</v>
  </rv>
  <rv s="10">
    <fb>1415.65</fb>
    <v>20</v>
  </rv>
  <rv s="10">
    <fb>1429.35</fb>
    <v>20</v>
  </rv>
  <rv s="10">
    <fb>1383.3</fb>
    <v>20</v>
  </rv>
  <rv s="10">
    <fb>1357.95</fb>
    <v>20</v>
  </rv>
  <rv s="10">
    <fb>1347.55</fb>
    <v>20</v>
  </rv>
  <rv s="10">
    <fb>1358.2</fb>
    <v>20</v>
  </rv>
  <rv s="10">
    <fb>1385.7</fb>
    <v>20</v>
  </rv>
  <rv s="10">
    <fb>1428.5</fb>
    <v>20</v>
  </rv>
  <rv s="10">
    <fb>1482</fb>
    <v>20</v>
  </rv>
  <rv s="10">
    <fb>1486.4</fb>
    <v>20</v>
  </rv>
  <rv s="10">
    <fb>1488.75</fb>
    <v>20</v>
  </rv>
  <rv s="10">
    <fb>1511.5</fb>
    <v>20</v>
  </rv>
  <rv s="10">
    <fb>1505.65</fb>
    <v>20</v>
  </rv>
  <rv s="10">
    <fb>1497.5</fb>
    <v>20</v>
  </rv>
  <rv s="10">
    <fb>1490.3</fb>
    <v>20</v>
  </rv>
  <rv s="10">
    <fb>1474.75</fb>
    <v>20</v>
  </rv>
  <rv s="10">
    <fb>1428.3</fb>
    <v>20</v>
  </rv>
  <rv s="10">
    <fb>1410.75</fb>
    <v>20</v>
  </rv>
  <rv s="10">
    <fb>1397.6</fb>
    <v>20</v>
  </rv>
  <rv s="10">
    <fb>1409.3</fb>
    <v>20</v>
  </rv>
  <rv s="10">
    <fb>1371.2</fb>
    <v>20</v>
  </rv>
  <rv s="10">
    <fb>1373.95</fb>
    <v>20</v>
  </rv>
  <rv s="10">
    <fb>1416.45</fb>
    <v>20</v>
  </rv>
  <rv s="10">
    <fb>1508.5</fb>
    <v>20</v>
  </rv>
  <rv s="10">
    <fb>318.95</fb>
    <v>20</v>
  </rv>
  <rv s="10">
    <fb>315.55</fb>
    <v>20</v>
  </rv>
  <rv s="10">
    <fb>330.1</fb>
    <v>20</v>
  </rv>
  <rv s="10">
    <fb>334.15</fb>
    <v>20</v>
  </rv>
  <rv s="10">
    <fb>332.55</fb>
    <v>20</v>
  </rv>
  <rv s="10">
    <fb>321.45</fb>
    <v>20</v>
  </rv>
  <rv s="10">
    <fb>310.64999999999998</fb>
    <v>20</v>
  </rv>
  <rv s="10">
    <fb>311.35000000000002</fb>
    <v>20</v>
  </rv>
  <rv s="10">
    <fb>315</fb>
    <v>20</v>
  </rv>
  <rv s="10">
    <fb>311.85000000000002</fb>
    <v>20</v>
  </rv>
  <rv s="10">
    <fb>310.39999999999998</fb>
    <v>20</v>
  </rv>
  <rv s="10">
    <fb>312.39999999999998</fb>
    <v>20</v>
  </rv>
  <rv s="10">
    <fb>312.10000000000002</fb>
    <v>20</v>
  </rv>
  <rv s="10">
    <fb>314.45</fb>
    <v>20</v>
  </rv>
  <rv s="10">
    <fb>334.8</fb>
    <v>20</v>
  </rv>
  <rv s="10">
    <fb>333.4</fb>
    <v>20</v>
  </rv>
  <rv s="10">
    <fb>334.85</fb>
    <v>20</v>
  </rv>
  <rv s="10">
    <fb>334.65</fb>
    <v>20</v>
  </rv>
  <rv s="10">
    <fb>330.7</fb>
    <v>20</v>
  </rv>
  <rv s="10">
    <fb>340.5</fb>
    <v>20</v>
  </rv>
  <rv s="10">
    <fb>346.05</fb>
    <v>20</v>
  </rv>
  <rv s="10">
    <fb>341.65</fb>
    <v>20</v>
  </rv>
  <rv s="10">
    <fb>342.05</fb>
    <v>20</v>
  </rv>
  <rv s="10">
    <fb>348.85</fb>
    <v>20</v>
  </rv>
  <rv s="10">
    <fb>347.15</fb>
    <v>20</v>
  </rv>
  <rv s="10">
    <fb>343.4</fb>
    <v>20</v>
  </rv>
  <rv s="10">
    <fb>360.1</fb>
    <v>20</v>
  </rv>
  <rv s="10">
    <fb>359</fb>
    <v>20</v>
  </rv>
  <rv s="10">
    <fb>366.75</fb>
    <v>20</v>
  </rv>
  <rv s="10">
    <fb>367.95</fb>
    <v>20</v>
  </rv>
  <rv s="10">
    <fb>364.5</fb>
    <v>20</v>
  </rv>
  <rv s="10">
    <fb>365.5</fb>
    <v>20</v>
  </rv>
  <rv s="10">
    <fb>364.75</fb>
    <v>20</v>
  </rv>
  <rv s="10">
    <fb>355.95</fb>
    <v>20</v>
  </rv>
  <rv s="10">
    <fb>350.65</fb>
    <v>20</v>
  </rv>
  <rv s="10">
    <fb>361.95</fb>
    <v>20</v>
  </rv>
  <rv s="10">
    <fb>366.7</fb>
    <v>20</v>
  </rv>
  <rv s="10">
    <fb>363.1</fb>
    <v>20</v>
  </rv>
  <rv s="10">
    <fb>366.65</fb>
    <v>20</v>
  </rv>
  <rv s="10">
    <fb>357</fb>
    <v>20</v>
  </rv>
  <rv s="10">
    <fb>350</fb>
    <v>20</v>
  </rv>
  <rv s="10">
    <fb>354.35</fb>
    <v>20</v>
  </rv>
  <rv s="10">
    <fb>364.95</fb>
    <v>20</v>
  </rv>
  <rv s="10">
    <fb>358</fb>
    <v>20</v>
  </rv>
  <rv s="10">
    <fb>356.8</fb>
    <v>20</v>
  </rv>
  <rv s="10">
    <fb>352.75</fb>
    <v>20</v>
  </rv>
  <rv s="10">
    <fb>347.1</fb>
    <v>20</v>
  </rv>
  <rv s="10">
    <fb>351.5</fb>
    <v>20</v>
  </rv>
  <rv s="10">
    <fb>351.35</fb>
    <v>20</v>
  </rv>
  <rv s="10">
    <fb>353.05</fb>
    <v>20</v>
  </rv>
  <rv s="10">
    <fb>350.8</fb>
    <v>20</v>
  </rv>
  <rv s="10">
    <fb>348.75</fb>
    <v>20</v>
  </rv>
  <rv s="10">
    <fb>348.65</fb>
    <v>20</v>
  </rv>
  <rv s="10">
    <fb>346.9</fb>
    <v>20</v>
  </rv>
  <rv s="10">
    <fb>343.9</fb>
    <v>20</v>
  </rv>
  <rv s="10">
    <fb>337.8</fb>
    <v>20</v>
  </rv>
  <rv s="10">
    <fb>352</fb>
    <v>20</v>
  </rv>
  <rv s="10">
    <fb>358.3</fb>
    <v>20</v>
  </rv>
  <rv s="10">
    <fb>364.6</fb>
    <v>20</v>
  </rv>
  <rv s="10">
    <fb>384.35</fb>
    <v>20</v>
  </rv>
  <rv s="10">
    <fb>392.3</fb>
    <v>20</v>
  </rv>
  <rv s="10">
    <fb>400.15</fb>
    <v>20</v>
  </rv>
  <rv s="10">
    <fb>411.8</fb>
    <v>20</v>
  </rv>
  <rv s="10">
    <fb>410.35</fb>
    <v>20</v>
  </rv>
  <rv s="10">
    <fb>398.6</fb>
    <v>20</v>
  </rv>
  <rv s="10">
    <fb>388.25</fb>
    <v>20</v>
  </rv>
  <rv s="10">
    <fb>384.75</fb>
    <v>20</v>
  </rv>
  <rv s="10">
    <fb>390.25</fb>
    <v>20</v>
  </rv>
  <rv s="10">
    <fb>386.85</fb>
    <v>20</v>
  </rv>
  <rv s="10">
    <fb>381.35</fb>
    <v>20</v>
  </rv>
  <rv s="10">
    <fb>388.75</fb>
    <v>20</v>
  </rv>
  <rv s="10">
    <fb>391.25</fb>
    <v>20</v>
  </rv>
  <rv s="10">
    <fb>395.2</fb>
    <v>20</v>
  </rv>
  <rv s="10">
    <fb>390.05</fb>
    <v>20</v>
  </rv>
  <rv s="10">
    <fb>387.55</fb>
    <v>20</v>
  </rv>
  <rv s="10">
    <fb>391.5</fb>
    <v>20</v>
  </rv>
  <rv s="10">
    <fb>391.05</fb>
    <v>20</v>
  </rv>
  <rv s="10">
    <fb>400</fb>
    <v>20</v>
  </rv>
  <rv s="10">
    <fb>399.6</fb>
    <v>20</v>
  </rv>
  <rv s="10">
    <fb>396.45</fb>
    <v>20</v>
  </rv>
  <rv s="10">
    <fb>394.3</fb>
    <v>20</v>
  </rv>
  <rv s="10">
    <fb>406.6</fb>
    <v>20</v>
  </rv>
  <rv s="10">
    <fb>407.3</fb>
    <v>20</v>
  </rv>
  <rv s="10">
    <fb>405.2</fb>
    <v>20</v>
  </rv>
  <rv s="10">
    <fb>407.4</fb>
    <v>20</v>
  </rv>
  <rv s="10">
    <fb>384.1</fb>
    <v>20</v>
  </rv>
  <rv s="10">
    <fb>388.1</fb>
    <v>20</v>
  </rv>
  <rv s="10">
    <fb>399.2</fb>
    <v>20</v>
  </rv>
  <rv s="10">
    <fb>400.95</fb>
    <v>20</v>
  </rv>
  <rv s="10">
    <fb>393.7</fb>
    <v>20</v>
  </rv>
  <rv s="10">
    <fb>395.1</fb>
    <v>20</v>
  </rv>
  <rv s="10">
    <fb>390.7</fb>
    <v>20</v>
  </rv>
  <rv s="10">
    <fb>386.6</fb>
    <v>20</v>
  </rv>
  <rv s="10">
    <fb>388.8</fb>
    <v>20</v>
  </rv>
  <rv s="10">
    <fb>385.3</fb>
    <v>20</v>
  </rv>
  <rv s="10">
    <fb>394.05</fb>
    <v>20</v>
  </rv>
  <rv s="10">
    <fb>390.9</fb>
    <v>20</v>
  </rv>
  <rv s="10">
    <fb>395.4</fb>
    <v>20</v>
  </rv>
  <rv s="10">
    <fb>397.45</fb>
    <v>20</v>
  </rv>
  <rv s="10">
    <fb>391.2</fb>
    <v>20</v>
  </rv>
  <rv s="10">
    <fb>394.65</fb>
    <v>20</v>
  </rv>
  <rv s="10">
    <fb>398.45</fb>
    <v>20</v>
  </rv>
  <rv s="10">
    <fb>399.15</fb>
    <v>20</v>
  </rv>
  <rv s="10">
    <fb>400.3</fb>
    <v>20</v>
  </rv>
  <rv s="10">
    <fb>401.6</fb>
    <v>20</v>
  </rv>
  <rv s="10">
    <fb>404</fb>
    <v>20</v>
  </rv>
  <rv s="10">
    <fb>398.7</fb>
    <v>20</v>
  </rv>
  <rv s="10">
    <fb>400.25</fb>
    <v>20</v>
  </rv>
  <rv s="10">
    <fb>399.05</fb>
    <v>20</v>
  </rv>
  <rv s="10">
    <fb>396.4</fb>
    <v>20</v>
  </rv>
  <rv s="10">
    <fb>362.4</fb>
    <v>20</v>
  </rv>
  <rv s="10">
    <fb>356.65</fb>
    <v>20</v>
  </rv>
  <rv s="10">
    <fb>359.1</fb>
    <v>20</v>
  </rv>
  <rv s="10">
    <fb>361.35</fb>
    <v>20</v>
  </rv>
  <rv s="10">
    <fb>361.75</fb>
    <v>20</v>
  </rv>
  <rv s="10">
    <fb>358.9</fb>
    <v>20</v>
  </rv>
  <rv s="10">
    <fb>362.3</fb>
    <v>20</v>
  </rv>
  <rv s="10">
    <fb>364.3</fb>
    <v>20</v>
  </rv>
  <rv s="10">
    <fb>372.4</fb>
    <v>20</v>
  </rv>
  <rv s="10">
    <fb>369.95</fb>
    <v>20</v>
  </rv>
  <rv s="10">
    <fb>371.65</fb>
    <v>20</v>
  </rv>
  <rv s="10">
    <fb>369.7</fb>
    <v>20</v>
  </rv>
  <rv s="10">
    <fb>368.95</fb>
    <v>20</v>
  </rv>
  <rv s="10">
    <fb>371.3</fb>
    <v>20</v>
  </rv>
  <rv s="10">
    <fb>373.15</fb>
    <v>20</v>
  </rv>
  <rv s="10">
    <fb>373.85</fb>
    <v>20</v>
  </rv>
  <rv s="10">
    <fb>369.85</fb>
    <v>20</v>
  </rv>
  <rv s="10">
    <fb>368.05</fb>
    <v>20</v>
  </rv>
  <rv s="10">
    <fb>373.7</fb>
    <v>20</v>
  </rv>
  <rv s="10">
    <fb>374.45</fb>
    <v>20</v>
  </rv>
  <rv s="10">
    <fb>369.35</fb>
    <v>20</v>
  </rv>
  <rv s="10">
    <fb>372.75</fb>
    <v>20</v>
  </rv>
  <rv s="10">
    <fb>370.75</fb>
    <v>20</v>
  </rv>
  <rv s="10">
    <fb>374.8</fb>
    <v>20</v>
  </rv>
  <rv s="10">
    <fb>380.85</fb>
    <v>20</v>
  </rv>
  <rv s="10">
    <fb>378.75</fb>
    <v>20</v>
  </rv>
  <rv s="10">
    <fb>379.25</fb>
    <v>20</v>
  </rv>
  <rv s="10">
    <fb>376.35</fb>
    <v>20</v>
  </rv>
  <rv s="10">
    <fb>379.1</fb>
    <v>20</v>
  </rv>
  <rv s="10">
    <fb>383.65</fb>
    <v>20</v>
  </rv>
  <rv s="10">
    <fb>390.75</fb>
    <v>20</v>
  </rv>
  <rv s="10">
    <fb>385.55</fb>
    <v>20</v>
  </rv>
  <rv s="10">
    <fb>385.7</fb>
    <v>20</v>
  </rv>
  <rv s="10">
    <fb>399.35</fb>
    <v>20</v>
  </rv>
  <rv s="10">
    <fb>388.3</fb>
    <v>20</v>
  </rv>
  <rv s="10">
    <fb>397.15</fb>
    <v>20</v>
  </rv>
  <rv s="10">
    <fb>435.45</fb>
    <v>20</v>
  </rv>
  <rv s="10">
    <fb>432.3</fb>
    <v>20</v>
  </rv>
  <rv s="10">
    <fb>426.75</fb>
    <v>20</v>
  </rv>
  <rv s="10">
    <fb>430.2</fb>
    <v>20</v>
  </rv>
  <rv s="10">
    <fb>433.05</fb>
    <v>20</v>
  </rv>
  <rv s="10">
    <fb>429.45</fb>
    <v>20</v>
  </rv>
  <rv s="10">
    <fb>430.55</fb>
    <v>20</v>
  </rv>
  <rv s="10">
    <fb>427.3</fb>
    <v>20</v>
  </rv>
  <rv s="10">
    <fb>418.7</fb>
    <v>20</v>
  </rv>
  <rv s="10">
    <fb>424.85</fb>
    <v>20</v>
  </rv>
  <rv s="10">
    <fb>419.4</fb>
    <v>20</v>
  </rv>
  <rv s="10">
    <fb>423.05</fb>
    <v>20</v>
  </rv>
  <rv s="10">
    <fb>416.15</fb>
    <v>20</v>
  </rv>
  <rv s="10">
    <fb>420.9</fb>
    <v>20</v>
  </rv>
  <rv s="10">
    <fb>414.8</fb>
    <v>20</v>
  </rv>
  <rv s="10">
    <fb>411.7</fb>
    <v>20</v>
  </rv>
  <rv s="10">
    <fb>415.05</fb>
    <v>20</v>
  </rv>
  <rv s="10">
    <fb>412.2</fb>
    <v>20</v>
  </rv>
  <rv s="10">
    <fb>401.85</fb>
    <v>20</v>
  </rv>
  <rv s="10">
    <fb>398.95</fb>
    <v>20</v>
  </rv>
  <rv s="10">
    <fb>400.9</fb>
    <v>20</v>
  </rv>
  <rv s="10">
    <fb>378.8</fb>
    <v>20</v>
  </rv>
  <rv s="10">
    <fb>374.2</fb>
    <v>20</v>
  </rv>
  <rv s="10">
    <fb>370.3</fb>
    <v>20</v>
  </rv>
  <rv s="10">
    <fb>389.25</fb>
    <v>20</v>
  </rv>
  <rv s="10">
    <fb>392.6</fb>
    <v>20</v>
  </rv>
  <rv s="10">
    <fb>386.8</fb>
    <v>20</v>
  </rv>
  <rv s="10">
    <fb>398.65</fb>
    <v>20</v>
  </rv>
  <rv s="10">
    <fb>395.05</fb>
    <v>20</v>
  </rv>
  <rv s="10">
    <fb>392.5</fb>
    <v>20</v>
  </rv>
  <rv s="10">
    <fb>392.4</fb>
    <v>20</v>
  </rv>
  <rv s="10">
    <fb>391.75</fb>
    <v>20</v>
  </rv>
  <rv s="10">
    <fb>392.55</fb>
    <v>20</v>
  </rv>
  <rv s="10">
    <fb>399.85</fb>
    <v>20</v>
  </rv>
  <rv s="10">
    <fb>406.45</fb>
    <v>20</v>
  </rv>
  <rv s="10">
    <fb>401.25</fb>
    <v>20</v>
  </rv>
  <rv s="10">
    <fb>395.65</fb>
    <v>20</v>
  </rv>
  <rv s="10">
    <fb>398.55</fb>
    <v>20</v>
  </rv>
  <rv s="10">
    <fb>395.45</fb>
    <v>20</v>
  </rv>
  <rv s="10">
    <fb>399.95</fb>
    <v>20</v>
  </rv>
  <rv s="10">
    <fb>405.05</fb>
    <v>20</v>
  </rv>
  <rv s="10">
    <fb>406.05</fb>
    <v>20</v>
  </rv>
  <rv s="10">
    <fb>409.8</fb>
    <v>20</v>
  </rv>
  <rv s="10">
    <fb>408.9</fb>
    <v>20</v>
  </rv>
  <rv s="10">
    <fb>417.55</fb>
    <v>20</v>
  </rv>
  <rv s="10">
    <fb>420.15</fb>
    <v>20</v>
  </rv>
  <rv s="10">
    <fb>410.65</fb>
    <v>20</v>
  </rv>
  <rv s="10">
    <fb>422</fb>
    <v>20</v>
  </rv>
  <rv s="10">
    <fb>409.85</fb>
    <v>20</v>
  </rv>
  <rv s="10">
    <fb>414.05</fb>
    <v>20</v>
  </rv>
  <rv s="10">
    <fb>400.6</fb>
    <v>20</v>
  </rv>
  <rv s="10">
    <fb>397.5</fb>
    <v>20</v>
  </rv>
  <rv s="10">
    <fb>387.25</fb>
    <v>20</v>
  </rv>
  <rv s="10">
    <fb>379.05</fb>
    <v>20</v>
  </rv>
  <rv s="10">
    <fb>383.9</fb>
    <v>20</v>
  </rv>
  <rv s="10">
    <fb>397.8</fb>
    <v>20</v>
  </rv>
  <rv s="10">
    <fb>397.65</fb>
    <v>20</v>
  </rv>
  <rv s="10">
    <fb>392.2</fb>
    <v>20</v>
  </rv>
  <rv s="10">
    <fb>392.35</fb>
    <v>20</v>
  </rv>
  <rv s="10">
    <fb>405.25</fb>
    <v>20</v>
  </rv>
  <rv s="10">
    <fb>415.25</fb>
    <v>20</v>
  </rv>
  <rv s="10">
    <fb>439.85</fb>
    <v>20</v>
  </rv>
  <rv s="10">
    <fb>437.4</fb>
    <v>20</v>
  </rv>
  <rv s="10">
    <fb>439.3</fb>
    <v>20</v>
  </rv>
  <rv s="10">
    <fb>462.45</fb>
    <v>20</v>
  </rv>
  <rv s="10">
    <fb>459.5</fb>
    <v>20</v>
  </rv>
  <rv s="10">
    <fb>429.95</fb>
    <v>20</v>
  </rv>
  <rv s="10">
    <fb>443.15</fb>
    <v>20</v>
  </rv>
  <rv s="10">
    <fb>426.5</fb>
    <v>20</v>
  </rv>
  <rv s="10">
    <fb>430.05</fb>
    <v>20</v>
  </rv>
  <rv s="10">
    <fb>433.1</fb>
    <v>20</v>
  </rv>
  <rv s="10">
    <fb>443.75</fb>
    <v>20</v>
  </rv>
  <rv s="10">
    <fb>12.35</fb>
    <v>20</v>
  </rv>
  <rv s="10">
    <fb>12.5</fb>
    <v>20</v>
  </rv>
  <rv s="10">
    <fb>12.45</fb>
    <v>20</v>
  </rv>
  <rv s="10">
    <fb>12.4</fb>
    <v>20</v>
  </rv>
  <rv s="10">
    <fb>12.65</fb>
    <v>20</v>
  </rv>
  <rv s="10">
    <fb>12.15</fb>
    <v>20</v>
  </rv>
  <rv s="10">
    <fb>12.25</fb>
    <v>20</v>
  </rv>
  <rv s="10">
    <fb>12.1</fb>
    <v>20</v>
  </rv>
  <rv s="10">
    <fb>12</fb>
    <v>20</v>
  </rv>
  <rv s="10">
    <fb>12.7</fb>
    <v>20</v>
  </rv>
  <rv s="10">
    <fb>12.9</fb>
    <v>20</v>
  </rv>
  <rv s="10">
    <fb>12.8</fb>
    <v>20</v>
  </rv>
  <rv s="10">
    <fb>12.55</fb>
    <v>20</v>
  </rv>
  <rv s="10">
    <fb>12.6</fb>
    <v>20</v>
  </rv>
  <rv s="10">
    <fb>13.2</fb>
    <v>20</v>
  </rv>
  <rv s="10">
    <fb>12.95</fb>
    <v>20</v>
  </rv>
  <rv s="10">
    <fb>13</fb>
    <v>20</v>
  </rv>
  <rv s="10">
    <fb>14.2</fb>
    <v>20</v>
  </rv>
  <rv s="10">
    <fb>14.65</fb>
    <v>20</v>
  </rv>
  <rv s="10">
    <fb>14.95</fb>
    <v>20</v>
  </rv>
  <rv s="10">
    <fb>14.6</fb>
    <v>20</v>
  </rv>
  <rv s="10">
    <fb>13.85</fb>
    <v>20</v>
  </rv>
  <rv s="10">
    <fb>14.4</fb>
    <v>20</v>
  </rv>
  <rv s="10">
    <fb>14</fb>
    <v>20</v>
  </rv>
  <rv s="10">
    <fb>14.35</fb>
    <v>20</v>
  </rv>
  <rv s="10">
    <fb>14.05</fb>
    <v>20</v>
  </rv>
  <rv s="10">
    <fb>14.15</fb>
    <v>20</v>
  </rv>
  <rv s="10">
    <fb>14.1</fb>
    <v>20</v>
  </rv>
  <rv s="10">
    <fb>13.9</fb>
    <v>20</v>
  </rv>
  <rv s="10">
    <fb>13.8</fb>
    <v>20</v>
  </rv>
  <rv s="10">
    <fb>13.95</fb>
    <v>20</v>
  </rv>
  <rv s="10">
    <fb>13.6</fb>
    <v>20</v>
  </rv>
  <rv s="10">
    <fb>13.45</fb>
    <v>20</v>
  </rv>
  <rv s="10">
    <fb>13.4</fb>
    <v>20</v>
  </rv>
  <rv s="10">
    <fb>13.5</fb>
    <v>20</v>
  </rv>
  <rv s="10">
    <fb>13.7</fb>
    <v>20</v>
  </rv>
  <rv s="10">
    <fb>13.75</fb>
    <v>20</v>
  </rv>
  <rv s="10">
    <fb>13.65</fb>
    <v>20</v>
  </rv>
  <rv s="10">
    <fb>13.3</fb>
    <v>20</v>
  </rv>
  <rv s="10">
    <fb>11.65</fb>
    <v>20</v>
  </rv>
  <rv s="10">
    <fb>13.55</fb>
    <v>20</v>
  </rv>
  <rv s="10">
    <fb>13.25</fb>
    <v>20</v>
  </rv>
  <rv s="10">
    <fb>12.85</fb>
    <v>20</v>
  </rv>
  <rv s="10">
    <fb>13.05</fb>
    <v>20</v>
  </rv>
  <rv s="10">
    <fb>13.15</fb>
    <v>20</v>
  </rv>
  <rv s="10">
    <fb>13.1</fb>
    <v>20</v>
  </rv>
  <rv s="10">
    <fb>13.35</fb>
    <v>20</v>
  </rv>
  <rv s="10">
    <fb>14.5</fb>
    <v>20</v>
  </rv>
  <rv s="10">
    <fb>15.2</fb>
    <v>20</v>
  </rv>
  <rv s="10">
    <fb>15.6</fb>
    <v>20</v>
  </rv>
  <rv s="10">
    <fb>15.75</fb>
    <v>20</v>
  </rv>
  <rv s="10">
    <fb>16.7</fb>
    <v>20</v>
  </rv>
  <rv s="10">
    <fb>16.75</fb>
    <v>20</v>
  </rv>
  <rv s="10">
    <fb>16.05</fb>
    <v>20</v>
  </rv>
  <rv s="10">
    <fb>16.350000000000001</fb>
    <v>20</v>
  </rv>
  <rv s="10">
    <fb>16.3</fb>
    <v>20</v>
  </rv>
  <rv s="10">
    <fb>16.600000000000001</fb>
    <v>20</v>
  </rv>
  <rv s="10">
    <fb>16.95</fb>
    <v>20</v>
  </rv>
  <rv s="10">
    <fb>16.649999999999999</fb>
    <v>20</v>
  </rv>
  <rv s="10">
    <fb>16.149999999999999</fb>
    <v>20</v>
  </rv>
  <rv s="10">
    <fb>15.65</fb>
    <v>20</v>
  </rv>
  <rv s="10">
    <fb>16.100000000000001</fb>
    <v>20</v>
  </rv>
  <rv s="10">
    <fb>16.45</fb>
    <v>20</v>
  </rv>
  <rv s="10">
    <fb>16.5</fb>
    <v>20</v>
  </rv>
  <rv s="10">
    <fb>16.2</fb>
    <v>20</v>
  </rv>
  <rv s="10">
    <fb>15.35</fb>
    <v>20</v>
  </rv>
  <rv s="10">
    <fb>15.7</fb>
    <v>20</v>
  </rv>
  <rv s="10">
    <fb>15.4</fb>
    <v>20</v>
  </rv>
  <rv s="10">
    <fb>15.5</fb>
    <v>20</v>
  </rv>
  <rv s="10">
    <fb>15.45</fb>
    <v>20</v>
  </rv>
  <rv s="10">
    <fb>17.100000000000001</fb>
    <v>20</v>
  </rv>
  <rv s="10">
    <fb>18.649999999999999</fb>
    <v>20</v>
  </rv>
  <rv s="10">
    <fb>17.95</fb>
    <v>20</v>
  </rv>
  <rv s="10">
    <fb>17.45</fb>
    <v>20</v>
  </rv>
  <rv s="10">
    <fb>18.8</fb>
    <v>20</v>
  </rv>
  <rv s="10">
    <fb>17.05</fb>
    <v>20</v>
  </rv>
  <rv s="10">
    <fb>17.850000000000001</fb>
    <v>20</v>
  </rv>
  <rv s="10">
    <fb>17.8</fb>
    <v>20</v>
  </rv>
  <rv s="10">
    <fb>18.5</fb>
    <v>20</v>
  </rv>
  <rv s="10">
    <fb>18.149999999999999</fb>
    <v>20</v>
  </rv>
  <rv s="10">
    <fb>18</fb>
    <v>20</v>
  </rv>
  <rv s="10">
    <fb>19</fb>
    <v>20</v>
  </rv>
  <rv s="10">
    <fb>19.2</fb>
    <v>20</v>
  </rv>
  <rv s="10">
    <fb>18.95</fb>
    <v>20</v>
  </rv>
  <rv s="10">
    <fb>19.149999999999999</fb>
    <v>20</v>
  </rv>
  <rv s="10">
    <fb>19.75</fb>
    <v>20</v>
  </rv>
  <rv s="10">
    <fb>19.55</fb>
    <v>20</v>
  </rv>
  <rv s="10">
    <fb>20.05</fb>
    <v>20</v>
  </rv>
  <rv s="10">
    <fb>20.100000000000001</fb>
    <v>20</v>
  </rv>
  <rv s="10">
    <fb>19.649999999999999</fb>
    <v>20</v>
  </rv>
  <rv s="10">
    <fb>19.100000000000001</fb>
    <v>20</v>
  </rv>
  <rv s="10">
    <fb>18.45</fb>
    <v>20</v>
  </rv>
  <rv s="10">
    <fb>18.100000000000001</fb>
    <v>20</v>
  </rv>
  <rv s="10">
    <fb>18.7</fb>
    <v>20</v>
  </rv>
  <rv s="10">
    <fb>18.3</fb>
    <v>20</v>
  </rv>
  <rv s="10">
    <fb>19.25</fb>
    <v>20</v>
  </rv>
  <rv s="10">
    <fb>18.850000000000001</fb>
    <v>20</v>
  </rv>
  <rv s="10">
    <fb>21.5</fb>
    <v>20</v>
  </rv>
  <rv s="10">
    <fb>21</fb>
    <v>20</v>
  </rv>
  <rv s="10">
    <fb>22.7</fb>
    <v>20</v>
  </rv>
  <rv s="10">
    <fb>21.95</fb>
    <v>20</v>
  </rv>
  <rv s="10">
    <fb>24.4</fb>
    <v>20</v>
  </rv>
  <rv s="10">
    <fb>26.2</fb>
    <v>20</v>
  </rv>
  <rv s="10">
    <fb>24.45</fb>
    <v>20</v>
  </rv>
  <rv s="10">
    <fb>23.4</fb>
    <v>20</v>
  </rv>
  <rv s="10">
    <fb>22.05</fb>
    <v>20</v>
  </rv>
  <rv s="10">
    <fb>23.25</fb>
    <v>20</v>
  </rv>
  <rv s="10">
    <fb>23.6</fb>
    <v>20</v>
  </rv>
  <rv s="10">
    <fb>23.7</fb>
    <v>20</v>
  </rv>
  <rv s="10">
    <fb>24.3</fb>
    <v>20</v>
  </rv>
  <rv s="10">
    <fb>23.9</fb>
    <v>20</v>
  </rv>
  <rv s="10">
    <fb>22.9</fb>
    <v>20</v>
  </rv>
  <rv s="10">
    <fb>22.8</fb>
    <v>20</v>
  </rv>
  <rv s="10">
    <fb>22.85</fb>
    <v>20</v>
  </rv>
  <rv s="10">
    <fb>22.1</fb>
    <v>20</v>
  </rv>
  <rv s="10">
    <fb>21.3</fb>
    <v>20</v>
  </rv>
  <rv s="10">
    <fb>21.85</fb>
    <v>20</v>
  </rv>
  <rv s="10">
    <fb>21.75</fb>
    <v>20</v>
  </rv>
  <rv s="10">
    <fb>22</fb>
    <v>20</v>
  </rv>
  <rv s="10">
    <fb>21.45</fb>
    <v>20</v>
  </rv>
  <rv s="10">
    <fb>20.8</fb>
    <v>20</v>
  </rv>
  <rv s="10">
    <fb>19.95</fb>
    <v>20</v>
  </rv>
  <rv s="10">
    <fb>20.2</fb>
    <v>20</v>
  </rv>
  <rv s="10">
    <fb>17.899999999999999</fb>
    <v>20</v>
  </rv>
  <rv s="10">
    <fb>16.399999999999999</fb>
    <v>20</v>
  </rv>
  <rv s="10">
    <fb>17.7</fb>
    <v>20</v>
  </rv>
  <rv s="10">
    <fb>19.3</fb>
    <v>20</v>
  </rv>
  <rv s="10">
    <fb>19.05</fb>
    <v>20</v>
  </rv>
  <rv s="10">
    <fb>19.399999999999999</fb>
    <v>20</v>
  </rv>
  <rv s="10">
    <fb>19.45</fb>
    <v>20</v>
  </rv>
  <rv s="10">
    <fb>20.3</fb>
    <v>20</v>
  </rv>
  <rv s="10">
    <fb>20.5</fb>
    <v>20</v>
  </rv>
  <rv s="10">
    <fb>20.95</fb>
    <v>20</v>
  </rv>
  <rv s="10">
    <fb>20</fb>
    <v>20</v>
  </rv>
  <rv s="10">
    <fb>19.8</fb>
    <v>20</v>
  </rv>
  <rv s="10">
    <fb>18.600000000000001</fb>
    <v>20</v>
  </rv>
  <rv s="10">
    <fb>19.7</fb>
    <v>20</v>
  </rv>
  <rv s="10">
    <fb>19.350000000000001</fb>
    <v>20</v>
  </rv>
  <rv s="10">
    <fb>20.45</fb>
    <v>20</v>
  </rv>
  <rv s="10">
    <fb>21.15</fb>
    <v>20</v>
  </rv>
  <rv s="10">
    <fb>1087.4000000000001</fb>
    <v>20</v>
  </rv>
  <rv s="10">
    <fb>1083.5</fb>
    <v>20</v>
  </rv>
  <rv s="10">
    <fb>1075.6500000000001</fb>
    <v>20</v>
  </rv>
  <rv s="10">
    <fb>1094.3499999999999</fb>
    <v>20</v>
  </rv>
  <rv s="10">
    <fb>1098.3</fb>
    <v>20</v>
  </rv>
  <rv s="10">
    <fb>1081.7</fb>
    <v>20</v>
  </rv>
  <rv s="10">
    <fb>1072.75</fb>
    <v>20</v>
  </rv>
  <rv s="10">
    <fb>1090.3499999999999</fb>
    <v>20</v>
  </rv>
  <rv s="10">
    <fb>1074.1500000000001</fb>
    <v>20</v>
  </rv>
  <rv s="10">
    <fb>1060.6500000000001</fb>
    <v>20</v>
  </rv>
  <rv s="10">
    <fb>1061.7</fb>
    <v>20</v>
  </rv>
  <rv s="10">
    <fb>1071.3</fb>
    <v>20</v>
  </rv>
  <rv s="10">
    <fb>1070.5999999999999</fb>
    <v>20</v>
  </rv>
  <rv s="10">
    <fb>1061.95</fb>
    <v>20</v>
  </rv>
  <rv s="10">
    <fb>1064.8</fb>
    <v>20</v>
  </rv>
  <rv s="10">
    <fb>1084.0999999999999</fb>
    <v>20</v>
  </rv>
  <rv s="10">
    <fb>1074.2</fb>
    <v>20</v>
  </rv>
  <rv s="10">
    <fb>1083.6500000000001</fb>
    <v>20</v>
  </rv>
  <rv s="10">
    <fb>1101.75</fb>
    <v>20</v>
  </rv>
  <rv s="10">
    <fb>1100.95</fb>
    <v>20</v>
  </rv>
  <rv s="10">
    <fb>1109.05</fb>
    <v>20</v>
  </rv>
  <rv s="10">
    <fb>1138.0999999999999</fb>
    <v>20</v>
  </rv>
  <rv s="10">
    <fb>1166.2</fb>
    <v>20</v>
  </rv>
  <rv s="10">
    <fb>1167.8</fb>
    <v>20</v>
  </rv>
  <rv s="10">
    <fb>1173.0999999999999</fb>
    <v>20</v>
  </rv>
  <rv s="10">
    <fb>1176.3499999999999</fb>
    <v>20</v>
  </rv>
  <rv s="10">
    <fb>1191.55</fb>
    <v>20</v>
  </rv>
  <rv s="10">
    <fb>1200.95</fb>
    <v>20</v>
  </rv>
  <rv s="10">
    <fb>1186.05</fb>
    <v>20</v>
  </rv>
  <rv s="10">
    <fb>1178.5</fb>
    <v>20</v>
  </rv>
  <rv s="10">
    <fb>1176.95</fb>
    <v>20</v>
  </rv>
  <rv s="10">
    <fb>1221.1500000000001</fb>
    <v>20</v>
  </rv>
  <rv s="10">
    <fb>1183.75</fb>
    <v>20</v>
  </rv>
  <rv s="10">
    <fb>1237</fb>
    <v>20</v>
  </rv>
  <rv s="10">
    <fb>1241.4000000000001</fb>
    <v>20</v>
  </rv>
  <rv s="10">
    <fb>1224.3499999999999</fb>
    <v>20</v>
  </rv>
  <rv s="10">
    <fb>1205.5</fb>
    <v>20</v>
  </rv>
  <rv s="10">
    <fb>1188.3</fb>
    <v>20</v>
  </rv>
  <rv s="10">
    <fb>1186.5999999999999</fb>
    <v>20</v>
  </rv>
  <rv s="10">
    <fb>1235.5</fb>
    <v>20</v>
  </rv>
  <rv s="10">
    <fb>1237.5999999999999</fb>
    <v>20</v>
  </rv>
  <rv s="10">
    <fb>1217.1500000000001</fb>
    <v>20</v>
  </rv>
  <rv s="10">
    <fb>1245.2</fb>
    <v>20</v>
  </rv>
  <rv s="10">
    <fb>1337.35</fb>
    <v>20</v>
  </rv>
  <rv s="10">
    <fb>1338.9</fb>
    <v>20</v>
  </rv>
  <rv s="10">
    <fb>1427.5</fb>
    <v>20</v>
  </rv>
  <rv s="10">
    <fb>1480.9</fb>
    <v>20</v>
  </rv>
  <rv s="10">
    <fb>1438.5</fb>
    <v>20</v>
  </rv>
  <rv s="10">
    <fb>1455.65</fb>
    <v>20</v>
  </rv>
  <rv s="10">
    <fb>1458.75</fb>
    <v>20</v>
  </rv>
  <rv s="10">
    <fb>1454.1</fb>
    <v>20</v>
  </rv>
  <rv s="10">
    <fb>1452.05</fb>
    <v>20</v>
  </rv>
  <rv s="10">
    <fb>1493.9</fb>
    <v>20</v>
  </rv>
  <rv s="10">
    <fb>1497.55</fb>
    <v>20</v>
  </rv>
  <rv s="10">
    <fb>1496.05</fb>
    <v>20</v>
  </rv>
  <rv s="10">
    <fb>1484</fb>
    <v>20</v>
  </rv>
  <rv s="10">
    <fb>1499.95</fb>
    <v>20</v>
  </rv>
  <rv s="10">
    <fb>1516.15</fb>
    <v>20</v>
  </rv>
  <rv s="10">
    <fb>1503</fb>
    <v>20</v>
  </rv>
  <rv s="10">
    <fb>1540.65</fb>
    <v>20</v>
  </rv>
  <rv s="10">
    <fb>1537.15</fb>
    <v>20</v>
  </rv>
  <rv s="10">
    <fb>1586.7</fb>
    <v>20</v>
  </rv>
  <rv s="10">
    <fb>1595.85</fb>
    <v>20</v>
  </rv>
  <rv s="10">
    <fb>1582.65</fb>
    <v>20</v>
  </rv>
  <rv s="10">
    <fb>1689.15</fb>
    <v>20</v>
  </rv>
  <rv s="10">
    <fb>1654.35</fb>
    <v>20</v>
  </rv>
  <rv s="10">
    <fb>1662.1</fb>
    <v>20</v>
  </rv>
  <rv s="10">
    <fb>1658.15</fb>
    <v>20</v>
  </rv>
  <rv s="10">
    <fb>1657.95</fb>
    <v>20</v>
  </rv>
  <rv s="10">
    <fb>1652</fb>
    <v>20</v>
  </rv>
  <rv s="10">
    <fb>1654.3</fb>
    <v>20</v>
  </rv>
  <rv s="10">
    <fb>1741.05</fb>
    <v>20</v>
  </rv>
  <rv s="10">
    <fb>1775.3</fb>
    <v>20</v>
  </rv>
  <rv s="10">
    <fb>1761.35</fb>
    <v>20</v>
  </rv>
  <rv s="10">
    <fb>1742.4</fb>
    <v>20</v>
  </rv>
  <rv s="10">
    <fb>1717.4</fb>
    <v>20</v>
  </rv>
  <rv s="10">
    <fb>1748.7</fb>
    <v>20</v>
  </rv>
  <rv s="10">
    <fb>1730.7</fb>
    <v>20</v>
  </rv>
  <rv s="10">
    <fb>1759.35</fb>
    <v>20</v>
  </rv>
  <rv s="10">
    <fb>1767.65</fb>
    <v>20</v>
  </rv>
  <rv s="10">
    <fb>1758.85</fb>
    <v>20</v>
  </rv>
  <rv s="10">
    <fb>1741.65</fb>
    <v>20</v>
  </rv>
  <rv s="10">
    <fb>1734.85</fb>
    <v>20</v>
  </rv>
  <rv s="10">
    <fb>1744.1</fb>
    <v>20</v>
  </rv>
  <rv s="10">
    <fb>1632.6</fb>
    <v>20</v>
  </rv>
  <rv s="10">
    <fb>1717.7</fb>
    <v>20</v>
  </rv>
  <rv s="10">
    <fb>1709.05</fb>
    <v>20</v>
  </rv>
  <rv s="10">
    <fb>1715.7</fb>
    <v>20</v>
  </rv>
  <rv s="10">
    <fb>1690.55</fb>
    <v>20</v>
  </rv>
  <rv s="10">
    <fb>1722.15</fb>
    <v>20</v>
  </rv>
  <rv s="10">
    <fb>1689.5</fb>
    <v>20</v>
  </rv>
  <rv s="10">
    <fb>1685.55</fb>
    <v>20</v>
  </rv>
  <rv s="10">
    <fb>1709.15</fb>
    <v>20</v>
  </rv>
  <rv s="10">
    <fb>1773.8</fb>
    <v>20</v>
  </rv>
  <rv s="10">
    <fb>1897.05</fb>
    <v>20</v>
  </rv>
  <rv s="10">
    <fb>2037.7</fb>
    <v>20</v>
  </rv>
  <rv s="10">
    <fb>1994.55</fb>
    <v>20</v>
  </rv>
  <rv s="10">
    <fb>2117</fb>
    <v>20</v>
  </rv>
  <rv s="10">
    <fb>2208.75</fb>
    <v>20</v>
  </rv>
  <rv s="10">
    <fb>2124</fb>
    <v>20</v>
  </rv>
  <rv s="10">
    <fb>2213.4499999999998</fb>
    <v>20</v>
  </rv>
  <rv s="10">
    <fb>2172.9</fb>
    <v>20</v>
  </rv>
  <rv s="10">
    <fb>2105.4499999999998</fb>
    <v>20</v>
  </rv>
  <rv s="10">
    <fb>2094.3000000000002</fb>
    <v>20</v>
  </rv>
  <rv s="10">
    <fb>2071.8000000000002</fb>
    <v>20</v>
  </rv>
  <rv s="10">
    <fb>2025</fb>
    <v>20</v>
  </rv>
  <rv s="10">
    <fb>2018.45</fb>
    <v>20</v>
  </rv>
  <rv s="10">
    <fb>1992.65</fb>
    <v>20</v>
  </rv>
  <rv s="10">
    <fb>2005.35</fb>
    <v>20</v>
  </rv>
  <rv s="10">
    <fb>2003.25</fb>
    <v>20</v>
  </rv>
  <rv s="10">
    <fb>1980.5</fb>
    <v>20</v>
  </rv>
  <rv s="10">
    <fb>1891.15</fb>
    <v>20</v>
  </rv>
  <rv s="10">
    <fb>1962.5</fb>
    <v>20</v>
  </rv>
  <rv s="10">
    <fb>1995.05</fb>
    <v>20</v>
  </rv>
  <rv s="10">
    <fb>2012.85</fb>
    <v>20</v>
  </rv>
  <rv s="10">
    <fb>2082.9</fb>
    <v>20</v>
  </rv>
  <rv s="10">
    <fb>2113.5500000000002</fb>
    <v>20</v>
  </rv>
  <rv s="10">
    <fb>2117.8000000000002</fb>
    <v>20</v>
  </rv>
  <rv s="10">
    <fb>2110.5</fb>
    <v>20</v>
  </rv>
  <rv s="10">
    <fb>2102.8000000000002</fb>
    <v>20</v>
  </rv>
  <rv s="10">
    <fb>2044.4</fb>
    <v>20</v>
  </rv>
  <rv s="10">
    <fb>2085.35</fb>
    <v>20</v>
  </rv>
  <rv s="10">
    <fb>2060.3000000000002</fb>
    <v>20</v>
  </rv>
  <rv s="10">
    <fb>2057.5500000000002</fb>
    <v>20</v>
  </rv>
  <rv s="10">
    <fb>2102.6999999999998</fb>
    <v>20</v>
  </rv>
  <rv s="10">
    <fb>2123.5500000000002</fb>
    <v>20</v>
  </rv>
  <rv s="10">
    <fb>2127.1</fb>
    <v>20</v>
  </rv>
  <rv s="10">
    <fb>2277.1</fb>
    <v>20</v>
  </rv>
  <rv s="10">
    <fb>2242.4</fb>
    <v>20</v>
  </rv>
  <rv s="10">
    <fb>2226.5</fb>
    <v>20</v>
  </rv>
  <rv s="10">
    <fb>2227</fb>
    <v>20</v>
  </rv>
  <rv s="10">
    <fb>2181.65</fb>
    <v>20</v>
  </rv>
  <rv s="10">
    <fb>2195.0500000000002</fb>
    <v>20</v>
  </rv>
  <rv s="10">
    <fb>2201.15</fb>
    <v>20</v>
  </rv>
  <rv s="10">
    <fb>2183.15</fb>
    <v>20</v>
  </rv>
  <rv s="10">
    <fb>2139.6</fb>
    <v>20</v>
  </rv>
  <rv s="10">
    <fb>2224.8000000000002</fb>
    <v>20</v>
  </rv>
  <rv s="10">
    <fb>2207.6</fb>
    <v>20</v>
  </rv>
  <rv s="10">
    <fb>2215.75</fb>
    <v>20</v>
  </rv>
  <rv s="10">
    <fb>2175.9499999999998</fb>
    <v>20</v>
  </rv>
  <rv s="10">
    <fb>2215.1</fb>
    <v>20</v>
  </rv>
  <rv s="10">
    <fb>2179</fb>
    <v>20</v>
  </rv>
  <rv s="10">
    <fb>2196.8000000000002</fb>
    <v>20</v>
  </rv>
  <rv s="10">
    <fb>2162.0500000000002</fb>
    <v>20</v>
  </rv>
  <rv s="10">
    <fb>2124.9</fb>
    <v>20</v>
  </rv>
  <rv s="10">
    <fb>2102.0500000000002</fb>
    <v>20</v>
  </rv>
  <rv s="10">
    <fb>2152.0500000000002</fb>
    <v>20</v>
  </rv>
  <rv s="10">
    <fb>2105.75</fb>
    <v>20</v>
  </rv>
  <rv s="10">
    <fb>2109.6</fb>
    <v>20</v>
  </rv>
  <rv s="10">
    <fb>2040.8</fb>
    <v>20</v>
  </rv>
  <rv s="10">
    <fb>2017.1</fb>
    <v>20</v>
  </rv>
  <rv s="10">
    <fb>1996.05</fb>
    <v>20</v>
  </rv>
  <rv s="10">
    <fb>2020.85</fb>
    <v>20</v>
  </rv>
  <rv s="10">
    <fb>1962.35</fb>
    <v>20</v>
  </rv>
  <rv s="10">
    <fb>1945.2</fb>
    <v>20</v>
  </rv>
  <rv s="10">
    <fb>1928.8</fb>
    <v>20</v>
  </rv>
  <rv s="10">
    <fb>1940</fb>
    <v>20</v>
  </rv>
  <rv s="10">
    <fb>1936.9</fb>
    <v>20</v>
  </rv>
  <rv s="10">
    <fb>1965.35</fb>
    <v>20</v>
  </rv>
  <rv s="10">
    <fb>1972.5</fb>
    <v>20</v>
  </rv>
  <rv s="10">
    <fb>1968.15</fb>
    <v>20</v>
  </rv>
  <rv s="10">
    <fb>2021.5</fb>
    <v>20</v>
  </rv>
  <rv s="10">
    <fb>2063.0500000000002</fb>
    <v>20</v>
  </rv>
  <rv s="10">
    <fb>2036.95</fb>
    <v>20</v>
  </rv>
  <rv s="10">
    <fb>1987.4</fb>
    <v>20</v>
  </rv>
  <rv s="10">
    <fb>1967.15</fb>
    <v>20</v>
  </rv>
  <rv s="10">
    <fb>2004.85</fb>
    <v>20</v>
  </rv>
  <rv s="10">
    <fb>2044</fb>
    <v>20</v>
  </rv>
  <rv s="10">
    <fb>2046.35</fb>
    <v>20</v>
  </rv>
  <rv s="10">
    <fb>2056.85</fb>
    <v>20</v>
  </rv>
  <rv s="10">
    <fb>2020.05</fb>
    <v>20</v>
  </rv>
  <rv s="10">
    <fb>1964.35</fb>
    <v>20</v>
  </rv>
  <rv s="10">
    <fb>1932.55</fb>
    <v>20</v>
  </rv>
  <rv s="10">
    <fb>1963.8</fb>
    <v>20</v>
  </rv>
  <rv s="10">
    <fb>1835.05</fb>
    <v>20</v>
  </rv>
  <rv s="10">
    <fb>1851.7</fb>
    <v>20</v>
  </rv>
  <rv s="10">
    <fb>1802.05</fb>
    <v>20</v>
  </rv>
  <rv s="10">
    <fb>1864.95</fb>
    <v>20</v>
  </rv>
  <rv s="10">
    <fb>1909.3</fb>
    <v>20</v>
  </rv>
  <rv s="10">
    <fb>1900.6</fb>
    <v>20</v>
  </rv>
  <rv s="10">
    <fb>1872</fb>
    <v>20</v>
  </rv>
  <rv s="10">
    <fb>1837.95</fb>
    <v>20</v>
  </rv>
  <rv s="10">
    <fb>1821.05</fb>
    <v>20</v>
  </rv>
  <rv s="10">
    <fb>1868.55</fb>
    <v>20</v>
  </rv>
  <rv s="10">
    <fb>1892.55</fb>
    <v>20</v>
  </rv>
  <rv s="10">
    <fb>1868.5</fb>
    <v>20</v>
  </rv>
  <rv s="10">
    <fb>1856.1</fb>
    <v>20</v>
  </rv>
  <rv s="10">
    <fb>1843.7</fb>
    <v>20</v>
  </rv>
  <rv s="10">
    <fb>1801.45</fb>
    <v>20</v>
  </rv>
  <rv s="10">
    <fb>1818.65</fb>
    <v>20</v>
  </rv>
  <rv s="10">
    <fb>1826.3</fb>
    <v>20</v>
  </rv>
  <rv s="10">
    <fb>1798.05</fb>
    <v>20</v>
  </rv>
  <rv s="10">
    <fb>1813.55</fb>
    <v>20</v>
  </rv>
  <rv s="10">
    <fb>1799.75</fb>
    <v>20</v>
  </rv>
  <rv s="10">
    <fb>1806.75</fb>
    <v>20</v>
  </rv>
  <rv s="10">
    <fb>1828.6</fb>
    <v>20</v>
  </rv>
  <rv s="10">
    <fb>1818</fb>
    <v>20</v>
  </rv>
  <rv s="10">
    <fb>1818.45</fb>
    <v>20</v>
  </rv>
  <rv s="10">
    <fb>1800.75</fb>
    <v>20</v>
  </rv>
  <rv s="10">
    <fb>1761.8</fb>
    <v>20</v>
  </rv>
  <rv s="10">
    <fb>1747.45</fb>
    <v>20</v>
  </rv>
  <rv s="10">
    <fb>1692.3</fb>
    <v>20</v>
  </rv>
  <rv s="10">
    <fb>1622.85</fb>
    <v>20</v>
  </rv>
  <rv s="10">
    <fb>1662.85</fb>
    <v>20</v>
  </rv>
  <rv s="10">
    <fb>1729.55</fb>
    <v>20</v>
  </rv>
  <rv s="10">
    <fb>1740.05</fb>
    <v>20</v>
  </rv>
  <rv s="10">
    <fb>1805.4</fb>
    <v>20</v>
  </rv>
  <rv s="10">
    <fb>1846.85</fb>
    <v>20</v>
  </rv>
  <rv s="10">
    <fb>1844.65</fb>
    <v>20</v>
  </rv>
  <rv s="10">
    <fb>1820.7</fb>
    <v>20</v>
  </rv>
  <rv s="10">
    <fb>1863.9</fb>
    <v>20</v>
  </rv>
  <rv s="10">
    <fb>1903</fb>
    <v>20</v>
  </rv>
  <rv s="10">
    <fb>1911.45</fb>
    <v>20</v>
  </rv>
  <rv s="10">
    <fb>1897.9</fb>
    <v>20</v>
  </rv>
  <rv s="10">
    <fb>1895.75</fb>
    <v>20</v>
  </rv>
  <rv s="10">
    <fb>1901.2</fb>
    <v>20</v>
  </rv>
  <rv s="10">
    <fb>1906.85</fb>
    <v>20</v>
  </rv>
  <rv s="10">
    <fb>1869.5</fb>
    <v>20</v>
  </rv>
  <rv s="10">
    <fb>1859.05</fb>
    <v>20</v>
  </rv>
  <rv s="10">
    <fb>1841.8</fb>
    <v>20</v>
  </rv>
  <rv s="10">
    <fb>1821.3</fb>
    <v>20</v>
  </rv>
  <rv s="10">
    <fb>1851.35</fb>
    <v>20</v>
  </rv>
  <rv s="10">
    <fb>1942.45</fb>
    <v>20</v>
  </rv>
  <rv s="10">
    <fb>1922.1</fb>
    <v>20</v>
  </rv>
  <rv s="10">
    <fb>1902.5</fb>
    <v>20</v>
  </rv>
  <rv s="10">
    <fb>2031.2</fb>
    <v>20</v>
  </rv>
  <rv s="10">
    <fb>2025.5</fb>
    <v>20</v>
  </rv>
  <rv s="10">
    <fb>1989.65</fb>
    <v>20</v>
  </rv>
  <rv s="10">
    <fb>1998.55</fb>
    <v>20</v>
  </rv>
  <rv s="10">
    <fb>2033.75</fb>
    <v>20</v>
  </rv>
  <rv s="10">
    <fb>1888.05</fb>
    <v>20</v>
  </rv>
  <rv s="10">
    <fb>1886.75</fb>
    <v>20</v>
  </rv>
  <rv s="10">
    <fb>1859.1</fb>
    <v>20</v>
  </rv>
  <rv s="10">
    <fb>1872.65</fb>
    <v>20</v>
  </rv>
  <rv s="10">
    <fb>1881.6</fb>
    <v>20</v>
  </rv>
  <rv s="10">
    <fb>1895.05</fb>
    <v>20</v>
  </rv>
  <rv s="10">
    <fb>1865.05</fb>
    <v>20</v>
  </rv>
  <rv s="10">
    <fb>1878.65</fb>
    <v>20</v>
  </rv>
  <rv s="10">
    <fb>1898.95</fb>
    <v>20</v>
  </rv>
  <rv s="10">
    <fb>1998.05</fb>
    <v>20</v>
  </rv>
  <rv s="10">
    <fb>1896.25</fb>
    <v>20</v>
  </rv>
  <rv s="10">
    <fb>1885.45</fb>
    <v>20</v>
  </rv>
  <rv s="10">
    <fb>1866.15</fb>
    <v>20</v>
  </rv>
  <rv s="10">
    <fb>1882.85</fb>
    <v>20</v>
  </rv>
  <rv s="10">
    <fb>1878.35</fb>
    <v>20</v>
  </rv>
  <rv s="10">
    <fb>1885</fb>
    <v>20</v>
  </rv>
  <rv s="10">
    <fb>1912.15</fb>
    <v>20</v>
  </rv>
  <rv s="10">
    <fb>1899.35</fb>
    <v>20</v>
  </rv>
  <rv s="10">
    <fb>1867.9</fb>
    <v>20</v>
  </rv>
  <rv s="10">
    <fb>1892.2</fb>
    <v>20</v>
  </rv>
  <rv s="10">
    <fb>1895.55</fb>
    <v>20</v>
  </rv>
  <rv s="10">
    <fb>1929.25</fb>
    <v>20</v>
  </rv>
  <rv s="10">
    <fb>1928.35</fb>
    <v>20</v>
  </rv>
  <rv s="10">
    <fb>1912.75</fb>
    <v>20</v>
  </rv>
  <rv s="10">
    <fb>1926.45</fb>
    <v>20</v>
  </rv>
  <rv s="10">
    <fb>1932.15</fb>
    <v>20</v>
  </rv>
  <rv s="10">
    <fb>1921.35</fb>
    <v>20</v>
  </rv>
  <rv s="10">
    <fb>1918.75</fb>
    <v>20</v>
  </rv>
  <rv s="10">
    <fb>1914.25</fb>
    <v>20</v>
  </rv>
  <rv s="10">
    <fb>1950.95</fb>
    <v>20</v>
  </rv>
  <rv s="10">
    <fb>1948.3</fb>
    <v>20</v>
  </rv>
  <rv s="10">
    <fb>1955.3</fb>
    <v>20</v>
  </rv>
  <rv s="10">
    <fb>1992.1</fb>
    <v>20</v>
  </rv>
  <rv s="10">
    <fb>1962.65</fb>
    <v>20</v>
  </rv>
  <rv s="10">
    <fb>1916.85</fb>
    <v>20</v>
  </rv>
  <rv s="10">
    <fb>1941.3</fb>
    <v>20</v>
  </rv>
  <rv s="10">
    <fb>1919.7</fb>
    <v>20</v>
  </rv>
  <rv s="10">
    <fb>1917.75</fb>
    <v>20</v>
  </rv>
  <rv s="10">
    <fb>1918.95</fb>
    <v>20</v>
  </rv>
  <rv s="10">
    <fb>1896.8</fb>
    <v>20</v>
  </rv>
  <rv s="10">
    <fb>1901.15</fb>
    <v>20</v>
  </rv>
  <rv s="10">
    <fb>1912.95</fb>
    <v>20</v>
  </rv>
  <rv s="10">
    <fb>1908.55</fb>
    <v>20</v>
  </rv>
  <rv s="10">
    <fb>1932.9</fb>
    <v>20</v>
  </rv>
  <rv s="10">
    <fb>1951.25</fb>
    <v>20</v>
  </rv>
  <rv s="10">
    <fb>2031.65</fb>
    <v>20</v>
  </rv>
  <rv s="10">
    <fb>2099.1999999999998</fb>
    <v>20</v>
  </rv>
  <rv s="10">
    <fb>2113.0500000000002</fb>
    <v>20</v>
  </rv>
  <rv s="10">
    <fb>2097.9</fb>
    <v>20</v>
  </rv>
  <rv s="10">
    <fb>2097.4499999999998</fb>
    <v>20</v>
  </rv>
  <rv s="10">
    <fb>2101.75</fb>
    <v>20</v>
  </rv>
  <rv s="10">
    <fb>2137.85</fb>
    <v>20</v>
  </rv>
  <rv s="10">
    <fb>2113.9499999999998</fb>
    <v>20</v>
  </rv>
  <rv s="10">
    <fb>2116.15</fb>
    <v>20</v>
  </rv>
  <rv s="10">
    <fb>2111.1999999999998</fb>
    <v>20</v>
  </rv>
  <rv s="10">
    <fb>2084.6999999999998</fb>
    <v>20</v>
  </rv>
  <rv s="10">
    <fb>2070.5500000000002</fb>
    <v>20</v>
  </rv>
  <rv s="10">
    <fb>2126.25</fb>
    <v>20</v>
  </rv>
  <rv s="10">
    <fb>2133</fb>
    <v>20</v>
  </rv>
  <rv s="10">
    <fb>2126.9</fb>
    <v>20</v>
  </rv>
  <rv s="10">
    <fb>2111.15</fb>
    <v>20</v>
  </rv>
  <rv s="10">
    <fb>2118</fb>
    <v>20</v>
  </rv>
  <rv s="10">
    <fb>2208.1</fb>
    <v>20</v>
  </rv>
  <rv s="10">
    <fb>2231.8000000000002</fb>
    <v>20</v>
  </rv>
  <rv s="10">
    <fb>2261.5</fb>
    <v>20</v>
  </rv>
  <rv s="10">
    <fb>2268.65</fb>
    <v>20</v>
  </rv>
  <rv s="10">
    <fb>2211.1999999999998</fb>
    <v>20</v>
  </rv>
  <rv s="10">
    <fb>2217.15</fb>
    <v>20</v>
  </rv>
  <rv s="10">
    <fb>2227.5500000000002</fb>
    <v>20</v>
  </rv>
  <rv s="10">
    <fb>2251.4499999999998</fb>
    <v>20</v>
  </rv>
  <rv s="10">
    <fb>2237</fb>
    <v>20</v>
  </rv>
  <rv s="10">
    <fb>2136.65</fb>
    <v>20</v>
  </rv>
  <rv s="10">
    <fb>2117.65</fb>
    <v>20</v>
  </rv>
  <rv s="10">
    <fb>2220.6</fb>
    <v>20</v>
  </rv>
  <rv s="10">
    <fb>2304.9</fb>
    <v>20</v>
  </rv>
  <rv s="10">
    <fb>2261.4499999999998</fb>
    <v>20</v>
  </rv>
  <rv s="10">
    <fb>2231.65</fb>
    <v>20</v>
  </rv>
  <rv s="10">
    <fb>2228.6</fb>
    <v>20</v>
  </rv>
  <rv s="10">
    <fb>2293.75</fb>
    <v>20</v>
  </rv>
  <rv s="10">
    <fb>2462.5</fb>
    <v>20</v>
  </rv>
  <rv s="10">
    <fb>2723.95</fb>
    <v>20</v>
  </rv>
  <rv s="10">
    <fb>2758.05</fb>
    <v>20</v>
  </rv>
  <rv s="10">
    <fb>2746.2</fb>
    <v>20</v>
  </rv>
  <rv s="10">
    <fb>2744.8</fb>
    <v>20</v>
  </rv>
  <rv s="10">
    <fb>2773.6</fb>
    <v>20</v>
  </rv>
  <rv s="10">
    <fb>2783.4</fb>
    <v>20</v>
  </rv>
  <rv s="10">
    <fb>2814</fb>
    <v>20</v>
  </rv>
  <rv s="10">
    <fb>2623.1</fb>
    <v>20</v>
  </rv>
  <rv s="10">
    <fb>2635.75</fb>
    <v>20</v>
  </rv>
  <rv s="10">
    <fb>2671.25</fb>
    <v>20</v>
  </rv>
  <rv s="10">
    <fb>2602.4499999999998</fb>
    <v>20</v>
  </rv>
  <rv s="10">
    <fb>2579.0500000000002</fb>
    <v>20</v>
  </rv>
  <rv s="10">
    <fb>2552.85</fb>
    <v>20</v>
  </rv>
  <rv s="10">
    <fb>2526.6</fb>
    <v>20</v>
  </rv>
  <rv s="10">
    <fb>2489.5</fb>
    <v>20</v>
  </rv>
  <rv s="10">
    <fb>2396.75</fb>
    <v>20</v>
  </rv>
  <rv s="10">
    <fb>2561.9</fb>
    <v>20</v>
  </rv>
  <rv s="10">
    <fb>2588.6</fb>
    <v>20</v>
  </rv>
  <rv s="10">
    <fb>2562.0500000000002</fb>
    <v>20</v>
  </rv>
  <rv s="10">
    <fb>2537.6</fb>
    <v>20</v>
  </rv>
  <rv s="10">
    <fb>2568.5</fb>
    <v>20</v>
  </rv>
  <rv s="10">
    <fb>2606.0500000000002</fb>
    <v>20</v>
  </rv>
  <rv s="10">
    <fb>2634.2</fb>
    <v>20</v>
  </rv>
  <rv s="10">
    <fb>2624.7</fb>
    <v>20</v>
  </rv>
  <rv s="10">
    <fb>2525.65</fb>
    <v>20</v>
  </rv>
  <rv s="10">
    <fb>2558.6999999999998</fb>
    <v>20</v>
  </rv>
  <rv s="10">
    <fb>2546.6</fb>
    <v>20</v>
  </rv>
  <rv s="10">
    <fb>2542.9</fb>
    <v>20</v>
  </rv>
  <rv s="10">
    <fb>2565.0500000000002</fb>
    <v>20</v>
  </rv>
  <rv s="10">
    <fb>2588.5</fb>
    <v>20</v>
  </rv>
  <rv s="10">
    <fb>2637.3</fb>
    <v>20</v>
  </rv>
  <rv s="10">
    <fb>2640.2</fb>
    <v>20</v>
  </rv>
  <rv s="10">
    <fb>2633.7</fb>
    <v>20</v>
  </rv>
  <rv s="10">
    <fb>2732.05</fb>
    <v>20</v>
  </rv>
  <rv s="10">
    <fb>2647.7</fb>
    <v>20</v>
  </rv>
  <rv s="10">
    <fb>2542.1999999999998</fb>
    <v>20</v>
  </rv>
  <rv s="10">
    <fb>2496.35</fb>
    <v>20</v>
  </rv>
  <rv s="10">
    <fb>2471.5</fb>
    <v>20</v>
  </rv>
  <rv s="10">
    <fb>2438.85</fb>
    <v>20</v>
  </rv>
  <rv s="10">
    <fb>2490.35</fb>
    <v>20</v>
  </rv>
  <rv s="10">
    <fb>2495.85</fb>
    <v>20</v>
  </rv>
  <rv s="10">
    <fb>2487.9</fb>
    <v>20</v>
  </rv>
  <rv s="10">
    <fb>2532.85</fb>
    <v>20</v>
  </rv>
  <rv s="10">
    <fb>2545.4499999999998</fb>
    <v>20</v>
  </rv>
  <rv s="10">
    <fb>2553.75</fb>
    <v>20</v>
  </rv>
  <rv s="10">
    <fb>2261.6999999999998</fb>
    <v>20</v>
  </rv>
  <rv s="10">
    <fb>2207.9499999999998</fb>
    <v>20</v>
  </rv>
  <rv s="10">
    <fb>2210.6</fb>
    <v>20</v>
  </rv>
  <rv s="10">
    <fb>2220.6999999999998</fb>
    <v>20</v>
  </rv>
  <rv s="10">
    <fb>2224.0500000000002</fb>
    <v>20</v>
  </rv>
  <rv s="10">
    <fb>2207.1999999999998</fb>
    <v>20</v>
  </rv>
  <rv s="10">
    <fb>2203.4499999999998</fb>
    <v>20</v>
  </rv>
  <rv s="10">
    <fb>2199.5500000000002</fb>
    <v>20</v>
  </rv>
  <rv s="10">
    <fb>2195.3000000000002</fb>
    <v>20</v>
  </rv>
  <rv s="10">
    <fb>2227.3000000000002</fb>
    <v>20</v>
  </rv>
  <rv s="10">
    <fb>2227.25</fb>
    <v>20</v>
  </rv>
  <rv s="10">
    <fb>2240.6</fb>
    <v>20</v>
  </rv>
  <rv s="10">
    <fb>2244.3000000000002</fb>
    <v>20</v>
  </rv>
  <rv s="10">
    <fb>2306.9499999999998</fb>
    <v>20</v>
  </rv>
  <rv s="10">
    <fb>2311.0500000000002</fb>
    <v>20</v>
  </rv>
  <rv s="10">
    <fb>2292.65</fb>
    <v>20</v>
  </rv>
  <rv s="10">
    <fb>2278.9</fb>
    <v>20</v>
  </rv>
  <rv s="10">
    <fb>2273.5500000000002</fb>
    <v>20</v>
  </rv>
  <rv s="10">
    <fb>2250.3000000000002</fb>
    <v>20</v>
  </rv>
  <rv s="10">
    <fb>2254.4</fb>
    <v>20</v>
  </rv>
  <rv s="10">
    <fb>2253.1999999999998</fb>
    <v>20</v>
  </rv>
  <rv s="10">
    <fb>2242.8000000000002</fb>
    <v>20</v>
  </rv>
  <rv s="10">
    <fb>2317.25</fb>
    <v>20</v>
  </rv>
  <rv s="10">
    <fb>2313.8000000000002</fb>
    <v>20</v>
  </rv>
  <rv s="10">
    <fb>2226.8000000000002</fb>
    <v>20</v>
  </rv>
  <rv s="10">
    <fb>2238.75</fb>
    <v>20</v>
  </rv>
  <rv s="10">
    <fb>2236.65</fb>
    <v>20</v>
  </rv>
  <rv s="10">
    <fb>2174.6</fb>
    <v>20</v>
  </rv>
  <rv s="10">
    <fb>2135.75</fb>
    <v>20</v>
  </rv>
  <rv s="10">
    <fb>2200.75</fb>
    <v>20</v>
  </rv>
  <rv s="10">
    <fb>2208.3000000000002</fb>
    <v>20</v>
  </rv>
  <rv s="10">
    <fb>2202.35</fb>
    <v>20</v>
  </rv>
  <rv s="10">
    <fb>2180.1</fb>
    <v>20</v>
  </rv>
  <rv s="10">
    <fb>2185.4</fb>
    <v>20</v>
  </rv>
  <rv s="10">
    <fb>2188.6999999999998</fb>
    <v>20</v>
  </rv>
  <rv s="10">
    <fb>2191.1</fb>
    <v>20</v>
  </rv>
  <rv s="10">
    <fb>2168.1</fb>
    <v>20</v>
  </rv>
  <rv s="10">
    <fb>2158.15</fb>
    <v>20</v>
  </rv>
  <rv s="10">
    <fb>2145.8000000000002</fb>
    <v>20</v>
  </rv>
  <rv s="10">
    <fb>2150</fb>
    <v>20</v>
  </rv>
  <rv s="10">
    <fb>2147.9499999999998</fb>
    <v>20</v>
  </rv>
  <rv s="10">
    <fb>2221</fb>
    <v>20</v>
  </rv>
  <rv s="10">
    <fb>2200.8000000000002</fb>
    <v>20</v>
  </rv>
  <rv s="10">
    <fb>2160.85</fb>
    <v>20</v>
  </rv>
  <rv s="10">
    <fb>2119.65</fb>
    <v>20</v>
  </rv>
  <rv s="10">
    <fb>2115.3000000000002</fb>
    <v>20</v>
  </rv>
  <rv s="10">
    <fb>2110.15</fb>
    <v>20</v>
  </rv>
  <rv s="10">
    <fb>2105.65</fb>
    <v>20</v>
  </rv>
  <rv s="10">
    <fb>2089.65</fb>
    <v>20</v>
  </rv>
  <rv s="10">
    <fb>2100.5500000000002</fb>
    <v>20</v>
  </rv>
  <rv s="10">
    <fb>2029</fb>
    <v>20</v>
  </rv>
  <rv s="10">
    <fb>2022.35</fb>
    <v>20</v>
  </rv>
  <rv s="10">
    <fb>2009</fb>
    <v>20</v>
  </rv>
  <rv s="10">
    <fb>1978.6</fb>
    <v>20</v>
  </rv>
  <rv s="10">
    <fb>2015.3</fb>
    <v>20</v>
  </rv>
  <rv s="10">
    <fb>2004.4</fb>
    <v>20</v>
  </rv>
  <rv s="10">
    <fb>1978.35</fb>
    <v>20</v>
  </rv>
  <rv s="10">
    <fb>1929.9</fb>
    <v>20</v>
  </rv>
  <rv s="10">
    <fb>1916.9</fb>
    <v>20</v>
  </rv>
  <rv s="10">
    <fb>1744.8</fb>
    <v>20</v>
  </rv>
  <rv s="10">
    <fb>1871.65</fb>
    <v>20</v>
  </rv>
  <rv s="10">
    <fb>1934.55</fb>
    <v>20</v>
  </rv>
  <rv s="10">
    <fb>1943.15</fb>
    <v>20</v>
  </rv>
  <rv s="10">
    <fb>1937.85</fb>
    <v>20</v>
  </rv>
  <rv s="10">
    <fb>1904.7</fb>
    <v>20</v>
  </rv>
  <rv s="10">
    <fb>2016.55</fb>
    <v>20</v>
  </rv>
  <rv s="10">
    <fb>2032.6</fb>
    <v>20</v>
  </rv>
  <rv s="10">
    <fb>1979.95</fb>
    <v>20</v>
  </rv>
  <rv s="10">
    <fb>1951.9</fb>
    <v>20</v>
  </rv>
  <rv s="10">
    <fb>1916.1</fb>
    <v>20</v>
  </rv>
  <rv s="10">
    <fb>1902.85</fb>
    <v>20</v>
  </rv>
  <rv s="10">
    <fb>1920</fb>
    <v>20</v>
  </rv>
  <rv s="10">
    <fb>1897.35</fb>
    <v>20</v>
  </rv>
  <rv s="10">
    <fb>1866.7</fb>
    <v>20</v>
  </rv>
  <rv s="10">
    <fb>1831.45</fb>
    <v>20</v>
  </rv>
  <rv s="10">
    <fb>1824.6</fb>
    <v>20</v>
  </rv>
  <rv s="10">
    <fb>1793.35</fb>
    <v>20</v>
  </rv>
  <rv s="10">
    <fb>1735.75</fb>
    <v>20</v>
  </rv>
  <rv s="10">
    <fb>1712.25</fb>
    <v>20</v>
  </rv>
  <rv s="10">
    <fb>1727.6</fb>
    <v>20</v>
  </rv>
  <rv s="10">
    <fb>1721.15</fb>
    <v>20</v>
  </rv>
  <rv s="10">
    <fb>1728</fb>
    <v>20</v>
  </rv>
  <rv s="10">
    <fb>1716.8</fb>
    <v>20</v>
  </rv>
  <rv s="10">
    <fb>1687.7</fb>
    <v>20</v>
  </rv>
  <rv s="10">
    <fb>1697.2</fb>
    <v>20</v>
  </rv>
  <rv s="10">
    <fb>1704.8</fb>
    <v>20</v>
  </rv>
  <rv s="10">
    <fb>1681.6</fb>
    <v>20</v>
  </rv>
  <rv s="10">
    <fb>1683.75</fb>
    <v>20</v>
  </rv>
  <rv s="10">
    <fb>1771.5</fb>
    <v>20</v>
  </rv>
  <rv s="10">
    <fb>1896.05</fb>
    <v>20</v>
  </rv>
  <rv s="10">
    <fb>1953.6</fb>
    <v>20</v>
  </rv>
  <rv s="10">
    <fb>1949.3</fb>
    <v>20</v>
  </rv>
  <rv s="10">
    <fb>1921.1</fb>
    <v>20</v>
  </rv>
  <rv s="10">
    <fb>1877.5</fb>
    <v>20</v>
  </rv>
  <rv s="10">
    <fb>1883.35</fb>
    <v>20</v>
  </rv>
  <rv s="10">
    <fb>1865.35</fb>
    <v>20</v>
  </rv>
  <rv s="10">
    <fb>1820.05</fb>
    <v>20</v>
  </rv>
  <rv s="10">
    <fb>1822.2</fb>
    <v>20</v>
  </rv>
  <rv s="10">
    <fb>1773.95</fb>
    <v>20</v>
  </rv>
  <rv s="10">
    <fb>1790.85</fb>
    <v>20</v>
  </rv>
  <rv s="10">
    <fb>1868.25</fb>
    <v>20</v>
  </rv>
  <rv s="10">
    <fb>1905</fb>
    <v>20</v>
  </rv>
  <rv s="10">
    <fb>1894.4</fb>
    <v>20</v>
  </rv>
  <rv s="10">
    <fb>1884.05</fb>
    <v>20</v>
  </rv>
  <rv s="10">
    <fb>1908.8</fb>
    <v>20</v>
  </rv>
  <rv s="10">
    <fb>4800.3999999999996</fb>
    <v>20</v>
  </rv>
  <rv s="10">
    <fb>4799.5</fb>
    <v>20</v>
  </rv>
  <rv s="10">
    <fb>4816.2</fb>
    <v>20</v>
  </rv>
  <rv s="10">
    <fb>4784.1000000000004</fb>
    <v>20</v>
  </rv>
  <rv s="10">
    <fb>4788.3999999999996</fb>
    <v>20</v>
  </rv>
  <rv s="10">
    <fb>4799</fb>
    <v>20</v>
  </rv>
  <rv s="10">
    <fb>4764.55</fb>
    <v>20</v>
  </rv>
  <rv s="10">
    <fb>4724.3500000000004</fb>
    <v>20</v>
  </rv>
  <rv s="10">
    <fb>4748</fb>
    <v>20</v>
  </rv>
  <rv s="10">
    <fb>4695.3999999999996</fb>
    <v>20</v>
  </rv>
  <rv s="10">
    <fb>4680</fb>
    <v>20</v>
  </rv>
  <rv s="10">
    <fb>4652.45</fb>
    <v>20</v>
  </rv>
  <rv s="10">
    <fb>4619.8999999999996</fb>
    <v>20</v>
  </rv>
  <rv s="10">
    <fb>4556.05</fb>
    <v>20</v>
  </rv>
  <rv s="10">
    <fb>4591.5</fb>
    <v>20</v>
  </rv>
  <rv s="10">
    <fb>4559.3500000000004</fb>
    <v>20</v>
  </rv>
  <rv s="10">
    <fb>4601.5</fb>
    <v>20</v>
  </rv>
  <rv s="10">
    <fb>4602.8</fb>
    <v>20</v>
  </rv>
  <rv s="10">
    <fb>4620.8500000000004</fb>
    <v>20</v>
  </rv>
  <rv s="10">
    <fb>4640.8</fb>
    <v>20</v>
  </rv>
  <rv s="10">
    <fb>4672.75</fb>
    <v>20</v>
  </rv>
  <rv s="10">
    <fb>4665.1000000000004</fb>
    <v>20</v>
  </rv>
  <rv s="10">
    <fb>4592.25</fb>
    <v>20</v>
  </rv>
  <rv s="10">
    <fb>4615.55</fb>
    <v>20</v>
  </rv>
  <rv s="10">
    <fb>4645.8</fb>
    <v>20</v>
  </rv>
  <rv s="10">
    <fb>4627.3999999999996</fb>
    <v>20</v>
  </rv>
  <rv s="10">
    <fb>4705.8</fb>
    <v>20</v>
  </rv>
  <rv s="10">
    <fb>4581.25</fb>
    <v>20</v>
  </rv>
  <rv s="10">
    <fb>4458.8</fb>
    <v>20</v>
  </rv>
  <rv s="10">
    <fb>4409.1499999999996</fb>
    <v>20</v>
  </rv>
  <rv s="10">
    <fb>4570.3500000000004</fb>
    <v>20</v>
  </rv>
  <rv s="10">
    <fb>4627.8999999999996</fb>
    <v>20</v>
  </rv>
  <rv s="10">
    <fb>4632.1499999999996</fb>
    <v>20</v>
  </rv>
  <rv s="10">
    <fb>4653.75</fb>
    <v>20</v>
  </rv>
  <rv s="10">
    <fb>4641.8</fb>
    <v>20</v>
  </rv>
  <rv s="10">
    <fb>4617.3</fb>
    <v>20</v>
  </rv>
  <rv s="10">
    <fb>4669.3999999999996</fb>
    <v>20</v>
  </rv>
  <rv s="10">
    <fb>4553.95</fb>
    <v>20</v>
  </rv>
  <rv s="10">
    <fb>4458.5</fb>
    <v>20</v>
  </rv>
  <rv s="10">
    <fb>4457.3</fb>
    <v>20</v>
  </rv>
  <rv s="10">
    <fb>4422.8999999999996</fb>
    <v>20</v>
  </rv>
  <rv s="10">
    <fb>4486.7</fb>
    <v>20</v>
  </rv>
  <rv s="10">
    <fb>4502</fb>
    <v>20</v>
  </rv>
  <rv s="10">
    <fb>4472.2</fb>
    <v>20</v>
  </rv>
  <rv s="10">
    <fb>4552.7</fb>
    <v>20</v>
  </rv>
  <rv s="10">
    <fb>4615</fb>
    <v>20</v>
  </rv>
  <rv s="10">
    <fb>4532.25</fb>
    <v>20</v>
  </rv>
  <rv s="10">
    <fb>4462.75</fb>
    <v>20</v>
  </rv>
  <rv s="10">
    <fb>4269.05</fb>
    <v>20</v>
  </rv>
  <rv s="10">
    <fb>4293.05</fb>
    <v>20</v>
  </rv>
  <rv s="10">
    <fb>4332.6499999999996</fb>
    <v>20</v>
  </rv>
  <rv s="10">
    <fb>4403.05</fb>
    <v>20</v>
  </rv>
  <rv s="10">
    <fb>4435.3</fb>
    <v>20</v>
  </rv>
  <rv s="10">
    <fb>4384.2</fb>
    <v>20</v>
  </rv>
  <rv s="10">
    <fb>4417.8999999999996</fb>
    <v>20</v>
  </rv>
  <rv s="10">
    <fb>4474.95</fb>
    <v>20</v>
  </rv>
  <rv s="10">
    <fb>4386.6499999999996</fb>
    <v>20</v>
  </rv>
  <rv s="10">
    <fb>4422.5</fb>
    <v>20</v>
  </rv>
  <rv s="10">
    <fb>4308.3999999999996</fb>
    <v>20</v>
  </rv>
  <rv s="10">
    <fb>4307.3999999999996</fb>
    <v>20</v>
  </rv>
  <rv s="10">
    <fb>4265.55</fb>
    <v>20</v>
  </rv>
  <rv s="10">
    <fb>4271.3</fb>
    <v>20</v>
  </rv>
  <rv s="10">
    <fb>4264.75</fb>
    <v>20</v>
  </rv>
  <rv s="10">
    <fb>4554.3500000000004</fb>
    <v>20</v>
  </rv>
  <rv s="10">
    <fb>4588.3500000000004</fb>
    <v>20</v>
  </rv>
  <rv s="10">
    <fb>4503.6499999999996</fb>
    <v>20</v>
  </rv>
  <rv s="10">
    <fb>4505.8500000000004</fb>
    <v>20</v>
  </rv>
  <rv s="10">
    <fb>4404.7</fb>
    <v>20</v>
  </rv>
  <rv s="10">
    <fb>4477.3500000000004</fb>
    <v>20</v>
  </rv>
  <rv s="10">
    <fb>4461.6000000000004</fb>
    <v>20</v>
  </rv>
  <rv s="10">
    <fb>4409.8500000000004</fb>
    <v>20</v>
  </rv>
  <rv s="10">
    <fb>4470.8500000000004</fb>
    <v>20</v>
  </rv>
  <rv s="10">
    <fb>4482.45</fb>
    <v>20</v>
  </rv>
  <rv s="10">
    <fb>4491.55</fb>
    <v>20</v>
  </rv>
  <rv s="10">
    <fb>4445.3</fb>
    <v>20</v>
  </rv>
  <rv s="10">
    <fb>4414.8</fb>
    <v>20</v>
  </rv>
  <rv s="10">
    <fb>4462.6499999999996</fb>
    <v>20</v>
  </rv>
  <rv s="10">
    <fb>4489.7</fb>
    <v>20</v>
  </rv>
  <rv s="10">
    <fb>4513.75</fb>
    <v>20</v>
  </rv>
  <rv s="10">
    <fb>4544.55</fb>
    <v>20</v>
  </rv>
  <rv s="10">
    <fb>4507.45</fb>
    <v>20</v>
  </rv>
  <rv s="10">
    <fb>4509.45</fb>
    <v>20</v>
  </rv>
  <rv s="10">
    <fb>4624.8999999999996</fb>
    <v>20</v>
  </rv>
  <rv s="10">
    <fb>4626.95</fb>
    <v>20</v>
  </rv>
  <rv s="10">
    <fb>4604.8500000000004</fb>
    <v>20</v>
  </rv>
  <rv s="10">
    <fb>4599.1499999999996</fb>
    <v>20</v>
  </rv>
  <rv s="10">
    <fb>4556.8500000000004</fb>
    <v>20</v>
  </rv>
  <rv s="10">
    <fb>4605.3500000000004</fb>
    <v>20</v>
  </rv>
  <rv s="10">
    <fb>4686.1000000000004</fb>
    <v>20</v>
  </rv>
  <rv s="10">
    <fb>4686.3500000000004</fb>
    <v>20</v>
  </rv>
  <rv s="10">
    <fb>4662.45</fb>
    <v>20</v>
  </rv>
  <rv s="10">
    <fb>4685.05</fb>
    <v>20</v>
  </rv>
  <rv s="10">
    <fb>4506</fb>
    <v>20</v>
  </rv>
  <rv s="10">
    <fb>4476.1000000000004</fb>
    <v>20</v>
  </rv>
  <rv s="10">
    <fb>4540.3999999999996</fb>
    <v>20</v>
  </rv>
  <rv s="10">
    <fb>4543.55</fb>
    <v>20</v>
  </rv>
  <rv s="10">
    <fb>4489.1499999999996</fb>
    <v>20</v>
  </rv>
  <rv s="10">
    <fb>4515.3500000000004</fb>
    <v>20</v>
  </rv>
  <rv s="10">
    <fb>4493.8</fb>
    <v>20</v>
  </rv>
  <rv s="10">
    <fb>4469.3500000000004</fb>
    <v>20</v>
  </rv>
  <rv s="10">
    <fb>4451.05</fb>
    <v>20</v>
  </rv>
  <rv s="10">
    <fb>4440.95</fb>
    <v>20</v>
  </rv>
  <rv s="10">
    <fb>4444.8500000000004</fb>
    <v>20</v>
  </rv>
  <rv s="10">
    <fb>4357.6499999999996</fb>
    <v>20</v>
  </rv>
  <rv s="10">
    <fb>3766.7</fb>
    <v>20</v>
  </rv>
  <rv s="10">
    <fb>3820.35</fb>
    <v>20</v>
  </rv>
  <rv s="10">
    <fb>3825.15</fb>
    <v>20</v>
  </rv>
  <rv s="10">
    <fb>3695.6</fb>
    <v>20</v>
  </rv>
  <rv s="10">
    <fb>3718.65</fb>
    <v>20</v>
  </rv>
  <rv s="10">
    <fb>3719.9</fb>
    <v>20</v>
  </rv>
  <rv s="10">
    <fb>3702.3</fb>
    <v>20</v>
  </rv>
  <rv s="10">
    <fb>3719.1</fb>
    <v>20</v>
  </rv>
  <rv s="10">
    <fb>3691.55</fb>
    <v>20</v>
  </rv>
  <rv s="10">
    <fb>3695.15</fb>
    <v>20</v>
  </rv>
  <rv s="10">
    <fb>3696.8</fb>
    <v>20</v>
  </rv>
  <rv s="10">
    <fb>3675.4</fb>
    <v>20</v>
  </rv>
  <rv s="10">
    <fb>3648.3</fb>
    <v>20</v>
  </rv>
  <rv s="10">
    <fb>3606.4</fb>
    <v>20</v>
  </rv>
  <rv s="10">
    <fb>3530.25</fb>
    <v>20</v>
  </rv>
  <rv s="10">
    <fb>3476.3</fb>
    <v>20</v>
  </rv>
  <rv s="10">
    <fb>3429.8</fb>
    <v>20</v>
  </rv>
  <rv s="10">
    <fb>3431.95</fb>
    <v>20</v>
  </rv>
  <rv s="10">
    <fb>3424.15</fb>
    <v>20</v>
  </rv>
  <rv s="10">
    <fb>3438.25</fb>
    <v>20</v>
  </rv>
  <rv s="10">
    <fb>3479.75</fb>
    <v>20</v>
  </rv>
  <rv s="10">
    <fb>3477.05</fb>
    <v>20</v>
  </rv>
  <rv s="10">
    <fb>3538.85</fb>
    <v>20</v>
  </rv>
  <rv s="10">
    <fb>3636.05</fb>
    <v>20</v>
  </rv>
  <rv s="10">
    <fb>3604.65</fb>
    <v>20</v>
  </rv>
  <rv s="10">
    <fb>3603.15</fb>
    <v>20</v>
  </rv>
  <rv s="10">
    <fb>3597.25</fb>
    <v>20</v>
  </rv>
  <rv s="10">
    <fb>3609.45</fb>
    <v>20</v>
  </rv>
  <rv s="10">
    <fb>3624.5</fb>
    <v>20</v>
  </rv>
  <rv s="10">
    <fb>3638.1</fb>
    <v>20</v>
  </rv>
  <rv s="10">
    <fb>3645.6</fb>
    <v>20</v>
  </rv>
  <rv s="10">
    <fb>3649.75</fb>
    <v>20</v>
  </rv>
  <rv s="10">
    <fb>3620.05</fb>
    <v>20</v>
  </rv>
  <rv s="10">
    <fb>3606.8</fb>
    <v>20</v>
  </rv>
  <rv s="10">
    <fb>3626.75</fb>
    <v>20</v>
  </rv>
  <rv s="10">
    <fb>3610.45</fb>
    <v>20</v>
  </rv>
  <rv s="10">
    <fb>3708.1</fb>
    <v>20</v>
  </rv>
  <rv s="10">
    <fb>3732.75</fb>
    <v>20</v>
  </rv>
  <rv s="10">
    <fb>3692.7</fb>
    <v>20</v>
  </rv>
  <rv s="10">
    <fb>3703.75</fb>
    <v>20</v>
  </rv>
  <rv s="10">
    <fb>3701.1</fb>
    <v>20</v>
  </rv>
  <rv s="10">
    <fb>3729.9</fb>
    <v>20</v>
  </rv>
  <rv s="10">
    <fb>3740.1</fb>
    <v>20</v>
  </rv>
  <rv s="10">
    <fb>3803.45</fb>
    <v>20</v>
  </rv>
  <rv s="10">
    <fb>3794.45</fb>
    <v>20</v>
  </rv>
  <rv s="10">
    <fb>3795.9</fb>
    <v>20</v>
  </rv>
  <rv s="10">
    <fb>3802.9</fb>
    <v>20</v>
  </rv>
  <rv s="10">
    <fb>3801</fb>
    <v>20</v>
  </rv>
  <rv s="10">
    <fb>3769.4</fb>
    <v>20</v>
  </rv>
  <rv s="10">
    <fb>3789.85</fb>
    <v>20</v>
  </rv>
  <rv s="10">
    <fb>3862.65</fb>
    <v>20</v>
  </rv>
  <rv s="10">
    <fb>3870.75</fb>
    <v>20</v>
  </rv>
  <rv s="10">
    <fb>3881.8</fb>
    <v>20</v>
  </rv>
  <rv s="10">
    <fb>3867.4</fb>
    <v>20</v>
  </rv>
  <rv s="10">
    <fb>3721.3</fb>
    <v>20</v>
  </rv>
  <rv s="10">
    <fb>3743.9</fb>
    <v>20</v>
  </rv>
  <rv s="10">
    <fb>3763.5</fb>
    <v>20</v>
  </rv>
  <rv s="10">
    <fb>3797.85</fb>
    <v>20</v>
  </rv>
  <rv s="10">
    <fb>3851</fb>
    <v>20</v>
  </rv>
  <rv s="10">
    <fb>3853.2</fb>
    <v>20</v>
  </rv>
  <rv s="10">
    <fb>3857.55</fb>
    <v>20</v>
  </rv>
  <rv s="10">
    <fb>3856.85</fb>
    <v>20</v>
  </rv>
  <rv s="10">
    <fb>3867.85</fb>
    <v>20</v>
  </rv>
  <rv s="10">
    <fb>3796.2</fb>
    <v>20</v>
  </rv>
  <rv s="10">
    <fb>3822.65</fb>
    <v>20</v>
  </rv>
  <rv s="10">
    <fb>3609.7</fb>
    <v>20</v>
  </rv>
  <rv s="10">
    <fb>3500.85</fb>
    <v>20</v>
  </rv>
  <rv s="10">
    <fb>3491.05</fb>
    <v>20</v>
  </rv>
  <rv s="10">
    <fb>3531.4</fb>
    <v>20</v>
  </rv>
  <rv s="10">
    <fb>3534.85</fb>
    <v>20</v>
  </rv>
  <rv s="10">
    <fb>3536.2</fb>
    <v>20</v>
  </rv>
  <rv s="10">
    <fb>3489.75</fb>
    <v>20</v>
  </rv>
  <rv s="10">
    <fb>3445.95</fb>
    <v>20</v>
  </rv>
  <rv s="10">
    <fb>3402.5</fb>
    <v>20</v>
  </rv>
  <rv s="10">
    <fb>3411</fb>
    <v>20</v>
  </rv>
  <rv s="10">
    <fb>3442.4</fb>
    <v>20</v>
  </rv>
  <rv s="10">
    <fb>3362.35</fb>
    <v>20</v>
  </rv>
  <rv s="10">
    <fb>3420.3</fb>
    <v>20</v>
  </rv>
  <rv s="10">
    <fb>3344.55</fb>
    <v>20</v>
  </rv>
  <rv s="10">
    <fb>3324.1</fb>
    <v>20</v>
  </rv>
  <rv s="10">
    <fb>3308.05</fb>
    <v>20</v>
  </rv>
  <rv s="10">
    <fb>3417.5</fb>
    <v>20</v>
  </rv>
  <rv s="10">
    <fb>3322.6</fb>
    <v>20</v>
  </rv>
  <rv s="10">
    <fb>3325.2</fb>
    <v>20</v>
  </rv>
  <rv s="10">
    <fb>3235.15</fb>
    <v>20</v>
  </rv>
  <rv s="10">
    <fb>3261.5</fb>
    <v>20</v>
  </rv>
  <rv s="10">
    <fb>3093.2</fb>
    <v>20</v>
  </rv>
  <rv s="10">
    <fb>3073.4</fb>
    <v>20</v>
  </rv>
  <rv s="10">
    <fb>3028.4</fb>
    <v>20</v>
  </rv>
  <rv s="10">
    <fb>3073.95</fb>
    <v>20</v>
  </rv>
  <rv s="10">
    <fb>3103.5</fb>
    <v>20</v>
  </rv>
  <rv s="10">
    <fb>3102.85</fb>
    <v>20</v>
  </rv>
  <rv s="10">
    <fb>3126.1</fb>
    <v>20</v>
  </rv>
  <rv s="10">
    <fb>3174.25</fb>
    <v>20</v>
  </rv>
  <rv s="10">
    <fb>3172.35</fb>
    <v>20</v>
  </rv>
  <rv s="10">
    <fb>3203.5</fb>
    <v>20</v>
  </rv>
  <rv s="10">
    <fb>3164.95</fb>
    <v>20</v>
  </rv>
  <rv s="10">
    <fb>3194.3</fb>
    <v>20</v>
  </rv>
  <rv s="10">
    <fb>3150.7</fb>
    <v>20</v>
  </rv>
  <rv s="10">
    <fb>3108.9</fb>
    <v>20</v>
  </rv>
  <rv s="10">
    <fb>3120.55</fb>
    <v>20</v>
  </rv>
  <rv s="10">
    <fb>3017.7</fb>
    <v>20</v>
  </rv>
  <rv s="10">
    <fb>3021.1</fb>
    <v>20</v>
  </rv>
  <rv s="10">
    <fb>3053.65</fb>
    <v>20</v>
  </rv>
  <rv s="10">
    <fb>3069</fb>
    <v>20</v>
  </rv>
  <rv s="10">
    <fb>3050.2</fb>
    <v>20</v>
  </rv>
  <rv s="10">
    <fb>3043.45</fb>
    <v>20</v>
  </rv>
  <rv s="10">
    <fb>3025.55</fb>
    <v>20</v>
  </rv>
  <rv s="10">
    <fb>3059.8</fb>
    <v>20</v>
  </rv>
  <rv s="10">
    <fb>3049.85</fb>
    <v>20</v>
  </rv>
  <rv s="10">
    <fb>3018.95</fb>
    <v>20</v>
  </rv>
  <rv s="10">
    <fb>2924.25</fb>
    <v>20</v>
  </rv>
  <rv s="10">
    <fb>2998.05</fb>
    <v>20</v>
  </rv>
  <rv s="10">
    <fb>3001.15</fb>
    <v>20</v>
  </rv>
  <rv s="10">
    <fb>3011.45</fb>
    <v>20</v>
  </rv>
  <rv s="10">
    <fb>2997.45</fb>
    <v>20</v>
  </rv>
  <rv s="10">
    <fb>2966.55</fb>
    <v>20</v>
  </rv>
  <rv s="10">
    <fb>3086.05</fb>
    <v>20</v>
  </rv>
  <rv s="10">
    <fb>3092.95</fb>
    <v>20</v>
  </rv>
  <rv s="10">
    <fb>3127.95</fb>
    <v>20</v>
  </rv>
  <rv s="10">
    <fb>3136.05</fb>
    <v>20</v>
  </rv>
  <rv s="10">
    <fb>3114.3</fb>
    <v>20</v>
  </rv>
  <rv s="10">
    <fb>3130.7</fb>
    <v>20</v>
  </rv>
  <rv s="10">
    <fb>3150.9</fb>
    <v>20</v>
  </rv>
  <rv s="10">
    <fb>3145.55</fb>
    <v>20</v>
  </rv>
  <rv s="10">
    <fb>3132.95</fb>
    <v>20</v>
  </rv>
  <rv s="10">
    <fb>3147.6</fb>
    <v>20</v>
  </rv>
  <rv s="10">
    <fb>3096.4</fb>
    <v>20</v>
  </rv>
  <rv s="10">
    <fb>3057.6</fb>
    <v>20</v>
  </rv>
  <rv s="10">
    <fb>3245.7</fb>
    <v>20</v>
  </rv>
  <rv s="10">
    <fb>3296.65</fb>
    <v>20</v>
  </rv>
  <rv s="10">
    <fb>3244.75</fb>
    <v>20</v>
  </rv>
  <rv s="10">
    <fb>3229.5</fb>
    <v>20</v>
  </rv>
  <rv s="10">
    <fb>3228.85</fb>
    <v>20</v>
  </rv>
  <rv s="10">
    <fb>3222.65</fb>
    <v>20</v>
  </rv>
  <rv s="10">
    <fb>3278.6</fb>
    <v>20</v>
  </rv>
  <rv s="10">
    <fb>3374.15</fb>
    <v>20</v>
  </rv>
  <rv s="10">
    <fb>3283.5</fb>
    <v>20</v>
  </rv>
  <rv s="10">
    <fb>3306.85</fb>
    <v>20</v>
  </rv>
  <rv s="10">
    <fb>3309.75</fb>
    <v>20</v>
  </rv>
  <rv s="10">
    <fb>3424.85</fb>
    <v>20</v>
  </rv>
  <rv s="10">
    <fb>2419.75</fb>
    <v>20</v>
  </rv>
  <rv s="10">
    <fb>2463.9499999999998</fb>
    <v>20</v>
  </rv>
  <rv s="10">
    <fb>2465.15</fb>
    <v>20</v>
  </rv>
  <rv s="10">
    <fb>2472.1</fb>
    <v>20</v>
  </rv>
  <rv s="10">
    <fb>2450.6999999999998</fb>
    <v>20</v>
  </rv>
  <rv s="10">
    <fb>2471.75</fb>
    <v>20</v>
  </rv>
  <rv s="10">
    <fb>2509.4</fb>
    <v>20</v>
  </rv>
  <rv s="10">
    <fb>2566.4499999999998</fb>
    <v>20</v>
  </rv>
  <rv s="10">
    <fb>2587.25</fb>
    <v>20</v>
  </rv>
  <rv s="10">
    <fb>2550.35</fb>
    <v>20</v>
  </rv>
  <rv s="10">
    <fb>2544.1999999999998</fb>
    <v>20</v>
  </rv>
  <rv s="10">
    <fb>2545.1</fb>
    <v>20</v>
  </rv>
  <rv s="10">
    <fb>2552.25</fb>
    <v>20</v>
  </rv>
  <rv s="10">
    <fb>2566.6</fb>
    <v>20</v>
  </rv>
  <rv s="10">
    <fb>2535.1999999999998</fb>
    <v>20</v>
  </rv>
  <rv s="10">
    <fb>2533.3000000000002</fb>
    <v>20</v>
  </rv>
  <rv s="10">
    <fb>2526.65</fb>
    <v>20</v>
  </rv>
  <rv s="10">
    <fb>2523.25</fb>
    <v>20</v>
  </rv>
  <rv s="10">
    <fb>2586.15</fb>
    <v>20</v>
  </rv>
  <rv s="10">
    <fb>2582.9499999999998</fb>
    <v>20</v>
  </rv>
  <rv s="10">
    <fb>2594.1999999999998</fb>
    <v>20</v>
  </rv>
  <rv s="10">
    <fb>2607.85</fb>
    <v>20</v>
  </rv>
  <rv s="10">
    <fb>2651.55</fb>
    <v>20</v>
  </rv>
  <rv s="10">
    <fb>2632.45</fb>
    <v>20</v>
  </rv>
  <rv s="10">
    <fb>2638.55</fb>
    <v>20</v>
  </rv>
  <rv s="10">
    <fb>2624.1</fb>
    <v>20</v>
  </rv>
  <rv s="10">
    <fb>2654.85</fb>
    <v>20</v>
  </rv>
  <rv s="10">
    <fb>2634.45</fb>
    <v>20</v>
  </rv>
  <rv s="10">
    <fb>2640.75</fb>
    <v>20</v>
  </rv>
  <rv s="10">
    <fb>2686.65</fb>
    <v>20</v>
  </rv>
  <rv s="10">
    <fb>2693.1</fb>
    <v>20</v>
  </rv>
  <rv s="10">
    <fb>2680.7</fb>
    <v>20</v>
  </rv>
  <rv s="10">
    <fb>2697.7</fb>
    <v>20</v>
  </rv>
  <rv s="10">
    <fb>2673.3</fb>
    <v>20</v>
  </rv>
  <rv s="10">
    <fb>2678.5</fb>
    <v>20</v>
  </rv>
  <rv s="10">
    <fb>2636.3</fb>
    <v>20</v>
  </rv>
  <rv s="10">
    <fb>2658.3</fb>
    <v>20</v>
  </rv>
  <rv s="10">
    <fb>2630.9</fb>
    <v>20</v>
  </rv>
  <rv s="10">
    <fb>2621.35</fb>
    <v>20</v>
  </rv>
  <rv s="10">
    <fb>2598.65</fb>
    <v>20</v>
  </rv>
  <rv s="10">
    <fb>2597.1</fb>
    <v>20</v>
  </rv>
  <rv s="10">
    <fb>2571.4499999999998</fb>
    <v>20</v>
  </rv>
  <rv s="10">
    <fb>2570.4499999999998</fb>
    <v>20</v>
  </rv>
  <rv s="10">
    <fb>2608.85</fb>
    <v>20</v>
  </rv>
  <rv s="10">
    <fb>2649</fb>
    <v>20</v>
  </rv>
  <rv s="10">
    <fb>2612.9499999999998</fb>
    <v>20</v>
  </rv>
  <rv s="10">
    <fb>2595.85</fb>
    <v>20</v>
  </rv>
  <rv s="10">
    <fb>2638.85</fb>
    <v>20</v>
  </rv>
  <rv s="10">
    <fb>2622.45</fb>
    <v>20</v>
  </rv>
  <rv s="10">
    <fb>2618.1999999999998</fb>
    <v>20</v>
  </rv>
  <rv s="10">
    <fb>2623.5</fb>
    <v>20</v>
  </rv>
  <rv s="10">
    <fb>2639.6</fb>
    <v>20</v>
  </rv>
  <rv s="10">
    <fb>2658.1</fb>
    <v>20</v>
  </rv>
  <rv s="10">
    <fb>2685.95</fb>
    <v>20</v>
  </rv>
  <rv s="10">
    <fb>2662.8</fb>
    <v>20</v>
  </rv>
  <rv s="10">
    <fb>2651.6</fb>
    <v>20</v>
  </rv>
  <rv s="10">
    <fb>2607.4</fb>
    <v>20</v>
  </rv>
  <rv s="10">
    <fb>2618</fb>
    <v>20</v>
  </rv>
  <rv s="10">
    <fb>2602.75</fb>
    <v>20</v>
  </rv>
  <rv s="10">
    <fb>2615.85</fb>
    <v>20</v>
  </rv>
  <rv s="10">
    <fb>2634.8</fb>
    <v>20</v>
  </rv>
  <rv s="10">
    <fb>2626.75</fb>
    <v>20</v>
  </rv>
  <rv s="10">
    <fb>2584.5</fb>
    <v>20</v>
  </rv>
  <rv s="10">
    <fb>2609.8000000000002</fb>
    <v>20</v>
  </rv>
  <rv s="10">
    <fb>2610.6</fb>
    <v>20</v>
  </rv>
  <rv s="10">
    <fb>2623.8</fb>
    <v>20</v>
  </rv>
  <rv s="10">
    <fb>2603.6</fb>
    <v>20</v>
  </rv>
  <rv s="10">
    <fb>2520.1</fb>
    <v>20</v>
  </rv>
  <rv s="10">
    <fb>2544.65</fb>
    <v>20</v>
  </rv>
  <rv s="10">
    <fb>2537.4</fb>
    <v>20</v>
  </rv>
  <rv s="10">
    <fb>2539.65</fb>
    <v>20</v>
  </rv>
  <rv s="10">
    <fb>2503.15</fb>
    <v>20</v>
  </rv>
  <rv s="10">
    <fb>2477.6</fb>
    <v>20</v>
  </rv>
  <rv s="10">
    <fb>2486.75</fb>
    <v>20</v>
  </rv>
  <rv s="10">
    <fb>2494.3000000000002</fb>
    <v>20</v>
  </rv>
  <rv s="10">
    <fb>2506.9499999999998</fb>
    <v>20</v>
  </rv>
  <rv s="10">
    <fb>2521.6</fb>
    <v>20</v>
  </rv>
  <rv s="10">
    <fb>2527.9</fb>
    <v>20</v>
  </rv>
  <rv s="10">
    <fb>2514.1</fb>
    <v>20</v>
  </rv>
  <rv s="10">
    <fb>2581.9499999999998</fb>
    <v>20</v>
  </rv>
  <rv s="10">
    <fb>2574.85</fb>
    <v>20</v>
  </rv>
  <rv s="10">
    <fb>2515</fb>
    <v>20</v>
  </rv>
  <rv s="10">
    <fb>2498.25</fb>
    <v>20</v>
  </rv>
  <rv s="10">
    <fb>2474.85</fb>
    <v>20</v>
  </rv>
  <rv s="10">
    <fb>2491.3000000000002</fb>
    <v>20</v>
  </rv>
  <rv s="10">
    <fb>2502.4</fb>
    <v>20</v>
  </rv>
  <rv s="10">
    <fb>2507.4</fb>
    <v>20</v>
  </rv>
  <rv s="10">
    <fb>2523.75</fb>
    <v>20</v>
  </rv>
  <rv s="10">
    <fb>2487.25</fb>
    <v>20</v>
  </rv>
  <rv s="10">
    <fb>2488.5500000000002</fb>
    <v>20</v>
  </rv>
  <rv s="10">
    <fb>2483.1999999999998</fb>
    <v>20</v>
  </rv>
  <rv s="10">
    <fb>2481.5</fb>
    <v>20</v>
  </rv>
  <rv s="10">
    <fb>2508.15</fb>
    <v>20</v>
  </rv>
  <rv s="10">
    <fb>2499.1999999999998</fb>
    <v>20</v>
  </rv>
  <rv s="10">
    <fb>2512.85</fb>
    <v>20</v>
  </rv>
  <rv s="10">
    <fb>2517.6999999999998</fb>
    <v>20</v>
  </rv>
  <rv s="10">
    <fb>2494.5</fb>
    <v>20</v>
  </rv>
  <rv s="10">
    <fb>2499.5</fb>
    <v>20</v>
  </rv>
  <rv s="10">
    <fb>2421.35</fb>
    <v>20</v>
  </rv>
  <rv s="10">
    <fb>2439.5</fb>
    <v>20</v>
  </rv>
  <rv s="10">
    <fb>2406.4</fb>
    <v>20</v>
  </rv>
  <rv s="10">
    <fb>2429.1999999999998</fb>
    <v>20</v>
  </rv>
  <rv s="10">
    <fb>2454.35</fb>
    <v>20</v>
  </rv>
  <rv s="10">
    <fb>2425</fb>
    <v>20</v>
  </rv>
  <rv s="10">
    <fb>2450.1</fb>
    <v>20</v>
  </rv>
  <rv s="10">
    <fb>2487.65</fb>
    <v>20</v>
  </rv>
  <rv s="10">
    <fb>2481.9</fb>
    <v>20</v>
  </rv>
  <rv s="10">
    <fb>2460.0500000000002</fb>
    <v>20</v>
  </rv>
  <rv s="10">
    <fb>2434.6</fb>
    <v>20</v>
  </rv>
  <rv s="10">
    <fb>2427.35</fb>
    <v>20</v>
  </rv>
  <rv s="10">
    <fb>2407.25</fb>
    <v>20</v>
  </rv>
  <rv s="10">
    <fb>2374.85</fb>
    <v>20</v>
  </rv>
  <rv s="10">
    <fb>2373.1999999999998</fb>
    <v>20</v>
  </rv>
  <rv s="10">
    <fb>2351</fb>
    <v>20</v>
  </rv>
  <rv s="10">
    <fb>2326.3000000000002</fb>
    <v>20</v>
  </rv>
  <rv s="10">
    <fb>2295.4</fb>
    <v>20</v>
  </rv>
  <rv s="10">
    <fb>2316.8000000000002</fb>
    <v>20</v>
  </rv>
  <rv s="10">
    <fb>2312.15</fb>
    <v>20</v>
  </rv>
  <rv s="10">
    <fb>2458</fb>
    <v>20</v>
  </rv>
  <rv s="10">
    <fb>2406.35</fb>
    <v>20</v>
  </rv>
  <rv s="10">
    <fb>2455.5</fb>
    <v>20</v>
  </rv>
  <rv s="10">
    <fb>2433.6999999999998</fb>
    <v>20</v>
  </rv>
  <rv s="10">
    <fb>2438.3000000000002</fb>
    <v>20</v>
  </rv>
  <rv s="10">
    <fb>2473.15</fb>
    <v>20</v>
  </rv>
  <rv s="10">
    <fb>2457.5500000000002</fb>
    <v>20</v>
  </rv>
  <rv s="10">
    <fb>2432.35</fb>
    <v>20</v>
  </rv>
  <rv s="10">
    <fb>2440.9</fb>
    <v>20</v>
  </rv>
  <rv s="10">
    <fb>2428.6</fb>
    <v>20</v>
  </rv>
  <rv s="10">
    <fb>2460.3000000000002</fb>
    <v>20</v>
  </rv>
  <rv s="10">
    <fb>2459.1</fb>
    <v>20</v>
  </rv>
  <rv s="10">
    <fb>2510.3000000000002</fb>
    <v>20</v>
  </rv>
  <rv s="10">
    <fb>2483.5500000000002</fb>
    <v>20</v>
  </rv>
  <rv s="10">
    <fb>2495.6</fb>
    <v>20</v>
  </rv>
  <rv s="10">
    <fb>2488.35</fb>
    <v>20</v>
  </rv>
  <rv s="10">
    <fb>2509.3000000000002</fb>
    <v>20</v>
  </rv>
  <rv s="10">
    <fb>2504.1</fb>
    <v>20</v>
  </rv>
  <rv s="10">
    <fb>2488.0500000000002</fb>
    <v>20</v>
  </rv>
  <rv s="10">
    <fb>2503.6</fb>
    <v>20</v>
  </rv>
  <rv s="10">
    <fb>2552.35</fb>
    <v>20</v>
  </rv>
  <rv s="10">
    <fb>2562.15</fb>
    <v>20</v>
  </rv>
  <rv s="10">
    <fb>2553.4499999999998</fb>
    <v>20</v>
  </rv>
  <rv s="10">
    <fb>2571</fb>
    <v>20</v>
  </rv>
  <rv s="10">
    <fb>2576.15</fb>
    <v>20</v>
  </rv>
  <rv s="10">
    <fb>2588.85</fb>
    <v>20</v>
  </rv>
  <rv s="10">
    <fb>2561.65</fb>
    <v>20</v>
  </rv>
  <rv s="10">
    <fb>2607.5</fb>
    <v>20</v>
  </rv>
  <rv s="10">
    <fb>2623.25</fb>
    <v>20</v>
  </rv>
  <rv s="10">
    <fb>2634.3</fb>
    <v>20</v>
  </rv>
  <rv s="10">
    <fb>2651.05</fb>
    <v>20</v>
  </rv>
  <rv s="10">
    <fb>2647.5</fb>
    <v>20</v>
  </rv>
  <rv s="10">
    <fb>2648.75</fb>
    <v>20</v>
  </rv>
  <rv s="10">
    <fb>2584.1999999999998</fb>
    <v>20</v>
  </rv>
  <rv s="10">
    <fb>2616.1</fb>
    <v>20</v>
  </rv>
  <rv s="10">
    <fb>2667.95</fb>
    <v>20</v>
  </rv>
  <rv s="10">
    <fb>2699.1</fb>
    <v>20</v>
  </rv>
  <rv s="10">
    <fb>2708.3</fb>
    <v>20</v>
  </rv>
  <rv s="10">
    <fb>2715.1</fb>
    <v>20</v>
  </rv>
  <rv s="10">
    <fb>2697.5</fb>
    <v>20</v>
  </rv>
  <rv s="10">
    <fb>2737.7</fb>
    <v>20</v>
  </rv>
  <rv s="10">
    <fb>2772.25</fb>
    <v>20</v>
  </rv>
  <rv s="10">
    <fb>2769.05</fb>
    <v>20</v>
  </rv>
  <rv s="10">
    <fb>2722.6</fb>
    <v>20</v>
  </rv>
  <rv s="10">
    <fb>2714.65</fb>
    <v>20</v>
  </rv>
  <rv s="10">
    <fb>2724.1</fb>
    <v>20</v>
  </rv>
  <rv s="10">
    <fb>2709.3</fb>
    <v>20</v>
  </rv>
  <rv s="10">
    <fb>2740.55</fb>
    <v>20</v>
  </rv>
  <rv s="10">
    <fb>2735.1</fb>
    <v>20</v>
  </rv>
  <rv s="10">
    <fb>2754.25</fb>
    <v>20</v>
  </rv>
  <rv s="10">
    <fb>2795.55</fb>
    <v>20</v>
  </rv>
  <rv s="10">
    <fb>2757.75</fb>
    <v>20</v>
  </rv>
  <rv s="10">
    <fb>2698.4</fb>
    <v>20</v>
  </rv>
  <rv s="10">
    <fb>2687.7</fb>
    <v>20</v>
  </rv>
  <rv s="10">
    <fb>2677.5</fb>
    <v>20</v>
  </rv>
  <rv s="10">
    <fb>2522.6</fb>
    <v>20</v>
  </rv>
  <rv s="10">
    <fb>2592.0500000000002</fb>
    <v>20</v>
  </rv>
  <rv s="10">
    <fb>2590.15</fb>
    <v>20</v>
  </rv>
  <rv s="10">
    <fb>2569.3000000000002</fb>
    <v>20</v>
  </rv>
  <rv s="10">
    <fb>2567.6999999999998</fb>
    <v>20</v>
  </rv>
  <rv s="10">
    <fb>2533.0500000000002</fb>
    <v>20</v>
  </rv>
  <rv s="10">
    <fb>2510.4499999999998</fb>
    <v>20</v>
  </rv>
  <rv s="10">
    <fb>2515.35</fb>
    <v>20</v>
  </rv>
  <rv s="10">
    <fb>2554.1999999999998</fb>
    <v>20</v>
  </rv>
  <rv s="10">
    <fb>2614.4499999999998</fb>
    <v>20</v>
  </rv>
  <rv s="10">
    <fb>2695.85</fb>
    <v>20</v>
  </rv>
  <rv s="10">
    <fb>2622.5</fb>
    <v>20</v>
  </rv>
  <rv s="10">
    <fb>2657.95</fb>
    <v>20</v>
  </rv>
  <rv s="10">
    <fb>2670.3</fb>
    <v>20</v>
  </rv>
  <rv s="10">
    <fb>2671.3</fb>
    <v>20</v>
  </rv>
  <rv s="10">
    <fb>2663.2</fb>
    <v>20</v>
  </rv>
  <rv s="10">
    <fb>2653.55</fb>
    <v>20</v>
  </rv>
  <rv s="10">
    <fb>2711.1</fb>
    <v>20</v>
  </rv>
  <rv s="10">
    <fb>2711.15</fb>
    <v>20</v>
  </rv>
  <rv s="10">
    <fb>2745.6</fb>
    <v>20</v>
  </rv>
  <rv s="10">
    <fb>2729.15</fb>
    <v>20</v>
  </rv>
  <rv s="10">
    <fb>2718.3</fb>
    <v>20</v>
  </rv>
  <rv s="10">
    <fb>2740.15</fb>
    <v>20</v>
  </rv>
  <rv s="10">
    <fb>2717.4</fb>
    <v>20</v>
  </rv>
  <rv s="10">
    <fb>2731.95</fb>
    <v>20</v>
  </rv>
  <rv s="10">
    <fb>2701.85</fb>
    <v>20</v>
  </rv>
  <rv s="10">
    <fb>2736</fb>
    <v>20</v>
  </rv>
  <rv s="10">
    <fb>2757.5</fb>
    <v>20</v>
  </rv>
  <rv s="10">
    <fb>2742.2</fb>
    <v>20</v>
  </rv>
  <rv s="10">
    <fb>2702.05</fb>
    <v>20</v>
  </rv>
  <rv s="10">
    <fb>2699.7</fb>
    <v>20</v>
  </rv>
  <rv s="10">
    <fb>2831.55</fb>
    <v>20</v>
  </rv>
  <rv s="10">
    <fb>2865.85</fb>
    <v>20</v>
  </rv>
  <rv s="10">
    <fb>2906.4</fb>
    <v>20</v>
  </rv>
  <rv s="10">
    <fb>2855.9</fb>
    <v>20</v>
  </rv>
  <rv s="10">
    <fb>2823.2</fb>
    <v>20</v>
  </rv>
  <rv s="10">
    <fb>2861</fb>
    <v>20</v>
  </rv>
  <rv s="10">
    <fb>2868</fb>
    <v>20</v>
  </rv>
  <rv s="10">
    <fb>2925.25</fb>
    <v>20</v>
  </rv>
  <rv s="10">
    <fb>2891.4</fb>
    <v>20</v>
  </rv>
  <rv s="10">
    <fb>2871.8</fb>
    <v>20</v>
  </rv>
  <rv s="10">
    <fb>2901.4</fb>
    <v>20</v>
  </rv>
  <rv s="10">
    <fb>2960.1</fb>
    <v>20</v>
  </rv>
  <rv s="10">
    <fb>3001.6</fb>
    <v>20</v>
  </rv>
  <rv s="10">
    <fb>2992.3</fb>
    <v>20</v>
  </rv>
  <rv s="10">
    <fb>3014.7</fb>
    <v>20</v>
  </rv>
  <rv s="10">
    <fb>3051.55</fb>
    <v>20</v>
  </rv>
  <rv s="10">
    <fb>2999.75</fb>
    <v>20</v>
  </rv>
  <rv s="10">
    <fb>3002.9</fb>
    <v>20</v>
  </rv>
  <rv s="10">
    <fb>2997.8</fb>
    <v>20</v>
  </rv>
  <rv s="10">
    <fb>3000.8</fb>
    <v>20</v>
  </rv>
  <rv s="10">
    <fb>3044.2</fb>
    <v>20</v>
  </rv>
  <rv s="10">
    <fb>3014.55</fb>
    <v>20</v>
  </rv>
  <rv s="10">
    <fb>3000.1</fb>
    <v>20</v>
  </rv>
  <rv s="10">
    <fb>2985.85</fb>
    <v>20</v>
  </rv>
  <rv s="10">
    <fb>2883.3</fb>
    <v>20</v>
  </rv>
  <rv s="10">
    <fb>2879.1</fb>
    <v>20</v>
  </rv>
  <rv s="10">
    <fb>2830.7</fb>
    <v>20</v>
  </rv>
  <rv s="10">
    <fb>2898.05</fb>
    <v>20</v>
  </rv>
  <rv s="10">
    <fb>2914.4</fb>
    <v>20</v>
  </rv>
  <rv s="10">
    <fb>2950.4</fb>
    <v>20</v>
  </rv>
  <rv s="10">
    <fb>2919.45</fb>
    <v>20</v>
  </rv>
  <rv s="10">
    <fb>2982.5</fb>
    <v>20</v>
  </rv>
  <rv s="10">
    <fb>357.25</fb>
    <v>20</v>
  </rv>
  <rv s="10">
    <fb>363.3</fb>
    <v>20</v>
  </rv>
  <rv s="10">
    <fb>363.4</fb>
    <v>20</v>
  </rv>
  <rv s="10">
    <fb>360.9</fb>
    <v>20</v>
  </rv>
  <rv s="10">
    <fb>360.6</fb>
    <v>20</v>
  </rv>
  <rv s="10">
    <fb>358.8</fb>
    <v>20</v>
  </rv>
  <rv s="10">
    <fb>355.7</fb>
    <v>20</v>
  </rv>
  <rv s="10">
    <fb>353.4</fb>
    <v>20</v>
  </rv>
  <rv s="10">
    <fb>347.35</fb>
    <v>20</v>
  </rv>
  <rv s="10">
    <fb>349.7</fb>
    <v>20</v>
  </rv>
  <rv s="10">
    <fb>358.95</fb>
    <v>20</v>
  </rv>
  <rv s="10">
    <fb>359.75</fb>
    <v>20</v>
  </rv>
  <rv s="10">
    <fb>357.8</fb>
    <v>20</v>
  </rv>
  <rv s="10">
    <fb>356.9</fb>
    <v>20</v>
  </rv>
  <rv s="10">
    <fb>374.3</fb>
    <v>20</v>
  </rv>
  <rv s="10">
    <fb>386.15</fb>
    <v>20</v>
  </rv>
  <rv s="10">
    <fb>387.45</fb>
    <v>20</v>
  </rv>
  <rv s="10">
    <fb>393.65</fb>
    <v>20</v>
  </rv>
  <rv s="10">
    <fb>387.75</fb>
    <v>20</v>
  </rv>
  <rv s="10">
    <fb>384.4</fb>
    <v>20</v>
  </rv>
  <rv s="10">
    <fb>385</fb>
    <v>20</v>
  </rv>
  <rv s="10">
    <fb>390.8</fb>
    <v>20</v>
  </rv>
  <rv s="10">
    <fb>394.55</fb>
    <v>20</v>
  </rv>
  <rv s="10">
    <fb>390</fb>
    <v>20</v>
  </rv>
  <rv s="10">
    <fb>387.6</fb>
    <v>20</v>
  </rv>
  <rv s="10">
    <fb>388.65</fb>
    <v>20</v>
  </rv>
  <rv s="10">
    <fb>389.7</fb>
    <v>20</v>
  </rv>
  <rv s="10">
    <fb>393.3</fb>
    <v>20</v>
  </rv>
  <rv s="10">
    <fb>392.75</fb>
    <v>20</v>
  </rv>
  <rv s="10">
    <fb>386.35</fb>
    <v>20</v>
  </rv>
  <rv s="10">
    <fb>382.9</fb>
    <v>20</v>
  </rv>
  <rv s="10">
    <fb>375.45</fb>
    <v>20</v>
  </rv>
  <rv s="10">
    <fb>370.15</fb>
    <v>20</v>
  </rv>
  <rv s="10">
    <fb>378.05</fb>
    <v>20</v>
  </rv>
  <rv s="10">
    <fb>377.6</fb>
    <v>20</v>
  </rv>
  <rv s="10">
    <fb>376.8</fb>
    <v>20</v>
  </rv>
  <rv s="10">
    <fb>370</fb>
    <v>20</v>
  </rv>
  <rv s="10">
    <fb>369.15</fb>
    <v>20</v>
  </rv>
  <rv s="10">
    <fb>370.6</fb>
    <v>20</v>
  </rv>
  <rv s="10">
    <fb>397.35</fb>
    <v>20</v>
  </rv>
  <rv s="10">
    <fb>409.15</fb>
    <v>20</v>
  </rv>
  <rv s="10">
    <fb>398.5</fb>
    <v>20</v>
  </rv>
  <rv s="10">
    <fb>406.65</fb>
    <v>20</v>
  </rv>
  <rv s="10">
    <fb>425.6</fb>
    <v>20</v>
  </rv>
  <rv s="10">
    <fb>421.7</fb>
    <v>20</v>
  </rv>
  <rv s="10">
    <fb>423.9</fb>
    <v>20</v>
  </rv>
  <rv s="10">
    <fb>417</fb>
    <v>20</v>
  </rv>
  <rv s="10">
    <fb>423.3</fb>
    <v>20</v>
  </rv>
  <rv s="10">
    <fb>414.9</fb>
    <v>20</v>
  </rv>
  <rv s="10">
    <fb>404.8</fb>
    <v>20</v>
  </rv>
  <rv s="10">
    <fb>415.9</fb>
    <v>20</v>
  </rv>
  <rv s="10">
    <fb>416.9</fb>
    <v>20</v>
  </rv>
  <rv s="10">
    <fb>431.85</fb>
    <v>20</v>
  </rv>
  <rv s="10">
    <fb>421.4</fb>
    <v>20</v>
  </rv>
  <rv s="10">
    <fb>434.65</fb>
    <v>20</v>
  </rv>
  <rv s="10">
    <fb>444.6</fb>
    <v>20</v>
  </rv>
  <rv s="10">
    <fb>469.75</fb>
    <v>20</v>
  </rv>
  <rv s="10">
    <fb>476.3</fb>
    <v>20</v>
  </rv>
  <rv s="10">
    <fb>487.4</fb>
    <v>20</v>
  </rv>
  <rv s="10">
    <fb>472.95</fb>
    <v>20</v>
  </rv>
  <rv s="10">
    <fb>466.55</fb>
    <v>20</v>
  </rv>
  <rv s="10">
    <fb>484.35</fb>
    <v>20</v>
  </rv>
  <rv s="10">
    <fb>478.05</fb>
    <v>20</v>
  </rv>
  <rv s="10">
    <fb>498.9</fb>
    <v>20</v>
  </rv>
  <rv s="10">
    <fb>489.85</fb>
    <v>20</v>
  </rv>
  <rv s="10">
    <fb>485.95</fb>
    <v>20</v>
  </rv>
  <rv s="10">
    <fb>476.55</fb>
    <v>20</v>
  </rv>
  <rv s="10">
    <fb>481.15</fb>
    <v>20</v>
  </rv>
  <rv s="10">
    <fb>482.1</fb>
    <v>20</v>
  </rv>
  <rv s="10">
    <fb>492.55</fb>
    <v>20</v>
  </rv>
  <rv s="10">
    <fb>494.9</fb>
    <v>20</v>
  </rv>
  <rv s="10">
    <fb>504.6</fb>
    <v>20</v>
  </rv>
  <rv s="10">
    <fb>521.54999999999995</fb>
    <v>20</v>
  </rv>
  <rv s="10">
    <fb>513.4</fb>
    <v>20</v>
  </rv>
  <rv s="10">
    <fb>591.65</fb>
    <v>20</v>
  </rv>
  <rv s="10">
    <fb>565.79999999999995</fb>
    <v>20</v>
  </rv>
  <rv s="10">
    <fb>583.35</fb>
    <v>20</v>
  </rv>
  <rv s="10">
    <fb>587.35</fb>
    <v>20</v>
  </rv>
  <rv s="10">
    <fb>581.29999999999995</fb>
    <v>20</v>
  </rv>
  <rv s="10">
    <fb>575.04999999999995</fb>
    <v>20</v>
  </rv>
  <rv s="10">
    <fb>570.5</fb>
    <v>20</v>
  </rv>
  <rv s="10">
    <fb>568.79999999999995</fb>
    <v>20</v>
  </rv>
  <rv s="10">
    <fb>588.75</fb>
    <v>20</v>
  </rv>
  <rv s="10">
    <fb>582.70000000000005</fb>
    <v>20</v>
  </rv>
  <rv s="10">
    <fb>586.6</fb>
    <v>20</v>
  </rv>
  <rv s="10">
    <fb>599.1</fb>
    <v>20</v>
  </rv>
  <rv s="10">
    <fb>579.75</fb>
    <v>20</v>
  </rv>
  <rv s="10">
    <fb>571.04999999999995</fb>
    <v>20</v>
  </rv>
  <rv s="10">
    <fb>578.4</fb>
    <v>20</v>
  </rv>
  <rv s="10">
    <fb>573.9</fb>
    <v>20</v>
  </rv>
  <rv s="10">
    <fb>585.54999999999995</fb>
    <v>20</v>
  </rv>
  <rv s="10">
    <fb>593</fb>
    <v>20</v>
  </rv>
  <rv s="10">
    <fb>593.75</fb>
    <v>20</v>
  </rv>
  <rv s="10">
    <fb>591.9</fb>
    <v>20</v>
  </rv>
  <rv s="10">
    <fb>591.5</fb>
    <v>20</v>
  </rv>
  <rv s="10">
    <fb>590.1</fb>
    <v>20</v>
  </rv>
  <rv s="10">
    <fb>582.4</fb>
    <v>20</v>
  </rv>
  <rv s="10">
    <fb>574.6</fb>
    <v>20</v>
  </rv>
  <rv s="10">
    <fb>517.35</fb>
    <v>20</v>
  </rv>
  <rv s="10">
    <fb>539.9</fb>
    <v>20</v>
  </rv>
  <rv s="10">
    <fb>531.15</fb>
    <v>20</v>
  </rv>
  <rv s="10">
    <fb>535.54999999999995</fb>
    <v>20</v>
  </rv>
  <rv s="10">
    <fb>534.1</fb>
    <v>20</v>
  </rv>
  <rv s="10">
    <fb>537.85</fb>
    <v>20</v>
  </rv>
  <rv s="10">
    <fb>557.79999999999995</fb>
    <v>20</v>
  </rv>
  <rv s="10">
    <fb>566.9</fb>
    <v>20</v>
  </rv>
  <rv s="10">
    <fb>568.29999999999995</fb>
    <v>20</v>
  </rv>
  <rv s="10">
    <fb>563.45000000000005</fb>
    <v>20</v>
  </rv>
  <rv s="10">
    <fb>565.25</fb>
    <v>20</v>
  </rv>
  <rv s="10">
    <fb>564.6</fb>
    <v>20</v>
  </rv>
  <rv s="10">
    <fb>585.79999999999995</fb>
    <v>20</v>
  </rv>
  <rv s="10">
    <fb>591.75</fb>
    <v>20</v>
  </rv>
  <rv s="10">
    <fb>579.85</fb>
    <v>20</v>
  </rv>
  <rv s="10">
    <fb>609.15</fb>
    <v>20</v>
  </rv>
  <rv s="10">
    <fb>621.6</fb>
    <v>20</v>
  </rv>
  <rv s="10">
    <fb>634</fb>
    <v>20</v>
  </rv>
  <rv s="10">
    <fb>644.6</fb>
    <v>20</v>
  </rv>
  <rv s="10">
    <fb>630.4</fb>
    <v>20</v>
  </rv>
  <rv s="10">
    <fb>637</fb>
    <v>20</v>
  </rv>
  <rv s="10">
    <fb>640.20000000000005</fb>
    <v>20</v>
  </rv>
  <rv s="10">
    <fb>639.9</fb>
    <v>20</v>
  </rv>
  <rv s="10">
    <fb>607.5</fb>
    <v>20</v>
  </rv>
  <rv s="10">
    <fb>545.04999999999995</fb>
    <v>20</v>
  </rv>
  <rv s="10">
    <fb>549.20000000000005</fb>
    <v>20</v>
  </rv>
  <rv s="10">
    <fb>545.70000000000005</fb>
    <v>20</v>
  </rv>
  <rv s="10">
    <fb>532.20000000000005</fb>
    <v>20</v>
  </rv>
  <rv s="10">
    <fb>542.75</fb>
    <v>20</v>
  </rv>
  <rv s="10">
    <fb>569.85</fb>
    <v>20</v>
  </rv>
  <rv s="10">
    <fb>561.6</fb>
    <v>20</v>
  </rv>
  <rv s="10">
    <fb>536.70000000000005</fb>
    <v>20</v>
  </rv>
  <rv s="10">
    <fb>545.95000000000005</fb>
    <v>20</v>
  </rv>
  <rv s="10">
    <fb>562.04999999999995</fb>
    <v>20</v>
  </rv>
  <rv s="10">
    <fb>546.6</fb>
    <v>20</v>
  </rv>
  <rv s="10">
    <fb>553.20000000000005</fb>
    <v>20</v>
  </rv>
  <rv s="10">
    <fb>556</fb>
    <v>20</v>
  </rv>
  <rv s="10">
    <fb>556.54999999999995</fb>
    <v>20</v>
  </rv>
  <rv s="10">
    <fb>547.9</fb>
    <v>20</v>
  </rv>
  <rv s="10">
    <fb>551.25</fb>
    <v>20</v>
  </rv>
  <rv s="10">
    <fb>552.65</fb>
    <v>20</v>
  </rv>
  <rv s="10">
    <fb>535.70000000000005</fb>
    <v>20</v>
  </rv>
  <rv s="10">
    <fb>538.65</fb>
    <v>20</v>
  </rv>
  <rv s="10">
    <fb>538.29999999999995</fb>
    <v>20</v>
  </rv>
  <rv s="10">
    <fb>525.70000000000005</fb>
    <v>20</v>
  </rv>
  <rv s="10">
    <fb>529.70000000000005</fb>
    <v>20</v>
  </rv>
  <rv s="10">
    <fb>522.35</fb>
    <v>20</v>
  </rv>
  <rv s="10">
    <fb>518.1</fb>
    <v>20</v>
  </rv>
  <rv s="10">
    <fb>519.75</fb>
    <v>20</v>
  </rv>
  <rv s="10">
    <fb>516.4</fb>
    <v>20</v>
  </rv>
  <rv s="10">
    <fb>511.05</fb>
    <v>20</v>
  </rv>
  <rv s="10">
    <fb>517</fb>
    <v>20</v>
  </rv>
  <rv s="10">
    <fb>511.5</fb>
    <v>20</v>
  </rv>
  <rv s="10">
    <fb>512.54999999999995</fb>
    <v>20</v>
  </rv>
  <rv s="10">
    <fb>506.75</fb>
    <v>20</v>
  </rv>
  <rv s="10">
    <fb>498.1</fb>
    <v>20</v>
  </rv>
  <rv s="10">
    <fb>496.8</fb>
    <v>20</v>
  </rv>
  <rv s="10">
    <fb>508.05</fb>
    <v>20</v>
  </rv>
  <rv s="10">
    <fb>500.2</fb>
    <v>20</v>
  </rv>
  <rv s="10">
    <fb>499.55</fb>
    <v>20</v>
  </rv>
  <rv s="10">
    <fb>483.1</fb>
    <v>20</v>
  </rv>
  <rv s="10">
    <fb>479.05</fb>
    <v>20</v>
  </rv>
  <rv s="10">
    <fb>497.7</fb>
    <v>20</v>
  </rv>
  <rv s="10">
    <fb>499.7</fb>
    <v>20</v>
  </rv>
  <rv s="10">
    <fb>512.29999999999995</fb>
    <v>20</v>
  </rv>
  <rv s="10">
    <fb>511.25</fb>
    <v>20</v>
  </rv>
  <rv s="10">
    <fb>508.95</fb>
    <v>20</v>
  </rv>
  <rv s="10">
    <fb>513.65</fb>
    <v>20</v>
  </rv>
  <rv s="10">
    <fb>516.04999999999995</fb>
    <v>20</v>
  </rv>
  <rv s="10">
    <fb>503.7</fb>
    <v>20</v>
  </rv>
  <rv s="10">
    <fb>499.95</fb>
    <v>20</v>
  </rv>
  <rv s="10">
    <fb>502.6</fb>
    <v>20</v>
  </rv>
  <rv s="10">
    <fb>507.1</fb>
    <v>20</v>
  </rv>
  <rv s="10">
    <fb>512.9</fb>
    <v>20</v>
  </rv>
  <rv s="10">
    <fb>503.75</fb>
    <v>20</v>
  </rv>
  <rv s="10">
    <fb>498.5</fb>
    <v>20</v>
  </rv>
  <rv s="10">
    <fb>485.05</fb>
    <v>20</v>
  </rv>
  <rv s="10">
    <fb>455.05</fb>
    <v>20</v>
  </rv>
  <rv s="10">
    <fb>451.2</fb>
    <v>20</v>
  </rv>
  <rv s="10">
    <fb>459.75</fb>
    <v>20</v>
  </rv>
  <rv s="10">
    <fb>474.1</fb>
    <v>20</v>
  </rv>
  <rv s="10">
    <fb>473.7</fb>
    <v>20</v>
  </rv>
  <rv s="10">
    <fb>531.95000000000005</fb>
    <v>20</v>
  </rv>
  <rv s="10">
    <fb>532.85</fb>
    <v>20</v>
  </rv>
  <rv s="10">
    <fb>539.04999999999995</fb>
    <v>20</v>
  </rv>
  <rv s="10">
    <fb>537.15</fb>
    <v>20</v>
  </rv>
  <rv s="10">
    <fb>524.35</fb>
    <v>20</v>
  </rv>
  <rv s="10">
    <fb>503.4</fb>
    <v>20</v>
  </rv>
  <rv s="10">
    <fb>502.3</fb>
    <v>20</v>
  </rv>
  <rv s="10">
    <fb>508.75</fb>
    <v>20</v>
  </rv>
  <rv s="10">
    <fb>515.65</fb>
    <v>20</v>
  </rv>
  <rv s="10">
    <fb>524.20000000000005</fb>
    <v>20</v>
  </rv>
  <rv s="10">
    <fb>519.45000000000005</fb>
    <v>20</v>
  </rv>
  <rv s="10">
    <fb>517.75</fb>
    <v>20</v>
  </rv>
  <rv s="10">
    <fb>522.79999999999995</fb>
    <v>20</v>
  </rv>
  <rv s="10">
    <fb>117.7</fb>
    <v>20</v>
  </rv>
  <rv s="10">
    <fb>121.85</fb>
    <v>20</v>
  </rv>
  <rv s="10">
    <fb>123.4</fb>
    <v>20</v>
  </rv>
  <rv s="10">
    <fb>121.35</fb>
    <v>20</v>
  </rv>
  <rv s="10">
    <fb>121.25</fb>
    <v>20</v>
  </rv>
  <rv s="10">
    <fb>121.9</fb>
    <v>20</v>
  </rv>
  <rv s="10">
    <fb>119.9</fb>
    <v>20</v>
  </rv>
  <rv s="10">
    <fb>121.15</fb>
    <v>20</v>
  </rv>
  <rv s="10">
    <fb>119.75</fb>
    <v>20</v>
  </rv>
  <rv s="10">
    <fb>118.3</fb>
    <v>20</v>
  </rv>
  <rv s="10">
    <fb>119.95</fb>
    <v>20</v>
  </rv>
  <rv s="10">
    <fb>122.65</fb>
    <v>20</v>
  </rv>
  <rv s="10">
    <fb>123.35</fb>
    <v>20</v>
  </rv>
  <rv s="10">
    <fb>119.8</fb>
    <v>20</v>
  </rv>
  <rv s="10">
    <fb>117.95</fb>
    <v>20</v>
  </rv>
  <rv s="10">
    <fb>127.75</fb>
    <v>20</v>
  </rv>
  <rv s="10">
    <fb>133.75</fb>
    <v>20</v>
  </rv>
  <rv s="10">
    <fb>130.94999999999999</fb>
    <v>20</v>
  </rv>
  <rv s="10">
    <fb>129.9</fb>
    <v>20</v>
  </rv>
  <rv s="10">
    <fb>131.15</fb>
    <v>20</v>
  </rv>
  <rv s="10">
    <fb>128.75</fb>
    <v>20</v>
  </rv>
  <rv s="10">
    <fb>132</fb>
    <v>20</v>
  </rv>
  <rv s="10">
    <fb>129.05000000000001</fb>
    <v>20</v>
  </rv>
  <rv s="10">
    <fb>127.6</fb>
    <v>20</v>
  </rv>
  <rv s="10">
    <fb>128.69999999999999</fb>
    <v>20</v>
  </rv>
  <rv s="10">
    <fb>130.19999999999999</fb>
    <v>20</v>
  </rv>
  <rv s="10">
    <fb>126.6</fb>
    <v>20</v>
  </rv>
  <rv s="10">
    <fb>127.45</fb>
    <v>20</v>
  </rv>
  <rv s="10">
    <fb>128.15</fb>
    <v>20</v>
  </rv>
  <rv s="10">
    <fb>133.1</fb>
    <v>20</v>
  </rv>
  <rv s="10">
    <fb>132.94999999999999</fb>
    <v>20</v>
  </rv>
  <rv s="10">
    <fb>130.75</fb>
    <v>20</v>
  </rv>
  <rv s="10">
    <fb>129.4</fb>
    <v>20</v>
  </rv>
  <rv s="10">
    <fb>127.85</fb>
    <v>20</v>
  </rv>
  <rv s="10">
    <fb>130</fb>
    <v>20</v>
  </rv>
  <rv s="10">
    <fb>132.9</fb>
    <v>20</v>
  </rv>
  <rv s="10">
    <fb>131.4</fb>
    <v>20</v>
  </rv>
  <rv s="10">
    <fb>133.55000000000001</fb>
    <v>20</v>
  </rv>
  <rv s="10">
    <fb>138.30000000000001</fb>
    <v>20</v>
  </rv>
  <rv s="10">
    <fb>137.05000000000001</fb>
    <v>20</v>
  </rv>
  <rv s="10">
    <fb>138.69999999999999</fb>
    <v>20</v>
  </rv>
  <rv s="10">
    <fb>141.05000000000001</fb>
    <v>20</v>
  </rv>
  <rv s="10">
    <fb>140.6</fb>
    <v>20</v>
  </rv>
  <rv s="10">
    <fb>139.9</fb>
    <v>20</v>
  </rv>
  <rv s="10">
    <fb>144.6</fb>
    <v>20</v>
  </rv>
  <rv s="10">
    <fb>155.19999999999999</fb>
    <v>20</v>
  </rv>
  <rv s="10">
    <fb>159.1</fb>
    <v>20</v>
  </rv>
  <rv s="10">
    <fb>167.2</fb>
    <v>20</v>
  </rv>
  <rv s="10">
    <fb>167.15</fb>
    <v>20</v>
  </rv>
  <rv s="10">
    <fb>168.05</fb>
    <v>20</v>
  </rv>
  <rv s="10">
    <fb>158</fb>
    <v>20</v>
  </rv>
  <rv s="10">
    <fb>176.85</fb>
    <v>20</v>
  </rv>
  <rv s="10">
    <fb>169.55</fb>
    <v>20</v>
  </rv>
  <rv s="10">
    <fb>174.35</fb>
    <v>20</v>
  </rv>
  <rv s="10">
    <fb>168.75</fb>
    <v>20</v>
  </rv>
  <rv s="10">
    <fb>176.8</fb>
    <v>20</v>
  </rv>
  <rv s="10">
    <fb>173.85</fb>
    <v>20</v>
  </rv>
  <rv s="10">
    <fb>171.8</fb>
    <v>20</v>
  </rv>
  <rv s="10">
    <fb>171.05</fb>
    <v>20</v>
  </rv>
  <rv s="10">
    <fb>166.45</fb>
    <v>20</v>
  </rv>
  <rv s="10">
    <fb>173.55</fb>
    <v>20</v>
  </rv>
  <rv s="10">
    <fb>168.85</fb>
    <v>20</v>
  </rv>
  <rv s="10">
    <fb>169</fb>
    <v>20</v>
  </rv>
  <rv s="10">
    <fb>168.1</fb>
    <v>20</v>
  </rv>
  <rv s="10">
    <fb>190.85</fb>
    <v>20</v>
  </rv>
  <rv s="10">
    <fb>192.7</fb>
    <v>20</v>
  </rv>
  <rv s="10">
    <fb>200.6</fb>
    <v>20</v>
  </rv>
  <rv s="10">
    <fb>241.8</fb>
    <v>20</v>
  </rv>
  <rv s="10">
    <fb>231.65</fb>
    <v>20</v>
  </rv>
  <rv s="10">
    <fb>230.55</fb>
    <v>20</v>
  </rv>
  <rv s="10">
    <fb>223.4</fb>
    <v>20</v>
  </rv>
  <rv s="10">
    <fb>231.8</fb>
    <v>20</v>
  </rv>
  <rv s="10">
    <fb>234.25</fb>
    <v>20</v>
  </rv>
  <rv s="10">
    <fb>248.3</fb>
    <v>20</v>
  </rv>
  <rv s="10">
    <fb>223.55</fb>
    <v>20</v>
  </rv>
  <rv s="10">
    <fb>224.5</fb>
    <v>20</v>
  </rv>
  <rv s="10">
    <fb>228.25</fb>
    <v>20</v>
  </rv>
  <rv s="10">
    <fb>222.75</fb>
    <v>20</v>
  </rv>
  <rv s="10">
    <fb>216.2</fb>
    <v>20</v>
  </rv>
  <rv s="10">
    <fb>211.05</fb>
    <v>20</v>
  </rv>
  <rv s="10">
    <fb>221.2</fb>
    <v>20</v>
  </rv>
  <rv s="10">
    <fb>228</fb>
    <v>20</v>
  </rv>
  <rv s="10">
    <fb>223.25</fb>
    <v>20</v>
  </rv>
  <rv s="10">
    <fb>220.3</fb>
    <v>20</v>
  </rv>
  <rv s="10">
    <fb>223.9</fb>
    <v>20</v>
  </rv>
  <rv s="10">
    <fb>215.6</fb>
    <v>20</v>
  </rv>
  <rv s="10">
    <fb>218.95</fb>
    <v>20</v>
  </rv>
  <rv s="10">
    <fb>209.4</fb>
    <v>20</v>
  </rv>
  <rv s="10">
    <fb>211.7</fb>
    <v>20</v>
  </rv>
  <rv s="10">
    <fb>212.75</fb>
    <v>20</v>
  </rv>
  <rv s="10">
    <fb>218.6</fb>
    <v>20</v>
  </rv>
  <rv s="10">
    <fb>227.1</fb>
    <v>20</v>
  </rv>
  <rv s="10">
    <fb>223.45</fb>
    <v>20</v>
  </rv>
  <rv s="10">
    <fb>239</fb>
    <v>20</v>
  </rv>
  <rv s="10">
    <fb>232.2</fb>
    <v>20</v>
  </rv>
  <rv s="10">
    <fb>235</fb>
    <v>20</v>
  </rv>
  <rv s="10">
    <fb>210.95</fb>
    <v>20</v>
  </rv>
  <rv s="10">
    <fb>217.75</fb>
    <v>20</v>
  </rv>
  <rv s="10">
    <fb>224.05</fb>
    <v>20</v>
  </rv>
  <rv s="10">
    <fb>220.85</fb>
    <v>20</v>
  </rv>
  <rv s="10">
    <fb>222.65</fb>
    <v>20</v>
  </rv>
  <rv s="10">
    <fb>232.9</fb>
    <v>20</v>
  </rv>
  <rv s="10">
    <fb>231.85</fb>
    <v>20</v>
  </rv>
  <rv s="10">
    <fb>246.8</fb>
    <v>20</v>
  </rv>
  <rv s="10">
    <fb>248.35</fb>
    <v>20</v>
  </rv>
  <rv s="10">
    <fb>247.85</fb>
    <v>20</v>
  </rv>
  <rv s="10">
    <fb>251.2</fb>
    <v>20</v>
  </rv>
  <rv s="10">
    <fb>253.95</fb>
    <v>20</v>
  </rv>
  <rv s="10">
    <fb>254.1</fb>
    <v>20</v>
  </rv>
  <rv s="10">
    <fb>252.55</fb>
    <v>20</v>
  </rv>
  <rv s="10">
    <fb>248</fb>
    <v>20</v>
  </rv>
  <rv s="10">
    <fb>271.14999999999998</fb>
    <v>20</v>
  </rv>
  <rv s="10">
    <fb>263.10000000000002</fb>
    <v>20</v>
  </rv>
  <rv s="10">
    <fb>281.55</fb>
    <v>20</v>
  </rv>
  <rv s="10">
    <fb>287.05</fb>
    <v>20</v>
  </rv>
  <rv s="10">
    <fb>291.45</fb>
    <v>20</v>
  </rv>
  <rv s="10">
    <fb>285.95</fb>
    <v>20</v>
  </rv>
  <rv s="10">
    <fb>290.5</fb>
    <v>20</v>
  </rv>
  <rv s="10">
    <fb>282</fb>
    <v>20</v>
  </rv>
  <rv s="10">
    <fb>286.3</fb>
    <v>20</v>
  </rv>
  <rv s="10">
    <fb>289.60000000000002</fb>
    <v>20</v>
  </rv>
  <rv s="10">
    <fb>285.35000000000002</fb>
    <v>20</v>
  </rv>
  <rv s="10">
    <fb>287.14999999999998</fb>
    <v>20</v>
  </rv>
  <rv s="10">
    <fb>294.2</fb>
    <v>20</v>
  </rv>
  <rv s="10">
    <fb>289.45</fb>
    <v>20</v>
  </rv>
  <rv s="10">
    <fb>287.55</fb>
    <v>20</v>
  </rv>
  <rv s="10">
    <fb>299.2</fb>
    <v>20</v>
  </rv>
  <rv s="10">
    <fb>297</fb>
    <v>20</v>
  </rv>
  <rv s="10">
    <fb>300.95</fb>
    <v>20</v>
  </rv>
  <rv s="10">
    <fb>314.8</fb>
    <v>20</v>
  </rv>
  <rv s="10">
    <fb>289.25</fb>
    <v>20</v>
  </rv>
  <rv s="10">
    <fb>291.55</fb>
    <v>20</v>
  </rv>
  <rv s="10">
    <fb>296.35000000000002</fb>
    <v>20</v>
  </rv>
  <rv s="10">
    <fb>297.75</fb>
    <v>20</v>
  </rv>
  <rv s="10">
    <fb>296.5</fb>
    <v>20</v>
  </rv>
  <rv s="10">
    <fb>293.45</fb>
    <v>20</v>
  </rv>
  <rv s="10">
    <fb>353.95</fb>
    <v>20</v>
  </rv>
  <rv s="10">
    <fb>363.25</fb>
    <v>20</v>
  </rv>
  <rv s="10">
    <fb>355.25</fb>
    <v>20</v>
  </rv>
  <rv s="10">
    <fb>355.85</fb>
    <v>20</v>
  </rv>
  <rv s="10">
    <fb>349.25</fb>
    <v>20</v>
  </rv>
  <rv s="10">
    <fb>352.95</fb>
    <v>20</v>
  </rv>
  <rv s="10">
    <fb>355.5</fb>
    <v>20</v>
  </rv>
  <rv s="10">
    <fb>365.55</fb>
    <v>20</v>
  </rv>
  <rv s="10">
    <fb>359.45</fb>
    <v>20</v>
  </rv>
  <rv s="10">
    <fb>362.85</fb>
    <v>20</v>
  </rv>
  <rv s="10">
    <fb>363</fb>
    <v>20</v>
  </rv>
  <rv s="10">
    <fb>444</fb>
    <v>20</v>
  </rv>
  <rv s="10">
    <fb>397.4</fb>
    <v>20</v>
  </rv>
  <rv s="10">
    <fb>437.75</fb>
    <v>20</v>
  </rv>
  <rv s="10">
    <fb>430.15</fb>
    <v>20</v>
  </rv>
  <rv s="10">
    <fb>423.65</fb>
    <v>20</v>
  </rv>
  <rv s="10">
    <fb>437.45</fb>
    <v>20</v>
  </rv>
  <rv s="10">
    <fb>419.95</fb>
    <v>20</v>
  </rv>
  <rv s="10">
    <fb>419</fb>
    <v>20</v>
  </rv>
  <rv s="10">
    <fb>409.6</fb>
    <v>20</v>
  </rv>
  <rv s="10">
    <fb>424.65</fb>
    <v>20</v>
  </rv>
  <rv s="10">
    <fb>432.35</fb>
    <v>20</v>
  </rv>
  <rv s="10">
    <fb>396.85</fb>
    <v>20</v>
  </rv>
  <rv s="10">
    <fb>366.5</fb>
    <v>20</v>
  </rv>
  <rv s="10">
    <fb>376.4</fb>
    <v>20</v>
  </rv>
  <rv s="10">
    <fb>384.95</fb>
    <v>20</v>
  </rv>
  <rv s="10">
    <fb>378.7</fb>
    <v>20</v>
  </rv>
  <rv s="10">
    <fb>389.8</fb>
    <v>20</v>
  </rv>
  <rv s="10">
    <fb>375.8</fb>
    <v>20</v>
  </rv>
  <rv s="10">
    <fb>380.35</fb>
    <v>20</v>
  </rv>
  <rv s="10">
    <fb>407.75</fb>
    <v>20</v>
  </rv>
  <rv s="10">
    <fb>469.95</fb>
    <v>20</v>
  </rv>
  <rv s="10">
    <fb>454.45</fb>
    <v>20</v>
  </rv>
  <rv s="10">
    <fb>446.55</fb>
    <v>20</v>
  </rv>
  <rv s="10">
    <fb>458.9</fb>
    <v>20</v>
  </rv>
  <rv s="10">
    <fb>418.2</fb>
    <v>20</v>
  </rv>
  <rv s="10">
    <fb>421.35</fb>
    <v>20</v>
  </rv>
  <rv s="10">
    <fb>411.25</fb>
    <v>20</v>
  </rv>
  <rv s="10">
    <fb>308.25</fb>
    <v>20</v>
  </rv>
  <rv s="10">
    <fb>339.05</fb>
    <v>20</v>
  </rv>
  <rv s="10">
    <fb>350.75</fb>
    <v>20</v>
  </rv>
  <rv s="10">
    <fb>354</fb>
    <v>20</v>
  </rv>
  <rv s="10">
    <fb>346.8</fb>
    <v>20</v>
  </rv>
  <rv s="10">
    <fb>349.9</fb>
    <v>20</v>
  </rv>
  <rv s="10">
    <fb>358.05</fb>
    <v>20</v>
  </rv>
  <rv s="10">
    <fb>360.25</fb>
    <v>20</v>
  </rv>
  <rv s="10">
    <fb>364.25</fb>
    <v>20</v>
  </rv>
  <rv s="10">
    <fb>368.1</fb>
    <v>20</v>
  </rv>
  <rv s="10">
    <fb>363.75</fb>
    <v>20</v>
  </rv>
  <rv s="10">
    <fb>389</fb>
    <v>20</v>
  </rv>
  <rv s="10">
    <fb>391.3</fb>
    <v>20</v>
  </rv>
  <rv s="10">
    <fb>395.55</fb>
    <v>20</v>
  </rv>
  <rv s="10">
    <fb>391.9</fb>
    <v>20</v>
  </rv>
  <rv s="10">
    <fb>386.2</fb>
    <v>20</v>
  </rv>
  <rv s="10">
    <fb>378.6</fb>
    <v>20</v>
  </rv>
  <rv s="10">
    <fb>366.4</fb>
    <v>20</v>
  </rv>
  <rv s="10">
    <fb>367</fb>
    <v>20</v>
  </rv>
  <rv s="10">
    <fb>364.1</fb>
    <v>20</v>
  </rv>
  <rv s="10">
    <fb>379</fb>
    <v>20</v>
  </rv>
  <rv s="10">
    <fb>396.25</fb>
    <v>20</v>
  </rv>
  <rv s="10">
    <fb>395.75</fb>
    <v>20</v>
  </rv>
  <rv s="10">
    <fb>403.6</fb>
    <v>20</v>
  </rv>
  <rv s="10">
    <fb>851.65</fb>
    <v>20</v>
  </rv>
  <rv s="10">
    <fb>843.35</fb>
    <v>20</v>
  </rv>
  <rv s="10">
    <fb>850.7</fb>
    <v>20</v>
  </rv>
  <rv s="10">
    <fb>841.65</fb>
    <v>20</v>
  </rv>
  <rv s="10">
    <fb>843.55</fb>
    <v>20</v>
  </rv>
  <rv s="10">
    <fb>842.8</fb>
    <v>20</v>
  </rv>
  <rv s="10">
    <fb>868.9</fb>
    <v>20</v>
  </rv>
  <rv s="10">
    <fb>899.8</fb>
    <v>20</v>
  </rv>
  <rv s="10">
    <fb>891.6</fb>
    <v>20</v>
  </rv>
  <rv s="10">
    <fb>876.25</fb>
    <v>20</v>
  </rv>
  <rv s="10">
    <fb>875.65</fb>
    <v>20</v>
  </rv>
  <rv s="10">
    <fb>880.3</fb>
    <v>20</v>
  </rv>
  <rv s="10">
    <fb>874.25</fb>
    <v>20</v>
  </rv>
  <rv s="10">
    <fb>861.9</fb>
    <v>20</v>
  </rv>
  <rv s="10">
    <fb>867.25</fb>
    <v>20</v>
  </rv>
  <rv s="10">
    <fb>869.6</fb>
    <v>20</v>
  </rv>
  <rv s="10">
    <fb>875.45</fb>
    <v>20</v>
  </rv>
  <rv s="10">
    <fb>873</fb>
    <v>20</v>
  </rv>
  <rv s="10">
    <fb>897.4</fb>
    <v>20</v>
  </rv>
  <rv s="10">
    <fb>902.1</fb>
    <v>20</v>
  </rv>
  <rv s="10">
    <fb>900.15</fb>
    <v>20</v>
  </rv>
  <rv s="10">
    <fb>900.85</fb>
    <v>20</v>
  </rv>
  <rv s="10">
    <fb>917.65</fb>
    <v>20</v>
  </rv>
  <rv s="10">
    <fb>907.15</fb>
    <v>20</v>
  </rv>
  <rv s="10">
    <fb>902.65</fb>
    <v>20</v>
  </rv>
  <rv s="10">
    <fb>900.4</fb>
    <v>20</v>
  </rv>
  <rv s="10">
    <fb>895.25</fb>
    <v>20</v>
  </rv>
  <rv s="10">
    <fb>902.2</fb>
    <v>20</v>
  </rv>
  <rv s="10">
    <fb>902.15</fb>
    <v>20</v>
  </rv>
  <rv s="10">
    <fb>924.5</fb>
    <v>20</v>
  </rv>
  <rv s="10">
    <fb>918.1</fb>
    <v>20</v>
  </rv>
  <rv s="10">
    <fb>923.35</fb>
    <v>20</v>
  </rv>
  <rv s="10">
    <fb>909.3</fb>
    <v>20</v>
  </rv>
  <rv s="10">
    <fb>914.15</fb>
    <v>20</v>
  </rv>
  <rv s="10">
    <fb>905.1</fb>
    <v>20</v>
  </rv>
  <rv s="10">
    <fb>899.45</fb>
    <v>20</v>
  </rv>
  <rv s="10">
    <fb>909.35</fb>
    <v>20</v>
  </rv>
  <rv s="10">
    <fb>905.8</fb>
    <v>20</v>
  </rv>
  <rv s="10">
    <fb>900</fb>
    <v>20</v>
  </rv>
  <rv s="10">
    <fb>909</fb>
    <v>20</v>
  </rv>
  <rv s="10">
    <fb>906.45</fb>
    <v>20</v>
  </rv>
  <rv s="10">
    <fb>901.35</fb>
    <v>20</v>
  </rv>
  <rv s="10">
    <fb>903.4</fb>
    <v>20</v>
  </rv>
  <rv s="10">
    <fb>917.45</fb>
    <v>20</v>
  </rv>
  <rv s="10">
    <fb>917</fb>
    <v>20</v>
  </rv>
  <rv s="10">
    <fb>907.85</fb>
    <v>20</v>
  </rv>
  <rv s="10">
    <fb>911</fb>
    <v>20</v>
  </rv>
  <rv s="10">
    <fb>900.9</fb>
    <v>20</v>
  </rv>
  <rv s="10">
    <fb>911.35</fb>
    <v>20</v>
  </rv>
  <rv s="10">
    <fb>939.75</fb>
    <v>20</v>
  </rv>
  <rv s="10">
    <fb>941.9</fb>
    <v>20</v>
  </rv>
  <rv s="10">
    <fb>929.65</fb>
    <v>20</v>
  </rv>
  <rv s="10">
    <fb>921.7</fb>
    <v>20</v>
  </rv>
  <rv s="10">
    <fb>948.5</fb>
    <v>20</v>
  </rv>
  <rv s="10">
    <fb>947.35</fb>
    <v>20</v>
  </rv>
  <rv s="10">
    <fb>947.2</fb>
    <v>20</v>
  </rv>
  <rv s="10">
    <fb>953.15</fb>
    <v>20</v>
  </rv>
  <rv s="10">
    <fb>952.1</fb>
    <v>20</v>
  </rv>
  <rv s="10">
    <fb>946.1</fb>
    <v>20</v>
  </rv>
  <rv s="10">
    <fb>931.05</fb>
    <v>20</v>
  </rv>
  <rv s="10">
    <fb>927.05</fb>
    <v>20</v>
  </rv>
  <rv s="10">
    <fb>939.2</fb>
    <v>20</v>
  </rv>
  <rv s="10">
    <fb>933.75</fb>
    <v>20</v>
  </rv>
  <rv s="10">
    <fb>923.7</fb>
    <v>20</v>
  </rv>
  <rv s="10">
    <fb>947.7</fb>
    <v>20</v>
  </rv>
  <rv s="10">
    <fb>957.05</fb>
    <v>20</v>
  </rv>
  <rv s="10">
    <fb>929.9</fb>
    <v>20</v>
  </rv>
  <rv s="10">
    <fb>921.65</fb>
    <v>20</v>
  </rv>
  <rv s="10">
    <fb>928</fb>
    <v>20</v>
  </rv>
  <rv s="10">
    <fb>938.15</fb>
    <v>20</v>
  </rv>
  <rv s="10">
    <fb>929.15</fb>
    <v>20</v>
  </rv>
  <rv s="10">
    <fb>927</fb>
    <v>20</v>
  </rv>
  <rv s="10">
    <fb>931.4</fb>
    <v>20</v>
  </rv>
  <rv s="10">
    <fb>933.65</fb>
    <v>20</v>
  </rv>
  <rv s="10">
    <fb>929.5</fb>
    <v>20</v>
  </rv>
  <rv s="10">
    <fb>928.1</fb>
    <v>20</v>
  </rv>
  <rv s="10">
    <fb>944.9</fb>
    <v>20</v>
  </rv>
  <rv s="10">
    <fb>924.3</fb>
    <v>20</v>
  </rv>
  <rv s="10">
    <fb>930.55</fb>
    <v>20</v>
  </rv>
  <rv s="10">
    <fb>926.75</fb>
    <v>20</v>
  </rv>
  <rv s="10">
    <fb>924.9</fb>
    <v>20</v>
  </rv>
  <rv s="10">
    <fb>924.35</fb>
    <v>20</v>
  </rv>
  <rv s="10">
    <fb>921.45</fb>
    <v>20</v>
  </rv>
  <rv s="10">
    <fb>908.3</fb>
    <v>20</v>
  </rv>
  <rv s="10">
    <fb>893.4</fb>
    <v>20</v>
  </rv>
  <rv s="10">
    <fb>900.2</fb>
    <v>20</v>
  </rv>
  <rv s="10">
    <fb>910.75</fb>
    <v>20</v>
  </rv>
  <rv s="10">
    <fb>914.8</fb>
    <v>20</v>
  </rv>
  <rv s="10">
    <fb>903.3</fb>
    <v>20</v>
  </rv>
  <rv s="10">
    <fb>901.05</fb>
    <v>20</v>
  </rv>
  <rv s="10">
    <fb>900.65</fb>
    <v>20</v>
  </rv>
  <rv s="10">
    <fb>910.85</fb>
    <v>20</v>
  </rv>
  <rv s="10">
    <fb>905.75</fb>
    <v>20</v>
  </rv>
  <rv s="10">
    <fb>906.15</fb>
    <v>20</v>
  </rv>
  <rv s="10">
    <fb>905.4</fb>
    <v>20</v>
  </rv>
  <rv s="10">
    <fb>911.15</fb>
    <v>20</v>
  </rv>
  <rv s="10">
    <fb>903.55</fb>
    <v>20</v>
  </rv>
  <rv s="10">
    <fb>905.7</fb>
    <v>20</v>
  </rv>
  <rv s="10">
    <fb>913.8</fb>
    <v>20</v>
  </rv>
  <rv s="10">
    <fb>910.1</fb>
    <v>20</v>
  </rv>
  <rv s="10">
    <fb>915.35</fb>
    <v>20</v>
  </rv>
  <rv s="10">
    <fb>918.55</fb>
    <v>20</v>
  </rv>
  <rv s="10">
    <fb>927.5</fb>
    <v>20</v>
  </rv>
  <rv s="10">
    <fb>903.2</fb>
    <v>20</v>
  </rv>
  <rv s="10">
    <fb>884.5</fb>
    <v>20</v>
  </rv>
  <rv s="10">
    <fb>869.85</fb>
    <v>20</v>
  </rv>
  <rv s="10">
    <fb>890.55</fb>
    <v>20</v>
  </rv>
  <rv s="10">
    <fb>936.6</fb>
    <v>20</v>
  </rv>
  <rv s="10">
    <fb>907.6</fb>
    <v>20</v>
  </rv>
  <rv s="10">
    <fb>905.55</fb>
    <v>20</v>
  </rv>
  <rv s="10">
    <fb>909.1</fb>
    <v>20</v>
  </rv>
  <rv s="10">
    <fb>903.05</fb>
    <v>20</v>
  </rv>
  <rv s="10">
    <fb>901.1</fb>
    <v>20</v>
  </rv>
  <rv s="10">
    <fb>901.2</fb>
    <v>20</v>
  </rv>
  <rv s="10">
    <fb>900.25</fb>
    <v>20</v>
  </rv>
  <rv s="10">
    <fb>897.45</fb>
    <v>20</v>
  </rv>
  <rv s="10">
    <fb>893.3</fb>
    <v>20</v>
  </rv>
  <rv s="10">
    <fb>887.7</fb>
    <v>20</v>
  </rv>
  <rv s="10">
    <fb>898.25</fb>
    <v>20</v>
  </rv>
  <rv s="10">
    <fb>910.05</fb>
    <v>20</v>
  </rv>
  <rv s="10">
    <fb>914.45</fb>
    <v>20</v>
  </rv>
  <rv s="10">
    <fb>909.85</fb>
    <v>20</v>
  </rv>
  <rv s="10">
    <fb>918.75</fb>
    <v>20</v>
  </rv>
  <rv s="10">
    <fb>908.95</fb>
    <v>20</v>
  </rv>
  <rv s="10">
    <fb>921.3</fb>
    <v>20</v>
  </rv>
  <rv s="10">
    <fb>910</fb>
    <v>20</v>
  </rv>
  <rv s="10">
    <fb>909.45</fb>
    <v>20</v>
  </rv>
  <rv s="10">
    <fb>908.25</fb>
    <v>20</v>
  </rv>
  <rv s="10">
    <fb>898.8</fb>
    <v>20</v>
  </rv>
  <rv s="10">
    <fb>897.85</fb>
    <v>20</v>
  </rv>
  <rv s="10">
    <fb>898.15</fb>
    <v>20</v>
  </rv>
  <rv s="10">
    <fb>895.5</fb>
    <v>20</v>
  </rv>
  <rv s="10">
    <fb>896.5</fb>
    <v>20</v>
  </rv>
  <rv s="10">
    <fb>895.35</fb>
    <v>20</v>
  </rv>
  <rv s="10">
    <fb>903.5</fb>
    <v>20</v>
  </rv>
  <rv s="10">
    <fb>902.7</fb>
    <v>20</v>
  </rv>
  <rv s="10">
    <fb>901.6</fb>
    <v>20</v>
  </rv>
  <rv s="10">
    <fb>896.6</fb>
    <v>20</v>
  </rv>
  <rv s="10">
    <fb>895.05</fb>
    <v>20</v>
  </rv>
  <rv s="10">
    <fb>891.65</fb>
    <v>20</v>
  </rv>
  <rv s="10">
    <fb>895.2</fb>
    <v>20</v>
  </rv>
  <rv s="10">
    <fb>891.2</fb>
    <v>20</v>
  </rv>
  <rv s="10">
    <fb>885.35</fb>
    <v>20</v>
  </rv>
  <rv s="10">
    <fb>873.45</fb>
    <v>20</v>
  </rv>
  <rv s="10">
    <fb>871.55</fb>
    <v>20</v>
  </rv>
  <rv s="10">
    <fb>868.8</fb>
    <v>20</v>
  </rv>
  <rv s="10">
    <fb>854.2</fb>
    <v>20</v>
  </rv>
  <rv s="10">
    <fb>851.35</fb>
    <v>20</v>
  </rv>
  <rv s="10">
    <fb>844.85</fb>
    <v>20</v>
  </rv>
  <rv s="10">
    <fb>845.2</fb>
    <v>20</v>
  </rv>
  <rv s="10">
    <fb>860.1</fb>
    <v>20</v>
  </rv>
  <rv s="10">
    <fb>847</fb>
    <v>20</v>
  </rv>
  <rv s="10">
    <fb>838.85</fb>
    <v>20</v>
  </rv>
  <rv s="10">
    <fb>857.55</fb>
    <v>20</v>
  </rv>
  <rv s="10">
    <fb>878.75</fb>
    <v>20</v>
  </rv>
  <rv s="10">
    <fb>859.95</fb>
    <v>20</v>
  </rv>
  <rv s="10">
    <fb>851.9</fb>
    <v>20</v>
  </rv>
  <rv s="10">
    <fb>841.75</fb>
    <v>20</v>
  </rv>
  <rv s="10">
    <fb>850.4</fb>
    <v>20</v>
  </rv>
  <rv s="10">
    <fb>847.6</fb>
    <v>20</v>
  </rv>
  <rv s="10">
    <fb>842.05</fb>
    <v>20</v>
  </rv>
  <rv s="10">
    <fb>832.1</fb>
    <v>20</v>
  </rv>
  <rv s="10">
    <fb>843</fb>
    <v>20</v>
  </rv>
  <rv s="10">
    <fb>840.5</fb>
    <v>20</v>
  </rv>
  <rv s="10">
    <fb>838.3</fb>
    <v>20</v>
  </rv>
  <rv s="10">
    <fb>834.8</fb>
    <v>20</v>
  </rv>
  <rv s="10">
    <fb>837.2</fb>
    <v>20</v>
  </rv>
  <rv s="10">
    <fb>835.7</fb>
    <v>20</v>
  </rv>
  <rv s="10">
    <fb>837.75</fb>
    <v>20</v>
  </rv>
  <rv s="10">
    <fb>831.95</fb>
    <v>20</v>
  </rv>
  <rv s="10">
    <fb>830.55</fb>
    <v>20</v>
  </rv>
  <rv s="10">
    <fb>826.85</fb>
    <v>20</v>
  </rv>
  <rv s="10">
    <fb>817.85</fb>
    <v>20</v>
  </rv>
  <rv s="10">
    <fb>806</fb>
    <v>20</v>
  </rv>
  <rv s="10">
    <fb>803.2</fb>
    <v>20</v>
  </rv>
  <rv s="10">
    <fb>887.9</fb>
    <v>20</v>
  </rv>
  <rv s="10">
    <fb>854.75</fb>
    <v>20</v>
  </rv>
  <rv s="10">
    <fb>846.45</fb>
    <v>20</v>
  </rv>
  <rv s="10">
    <fb>834.05</fb>
    <v>20</v>
  </rv>
  <rv s="10">
    <fb>831.2</fb>
    <v>20</v>
  </rv>
  <rv s="10">
    <fb>830.8</fb>
    <v>20</v>
  </rv>
  <rv s="10">
    <fb>815.55</fb>
    <v>20</v>
  </rv>
  <rv s="10">
    <fb>776.1</fb>
    <v>20</v>
  </rv>
  <rv s="10">
    <fb>817.3</fb>
    <v>20</v>
  </rv>
  <rv s="10">
    <fb>822.65</fb>
    <v>20</v>
  </rv>
  <rv s="10">
    <fb>835.1</fb>
    <v>20</v>
  </rv>
  <rv s="10">
    <fb>842.5</fb>
    <v>20</v>
  </rv>
  <rv s="10">
    <fb>840.45</fb>
    <v>20</v>
  </rv>
  <rv s="10">
    <fb>834.85</fb>
    <v>20</v>
  </rv>
  <rv s="10">
    <fb>826.05</fb>
    <v>20</v>
  </rv>
  <rv s="10">
    <fb>830.7</fb>
    <v>20</v>
  </rv>
  <rv s="10">
    <fb>823.1</fb>
    <v>20</v>
  </rv>
  <rv s="10">
    <fb>820.2</fb>
    <v>20</v>
  </rv>
  <rv s="10">
    <fb>814.15</fb>
    <v>20</v>
  </rv>
  <rv s="10">
    <fb>812.45</fb>
    <v>20</v>
  </rv>
  <rv s="10">
    <fb>821.8</fb>
    <v>20</v>
  </rv>
  <rv s="10">
    <fb>823.7</fb>
    <v>20</v>
  </rv>
  <rv s="10">
    <fb>831.25</fb>
    <v>20</v>
  </rv>
  <rv s="10">
    <fb>832.25</fb>
    <v>20</v>
  </rv>
  <rv s="10">
    <fb>2216.1316999999999</fb>
    <v>20</v>
  </rv>
  <rv s="10">
    <fb>2197.1120000000001</fb>
    <v>20</v>
  </rv>
  <rv s="10">
    <fb>2222.4413</fb>
    <v>20</v>
  </rv>
  <rv s="10">
    <fb>2216.7671999999998</fb>
    <v>20</v>
  </rv>
  <rv s="10">
    <fb>2244.1390999999999</fb>
    <v>20</v>
  </rv>
  <rv s="10">
    <fb>2251.0843</fb>
    <v>20</v>
  </rv>
  <rv s="10">
    <fb>2266.5632999999998</fb>
    <v>20</v>
  </rv>
  <rv s="10">
    <fb>2251.7651999999998</fb>
    <v>20</v>
  </rv>
  <rv s="10">
    <fb>2255.442</fb>
    <v>20</v>
  </rv>
  <rv s="10">
    <fb>2259.8905</fb>
    <v>20</v>
  </rv>
  <rv s="10">
    <fb>2227.7069000000001</fb>
    <v>20</v>
  </rv>
  <rv s="10">
    <fb>2214.5428999999999</fb>
    <v>20</v>
  </rv>
  <rv s="10">
    <fb>2209.7766000000001</fb>
    <v>20</v>
  </rv>
  <rv s="10">
    <fb>2216.9486999999999</fb>
    <v>20</v>
  </rv>
  <rv s="10">
    <fb>2228.7963</fb>
    <v>20</v>
  </rv>
  <rv s="10">
    <fb>2228.3878</fb>
    <v>20</v>
  </rv>
  <rv s="10">
    <fb>2215.4054000000001</fb>
    <v>20</v>
  </rv>
  <rv s="10">
    <fb>2215.1329999999998</fb>
    <v>20</v>
  </rv>
  <rv s="10">
    <fb>2275.5511000000001</fb>
    <v>20</v>
  </rv>
  <rv s="10">
    <fb>2288.3519000000001</fb>
    <v>20</v>
  </rv>
  <rv s="10">
    <fb>2287.7618000000002</fb>
    <v>20</v>
  </rv>
  <rv s="10">
    <fb>2242.3234000000002</fb>
    <v>20</v>
  </rv>
  <rv s="10">
    <fb>2236.2860999999998</fb>
    <v>20</v>
  </rv>
  <rv s="10">
    <fb>2228.9778999999999</fb>
    <v>20</v>
  </rv>
  <rv s="10">
    <fb>2248.9962</fb>
    <v>20</v>
  </rv>
  <rv s="10">
    <fb>2250.9027000000001</fb>
    <v>20</v>
  </rv>
  <rv s="10">
    <fb>2267.9704999999999</fb>
    <v>20</v>
  </rv>
  <rv s="10">
    <fb>2269.3321999999998</fb>
    <v>20</v>
  </rv>
  <rv s="10">
    <fb>2253.2631000000001</fb>
    <v>20</v>
  </rv>
  <rv s="10">
    <fb>2255.2604000000001</fb>
    <v>20</v>
  </rv>
  <rv s="10">
    <fb>2288.5789</fb>
    <v>20</v>
  </rv>
  <rv s="10">
    <fb>2316.7224999999999</fb>
    <v>20</v>
  </rv>
  <rv s="10">
    <fb>2317.3580000000002</fb>
    <v>20</v>
  </rv>
  <rv s="10">
    <fb>2339.9184</fb>
    <v>20</v>
  </rv>
  <rv s="10">
    <fb>2316.6770999999999</fb>
    <v>20</v>
  </rv>
  <rv s="10">
    <fb>2321.4888000000001</fb>
    <v>20</v>
  </rv>
  <rv s="10">
    <fb>2328.0254</fb>
    <v>20</v>
  </rv>
  <rv s="10">
    <fb>2301.8789999999999</fb>
    <v>20</v>
  </rv>
  <rv s="10">
    <fb>2283.0409</fb>
    <v>20</v>
  </rv>
  <rv s="10">
    <fb>2265.61</fb>
    <v>20</v>
  </rv>
  <rv s="10">
    <fb>2266.4270999999999</fb>
    <v>20</v>
  </rv>
  <rv s="10">
    <fb>2296.4319</fb>
    <v>20</v>
  </rv>
  <rv s="10">
    <fb>2315.27</fb>
    <v>20</v>
  </rv>
  <rv s="10">
    <fb>2374.6894000000002</fb>
    <v>20</v>
  </rv>
  <rv s="10">
    <fb>2350.2226000000001</fb>
    <v>20</v>
  </rv>
  <rv s="10">
    <fb>2346.3642</fb>
    <v>20</v>
  </rv>
  <rv s="10">
    <fb>2395.6156000000001</fb>
    <v>20</v>
  </rv>
  <rv s="10">
    <fb>2390.9400999999998</fb>
    <v>20</v>
  </rv>
  <rv s="10">
    <fb>2483.0425</fb>
    <v>20</v>
  </rv>
  <rv s="10">
    <fb>2509.9605000000001</fb>
    <v>20</v>
  </rv>
  <rv s="10">
    <fb>2512.7294999999999</fb>
    <v>20</v>
  </rv>
  <rv s="10">
    <fb>2490.2600000000002</fb>
    <v>20</v>
  </rv>
  <rv s="10">
    <fb>2488.1718999999998</fb>
    <v>20</v>
  </rv>
  <rv s="10">
    <fb>2539.0120999999999</fb>
    <v>20</v>
  </rv>
  <rv s="10">
    <fb>2560.5736999999999</fb>
    <v>20</v>
  </rv>
  <rv s="10">
    <fb>2580.0019000000002</fb>
    <v>20</v>
  </rv>
  <rv s="10">
    <fb>2619.85</fb>
    <v>20</v>
  </rv>
  <rv s="10">
    <fb>2538.75</fb>
    <v>20</v>
  </rv>
  <rv s="10">
    <fb>2487.4</fb>
    <v>20</v>
  </rv>
  <rv s="10">
    <fb>2485.8000000000002</fb>
    <v>20</v>
  </rv>
  <rv s="10">
    <fb>2526.1999999999998</fb>
    <v>20</v>
  </rv>
  <rv s="10">
    <fb>2502.6999999999998</fb>
    <v>20</v>
  </rv>
  <rv s="10">
    <fb>2527.85</fb>
    <v>20</v>
  </rv>
  <rv s="10">
    <fb>2549.25</fb>
    <v>20</v>
  </rv>
  <rv s="10">
    <fb>2513.1999999999998</fb>
    <v>20</v>
  </rv>
  <rv s="10">
    <fb>2486.35</fb>
    <v>20</v>
  </rv>
  <rv s="10">
    <fb>2475.9</fb>
    <v>20</v>
  </rv>
  <rv s="10">
    <fb>2509.5500000000002</fb>
    <v>20</v>
  </rv>
  <rv s="10">
    <fb>2523.85</fb>
    <v>20</v>
  </rv>
  <rv s="10">
    <fb>2508.65</fb>
    <v>20</v>
  </rv>
  <rv s="10">
    <fb>2525.1999999999998</fb>
    <v>20</v>
  </rv>
  <rv s="10">
    <fb>2536.4499999999998</fb>
    <v>20</v>
  </rv>
  <rv s="10">
    <fb>2547.15</fb>
    <v>20</v>
  </rv>
  <rv s="10">
    <fb>2577.25</fb>
    <v>20</v>
  </rv>
  <rv s="10">
    <fb>2575.15</fb>
    <v>20</v>
  </rv>
  <rv s="10">
    <fb>2538</fb>
    <v>20</v>
  </rv>
  <rv s="10">
    <fb>2556.8000000000002</fb>
    <v>20</v>
  </rv>
  <rv s="10">
    <fb>2520</fb>
    <v>20</v>
  </rv>
  <rv s="10">
    <fb>2519.4</fb>
    <v>20</v>
  </rv>
  <rv s="10">
    <fb>2522.1999999999998</fb>
    <v>20</v>
  </rv>
  <rv s="10">
    <fb>2479.8000000000002</fb>
    <v>20</v>
  </rv>
  <rv s="10">
    <fb>2468.35</fb>
    <v>20</v>
  </rv>
  <rv s="10">
    <fb>2443.75</fb>
    <v>20</v>
  </rv>
  <rv s="10">
    <fb>2420.35</fb>
    <v>20</v>
  </rv>
  <rv s="10">
    <fb>2418.0500000000002</fb>
    <v>20</v>
  </rv>
  <rv s="10">
    <fb>2407</fb>
    <v>20</v>
  </rv>
  <rv s="10">
    <fb>2412.65</fb>
    <v>20</v>
  </rv>
  <rv s="10">
    <fb>2410.6999999999998</fb>
    <v>20</v>
  </rv>
  <rv s="10">
    <fb>2423.6</fb>
    <v>20</v>
  </rv>
  <rv s="10">
    <fb>2432</fb>
    <v>20</v>
  </rv>
  <rv s="10">
    <fb>2448.1999999999998</fb>
    <v>20</v>
  </rv>
  <rv s="10">
    <fb>2474.6</fb>
    <v>20</v>
  </rv>
  <rv s="10">
    <fb>2451.0500000000002</fb>
    <v>20</v>
  </rv>
  <rv s="10">
    <fb>2453.3000000000002</fb>
    <v>20</v>
  </rv>
  <rv s="10">
    <fb>2457.85</fb>
    <v>20</v>
  </rv>
  <rv s="10">
    <fb>2436.4499999999998</fb>
    <v>20</v>
  </rv>
  <rv s="10">
    <fb>2382.15</fb>
    <v>20</v>
  </rv>
  <rv s="10">
    <fb>2364.8000000000002</fb>
    <v>20</v>
  </rv>
  <rv s="10">
    <fb>2354.9499999999998</fb>
    <v>20</v>
  </rv>
  <rv s="10">
    <fb>2340.4499999999998</fb>
    <v>20</v>
  </rv>
  <rv s="10">
    <fb>2342.5</fb>
    <v>20</v>
  </rv>
  <rv s="10">
    <fb>2368.9</fb>
    <v>20</v>
  </rv>
  <rv s="10">
    <fb>2334.1</fb>
    <v>20</v>
  </rv>
  <rv s="10">
    <fb>2345</fb>
    <v>20</v>
  </rv>
  <rv s="10">
    <fb>2318.15</fb>
    <v>20</v>
  </rv>
  <rv s="10">
    <fb>2314.15</fb>
    <v>20</v>
  </rv>
  <rv s="10">
    <fb>2314.1</fb>
    <v>20</v>
  </rv>
  <rv s="10">
    <fb>2318</fb>
    <v>20</v>
  </rv>
  <rv s="10">
    <fb>2298.25</fb>
    <v>20</v>
  </rv>
  <rv s="10">
    <fb>2308.4</fb>
    <v>20</v>
  </rv>
  <rv s="10">
    <fb>2345.0500000000002</fb>
    <v>20</v>
  </rv>
  <rv s="10">
    <fb>2349.4</fb>
    <v>20</v>
  </rv>
  <rv s="10">
    <fb>2349.3000000000002</fb>
    <v>20</v>
  </rv>
  <rv s="10">
    <fb>2344.0500000000002</fb>
    <v>20</v>
  </rv>
  <rv s="10">
    <fb>2355.25</fb>
    <v>20</v>
  </rv>
  <rv s="10">
    <fb>2324</fb>
    <v>20</v>
  </rv>
  <rv s="10">
    <fb>2306.15</fb>
    <v>20</v>
  </rv>
  <rv s="10">
    <fb>2299.1</fb>
    <v>20</v>
  </rv>
  <rv s="10">
    <fb>2263.1999999999998</fb>
    <v>20</v>
  </rv>
  <rv s="10">
    <fb>2257.9499999999998</fb>
    <v>20</v>
  </rv>
  <rv s="10">
    <fb>2265.8000000000002</fb>
    <v>20</v>
  </rv>
  <rv s="10">
    <fb>2312.5</fb>
    <v>20</v>
  </rv>
  <rv s="10">
    <fb>2287.9</fb>
    <v>20</v>
  </rv>
  <rv s="10">
    <fb>2297.4</fb>
    <v>20</v>
  </rv>
  <rv s="10">
    <fb>2320.1999999999998</fb>
    <v>20</v>
  </rv>
  <rv s="10">
    <fb>2319.6999999999998</fb>
    <v>20</v>
  </rv>
  <rv s="10">
    <fb>2339</fb>
    <v>20</v>
  </rv>
  <rv s="10">
    <fb>2323.8000000000002</fb>
    <v>20</v>
  </rv>
  <rv s="10">
    <fb>2310.5500000000002</fb>
    <v>20</v>
  </rv>
  <rv s="10">
    <fb>2314.9</fb>
    <v>20</v>
  </rv>
  <rv s="10">
    <fb>2330.65</fb>
    <v>20</v>
  </rv>
  <rv s="10">
    <fb>2314.6</fb>
    <v>20</v>
  </rv>
  <rv s="10">
    <fb>2356.4499999999998</fb>
    <v>20</v>
  </rv>
  <rv s="10">
    <fb>2360.6999999999998</fb>
    <v>20</v>
  </rv>
  <rv s="10">
    <fb>2355.5500000000002</fb>
    <v>20</v>
  </rv>
  <rv s="10">
    <fb>2349.35</fb>
    <v>20</v>
  </rv>
  <rv s="10">
    <fb>2378.9</fb>
    <v>20</v>
  </rv>
  <rv s="10">
    <fb>2388.1999999999998</fb>
    <v>20</v>
  </rv>
  <rv s="10">
    <fb>2395.5</fb>
    <v>20</v>
  </rv>
  <rv s="10">
    <fb>2393.9</fb>
    <v>20</v>
  </rv>
  <rv s="10">
    <fb>2394.4</fb>
    <v>20</v>
  </rv>
  <rv s="10">
    <fb>2400.6999999999998</fb>
    <v>20</v>
  </rv>
  <rv s="10">
    <fb>2377.4499999999998</fb>
    <v>20</v>
  </rv>
  <rv s="10">
    <fb>2394.3000000000002</fb>
    <v>20</v>
  </rv>
  <rv s="10">
    <fb>2420.1999999999998</fb>
    <v>20</v>
  </rv>
  <rv s="10">
    <fb>2437.75</fb>
    <v>20</v>
  </rv>
  <rv s="10">
    <fb>2461.1</fb>
    <v>20</v>
  </rv>
  <rv s="10">
    <fb>2457.0500000000002</fb>
    <v>20</v>
  </rv>
  <rv s="10">
    <fb>2455.75</fb>
    <v>20</v>
  </rv>
  <rv s="10">
    <fb>2459.35</fb>
    <v>20</v>
  </rv>
  <rv s="10">
    <fb>2424.0500000000002</fb>
    <v>20</v>
  </rv>
  <rv s="10">
    <fb>2433.9499999999998</fb>
    <v>20</v>
  </rv>
  <rv s="10">
    <fb>2464.15</fb>
    <v>20</v>
  </rv>
  <rv s="10">
    <fb>2521</fb>
    <v>20</v>
  </rv>
  <rv s="10">
    <fb>2558.1</fb>
    <v>20</v>
  </rv>
  <rv s="10">
    <fb>2527.15</fb>
    <v>20</v>
  </rv>
  <rv s="10">
    <fb>2562.5500000000002</fb>
    <v>20</v>
  </rv>
  <rv s="10">
    <fb>2578.0500000000002</fb>
    <v>20</v>
  </rv>
  <rv s="10">
    <fb>2586.85</fb>
    <v>20</v>
  </rv>
  <rv s="10">
    <fb>2605.5500000000002</fb>
    <v>20</v>
  </rv>
  <rv s="10">
    <fb>2584.9499999999998</fb>
    <v>20</v>
  </rv>
  <rv s="10">
    <fb>2590.25</fb>
    <v>20</v>
  </rv>
  <rv s="10">
    <fb>2611.6999999999998</fb>
    <v>20</v>
  </rv>
  <rv s="10">
    <fb>2596.65</fb>
    <v>20</v>
  </rv>
  <rv s="10">
    <fb>2607.6999999999998</fb>
    <v>20</v>
  </rv>
  <rv s="10">
    <fb>2587.35</fb>
    <v>20</v>
  </rv>
  <rv s="10">
    <fb>2580.5</fb>
    <v>20</v>
  </rv>
  <rv s="10">
    <fb>2650.1</fb>
    <v>20</v>
  </rv>
  <rv s="10">
    <fb>2719.8</fb>
    <v>20</v>
  </rv>
  <rv s="10">
    <fb>2741.45</fb>
    <v>20</v>
  </rv>
  <rv s="10">
    <fb>2788.25</fb>
    <v>20</v>
  </rv>
  <rv s="10">
    <fb>2749.25</fb>
    <v>20</v>
  </rv>
  <rv s="10">
    <fb>2723.15</fb>
    <v>20</v>
  </rv>
  <rv s="10">
    <fb>2735.9</fb>
    <v>20</v>
  </rv>
  <rv s="10">
    <fb>2734.9</fb>
    <v>20</v>
  </rv>
  <rv s="10">
    <fb>2713.3</fb>
    <v>20</v>
  </rv>
  <rv s="10">
    <fb>2657.15</fb>
    <v>20</v>
  </rv>
  <rv s="10">
    <fb>2687.75</fb>
    <v>20</v>
  </rv>
  <rv s="10">
    <fb>2706.15</fb>
    <v>20</v>
  </rv>
  <rv s="10">
    <fb>584.625</fb>
    <v>20</v>
  </rv>
  <rv s="10">
    <fb>579.35</fb>
    <v>20</v>
  </rv>
  <rv s="10">
    <fb>604.25</fb>
    <v>20</v>
  </rv>
  <rv s="10">
    <fb>616.70000000000005</fb>
    <v>20</v>
  </rv>
  <rv s="10">
    <fb>647.52499999999998</fb>
    <v>20</v>
  </rv>
  <rv s="10">
    <fb>679.9</fb>
    <v>20</v>
  </rv>
  <rv s="10">
    <fb>713.875</fb>
    <v>20</v>
  </rv>
  <rv s="10">
    <fb>787.02499999999998</fb>
    <v>20</v>
  </rv>
  <rv s="10">
    <fb>800.05</fb>
    <v>20</v>
  </rv>
  <rv s="10">
    <fb>769.27499999999998</fb>
    <v>20</v>
  </rv>
  <rv s="10">
    <fb>772.82500000000005</fb>
    <v>20</v>
  </rv>
  <rv s="10">
    <fb>802.95</fb>
    <v>20</v>
  </rv>
  <rv s="10">
    <fb>789.8</fb>
    <v>20</v>
  </rv>
  <rv s="10">
    <fb>772.5</fb>
    <v>20</v>
  </rv>
  <rv s="10">
    <fb>774.875</fb>
    <v>20</v>
  </rv>
  <rv s="10">
    <fb>776.02499999999998</fb>
    <v>20</v>
  </rv>
  <rv s="10">
    <fb>784.15</fb>
    <v>20</v>
  </rv>
  <rv s="10">
    <fb>809.75</fb>
    <v>20</v>
  </rv>
  <rv s="10">
    <fb>776.4</fb>
    <v>20</v>
  </rv>
  <rv s="10">
    <fb>783.82500000000005</fb>
    <v>20</v>
  </rv>
  <rv s="10">
    <fb>754.52499999999998</fb>
    <v>20</v>
  </rv>
  <rv s="10">
    <fb>743.67499999999995</fb>
    <v>20</v>
  </rv>
  <rv s="10">
    <fb>737.67499999999995</fb>
    <v>20</v>
  </rv>
  <rv s="10">
    <fb>747.1</fb>
    <v>20</v>
  </rv>
  <rv s="10">
    <fb>744.82500000000005</fb>
    <v>20</v>
  </rv>
  <rv s="10">
    <fb>739.4</fb>
    <v>20</v>
  </rv>
  <rv s="10">
    <fb>776.35</fb>
    <v>20</v>
  </rv>
  <rv s="10">
    <fb>774.92499999999995</fb>
    <v>20</v>
  </rv>
  <rv s="10">
    <fb>794.45</fb>
    <v>20</v>
  </rv>
  <rv s="10">
    <fb>798.35</fb>
    <v>20</v>
  </rv>
  <rv s="10">
    <fb>809.02499999999998</fb>
    <v>20</v>
  </rv>
  <rv s="10">
    <fb>826.35</fb>
    <v>20</v>
  </rv>
  <rv s="10">
    <fb>867.35</fb>
    <v>20</v>
  </rv>
  <rv s="10">
    <fb>902.25</fb>
    <v>20</v>
  </rv>
  <rv s="10">
    <fb>919.32500000000005</fb>
    <v>20</v>
  </rv>
  <rv s="10">
    <fb>948</fb>
    <v>20</v>
  </rv>
  <rv s="10">
    <fb>994.95</fb>
    <v>20</v>
  </rv>
  <rv s="10">
    <fb>1044.625</fb>
    <v>20</v>
  </rv>
  <rv s="10">
    <fb>994.85</fb>
    <v>20</v>
  </rv>
  <rv s="10">
    <fb>945.125</fb>
    <v>20</v>
  </rv>
  <rv s="10">
    <fb>992.375</fb>
    <v>20</v>
  </rv>
  <rv s="10">
    <fb>1036.7</fb>
    <v>20</v>
  </rv>
  <rv s="10">
    <fb>1031.5999999999999</fb>
    <v>20</v>
  </rv>
  <rv s="10">
    <fb>1081.0999999999999</fb>
    <v>20</v>
  </rv>
  <rv s="10">
    <fb>1066.55</fb>
    <v>20</v>
  </rv>
  <rv s="10">
    <fb>1072.325</fb>
    <v>20</v>
  </rv>
  <rv s="10">
    <fb>1100.45</fb>
    <v>20</v>
  </rv>
  <rv s="10">
    <fb>1138.9749999999999</fb>
    <v>20</v>
  </rv>
  <rv s="10">
    <fb>1176.675</fb>
    <v>20</v>
  </rv>
  <rv s="10">
    <fb>1117.8499999999999</fb>
    <v>20</v>
  </rv>
  <rv s="10">
    <fb>1125.6500000000001</fb>
    <v>20</v>
  </rv>
  <rv s="10">
    <fb>1083.925</fb>
    <v>20</v>
  </rv>
  <rv s="10">
    <fb>1115.7750000000001</fb>
    <v>20</v>
  </rv>
  <rv s="10">
    <fb>1171.55</fb>
    <v>20</v>
  </rv>
  <rv s="10">
    <fb>1230.0999999999999</fb>
    <v>20</v>
  </rv>
  <rv s="10">
    <fb>1291.5999999999999</fb>
    <v>20</v>
  </rv>
  <rv s="10">
    <fb>1356.15</fb>
    <v>20</v>
  </rv>
  <rv s="10">
    <fb>1288.3499999999999</fb>
    <v>20</v>
  </rv>
  <rv s="10">
    <fb>1352.75</fb>
    <v>20</v>
  </rv>
  <rv s="10">
    <fb>1420.35</fb>
    <v>20</v>
  </rv>
  <rv s="10">
    <fb>1491.35</fb>
    <v>20</v>
  </rv>
  <rv s="10">
    <fb>1519</fb>
    <v>20</v>
  </rv>
  <rv s="10">
    <fb>1474.55</fb>
    <v>20</v>
  </rv>
  <rv s="10">
    <fb>1400.85</fb>
    <v>20</v>
  </rv>
  <rv s="10">
    <fb>1343.4</fb>
    <v>20</v>
  </rv>
  <rv s="10">
    <fb>1276.25</fb>
    <v>20</v>
  </rv>
  <rv s="10">
    <fb>1216.3</fb>
    <v>20</v>
  </rv>
  <rv s="10">
    <fb>1234.1500000000001</fb>
    <v>20</v>
  </rv>
  <rv s="10">
    <fb>1216.8</fb>
    <v>20</v>
  </rv>
  <rv s="10">
    <fb>1192.7</fb>
    <v>20</v>
  </rv>
  <rv s="10">
    <fb>1140.3499999999999</fb>
    <v>20</v>
  </rv>
  <rv s="10">
    <fb>1177.4000000000001</fb>
    <v>20</v>
  </rv>
  <rv s="10">
    <fb>1160</fb>
    <v>20</v>
  </rv>
  <rv s="10">
    <fb>1122.8</fb>
    <v>20</v>
  </rv>
  <rv s="10">
    <fb>1123.3</fb>
    <v>20</v>
  </rv>
  <rv s="10">
    <fb>1091.4000000000001</fb>
    <v>20</v>
  </rv>
  <rv s="10">
    <fb>1074.9000000000001</fb>
    <v>20</v>
  </rv>
  <rv s="10">
    <fb>1083</fb>
    <v>20</v>
  </rv>
  <rv s="10">
    <fb>1137.1500000000001</fb>
    <v>20</v>
  </rv>
  <rv s="10">
    <fb>1194</fb>
    <v>20</v>
  </rv>
  <rv s="10">
    <fb>1221.5999999999999</fb>
    <v>20</v>
  </rv>
  <rv s="10">
    <fb>1183.6500000000001</fb>
    <v>20</v>
  </rv>
  <rv s="10">
    <fb>1148.3499999999999</fb>
    <v>20</v>
  </rv>
  <rv s="10">
    <fb>1138.9000000000001</fb>
    <v>20</v>
  </rv>
  <rv s="10">
    <fb>1132.9000000000001</fb>
    <v>20</v>
  </rv>
  <rv s="10">
    <fb>1079.5</fb>
    <v>20</v>
  </rv>
  <rv s="10">
    <fb>1064.75</fb>
    <v>20</v>
  </rv>
  <rv s="10">
    <fb>1070.9000000000001</fb>
    <v>20</v>
  </rv>
  <rv s="10">
    <fb>1063.8499999999999</fb>
    <v>20</v>
  </rv>
  <rv s="10">
    <fb>1040.4000000000001</fb>
    <v>20</v>
  </rv>
  <rv s="10">
    <fb>1043.1500000000001</fb>
    <v>20</v>
  </rv>
  <rv s="10">
    <fb>1047.95</fb>
    <v>20</v>
  </rv>
  <rv s="10">
    <fb>1037.6500000000001</fb>
    <v>20</v>
  </rv>
  <rv s="10">
    <fb>1040.3</fb>
    <v>20</v>
  </rv>
  <rv s="10">
    <fb>1041.3499999999999</fb>
    <v>20</v>
  </rv>
  <rv s="10">
    <fb>1026.95</fb>
    <v>20</v>
  </rv>
  <rv s="10">
    <fb>1013.35</fb>
    <v>20</v>
  </rv>
  <rv s="10">
    <fb>1020.8</fb>
    <v>20</v>
  </rv>
  <rv s="10">
    <fb>1039.2</fb>
    <v>20</v>
  </rv>
  <rv s="10">
    <fb>1009.5</fb>
    <v>20</v>
  </rv>
  <rv s="10">
    <fb>1015.95</fb>
    <v>20</v>
  </rv>
  <rv s="10">
    <fb>998.4</fb>
    <v>20</v>
  </rv>
  <rv s="10">
    <fb>989.8</fb>
    <v>20</v>
  </rv>
  <rv s="10">
    <fb>994.35</fb>
    <v>20</v>
  </rv>
  <rv s="10">
    <fb>989.95</fb>
    <v>20</v>
  </rv>
  <rv s="10">
    <fb>985</fb>
    <v>20</v>
  </rv>
  <rv s="10">
    <fb>999.55</fb>
    <v>20</v>
  </rv>
  <rv s="10">
    <fb>1001.05</fb>
    <v>20</v>
  </rv>
  <rv s="10">
    <fb>1051.0999999999999</fb>
    <v>20</v>
  </rv>
  <rv s="10">
    <fb>1103.6500000000001</fb>
    <v>20</v>
  </rv>
  <rv s="10">
    <fb>1104.75</fb>
    <v>20</v>
  </rv>
  <rv s="10">
    <fb>1049.55</fb>
    <v>20</v>
  </rv>
  <rv s="10">
    <fb>998.8</fb>
    <v>20</v>
  </rv>
  <rv s="10">
    <fb>999.45</fb>
    <v>20</v>
  </rv>
  <rv s="10">
    <fb>1001.5</fb>
    <v>20</v>
  </rv>
  <rv s="10">
    <fb>1000</fb>
    <v>20</v>
  </rv>
  <rv s="10">
    <fb>995.25</fb>
    <v>20</v>
  </rv>
  <rv s="10">
    <fb>999</fb>
    <v>20</v>
  </rv>
  <rv s="10">
    <fb>1004.6</fb>
    <v>20</v>
  </rv>
  <rv s="10">
    <fb>1050.2</fb>
    <v>20</v>
  </rv>
  <rv s="10">
    <fb>1052.8499999999999</fb>
    <v>20</v>
  </rv>
  <rv s="10">
    <fb>1037.4000000000001</fb>
    <v>20</v>
  </rv>
  <rv s="10">
    <fb>1058.3499999999999</fb>
    <v>20</v>
  </rv>
  <rv s="10">
    <fb>1111.25</fb>
    <v>20</v>
  </rv>
  <rv s="10">
    <fb>1166.8</fb>
    <v>20</v>
  </rv>
  <rv s="10">
    <fb>1137.0999999999999</fb>
    <v>20</v>
  </rv>
  <rv s="10">
    <fb>1193.95</fb>
    <v>20</v>
  </rv>
  <rv s="10">
    <fb>1151.3499999999999</fb>
    <v>20</v>
  </rv>
  <rv s="10">
    <fb>1158.05</fb>
    <v>20</v>
  </rv>
  <rv s="10">
    <fb>1130.8499999999999</fb>
    <v>20</v>
  </rv>
  <rv s="10">
    <fb>1128.75</fb>
    <v>20</v>
  </rv>
  <rv s="10">
    <fb>1096.05</fb>
    <v>20</v>
  </rv>
  <rv s="10">
    <fb>1101.4000000000001</fb>
    <v>20</v>
  </rv>
  <rv s="10">
    <fb>1087.3</fb>
    <v>20</v>
  </rv>
  <rv s="10">
    <fb>1073.6500000000001</fb>
    <v>20</v>
  </rv>
  <rv s="10">
    <fb>1049.8499999999999</fb>
    <v>20</v>
  </rv>
  <rv s="10">
    <fb>1040.45</fb>
    <v>20</v>
  </rv>
  <rv s="10">
    <fb>1034.05</fb>
    <v>20</v>
  </rv>
  <rv s="10">
    <fb>1005.2</fb>
    <v>20</v>
  </rv>
  <rv s="10">
    <fb>999.9</fb>
    <v>20</v>
  </rv>
  <rv s="10">
    <fb>1044.9000000000001</fb>
    <v>20</v>
  </rv>
  <rv s="10">
    <fb>1011.15</fb>
    <v>20</v>
  </rv>
  <rv s="10">
    <fb>1001</fb>
    <v>20</v>
  </rv>
  <rv s="10">
    <fb>1051.05</fb>
    <v>20</v>
  </rv>
  <rv s="10">
    <fb>1103.5999999999999</fb>
    <v>20</v>
  </rv>
  <rv s="10">
    <fb>1216.6500000000001</fb>
    <v>20</v>
  </rv>
  <rv s="10">
    <fb>1277.45</fb>
    <v>20</v>
  </rv>
  <rv s="10">
    <fb>1341.3</fb>
    <v>20</v>
  </rv>
  <rv s="10">
    <fb>1408.35</fb>
    <v>20</v>
  </rv>
  <rv s="10">
    <fb>1397.45</fb>
    <v>20</v>
  </rv>
  <rv s="10">
    <fb>1456</fb>
    <v>20</v>
  </rv>
  <rv s="10">
    <fb>1528.8</fb>
    <v>20</v>
  </rv>
  <rv s="10">
    <fb>1605.2</fb>
    <v>20</v>
  </rv>
  <rv s="10">
    <fb>1569.15</fb>
    <v>20</v>
  </rv>
  <rv s="10">
    <fb>1571.1</fb>
    <v>20</v>
  </rv>
  <rv s="10">
    <fb>1587.8</fb>
    <v>20</v>
  </rv>
  <rv s="10">
    <fb>1556.35</fb>
    <v>20</v>
  </rv>
  <rv s="10">
    <fb>1573.95</fb>
    <v>20</v>
  </rv>
  <rv s="10">
    <fb>1559.1</fb>
    <v>20</v>
  </rv>
  <rv s="10">
    <fb>1561.4</fb>
    <v>20</v>
  </rv>
  <rv s="10">
    <fb>1554.35</fb>
    <v>20</v>
  </rv>
  <rv s="10">
    <fb>1531.85</fb>
    <v>20</v>
  </rv>
  <rv s="10">
    <fb>1608.4</fb>
    <v>20</v>
  </rv>
  <rv s="10">
    <fb>1598.85</fb>
    <v>20</v>
  </rv>
  <rv s="10">
    <fb>1600.65</fb>
    <v>20</v>
  </rv>
  <rv s="10">
    <fb>1600.15</fb>
    <v>20</v>
  </rv>
  <rv s="10">
    <fb>1572.75</fb>
    <v>20</v>
  </rv>
  <rv s="10">
    <fb>1534.9</fb>
    <v>20</v>
  </rv>
  <rv s="10">
    <fb>1559.75</fb>
    <v>20</v>
  </rv>
  <rv s="10">
    <fb>1636.25</fb>
    <v>20</v>
  </rv>
  <rv s="10">
    <fb>1610.8</fb>
    <v>20</v>
  </rv>
  <rv s="10">
    <fb>1691.3</fb>
    <v>20</v>
  </rv>
  <rv s="10">
    <fb>1651.6</fb>
    <v>20</v>
  </rv>
  <rv s="10">
    <fb>1704.7</fb>
    <v>20</v>
  </rv>
  <rv s="10">
    <fb>1789.9</fb>
    <v>20</v>
  </rv>
  <rv s="10">
    <fb>1736.45</fb>
    <v>20</v>
  </rv>
  <rv s="10">
    <fb>1817.6</fb>
    <v>20</v>
  </rv>
  <rv s="10">
    <fb>1803.8</fb>
    <v>20</v>
  </rv>
  <rv s="10">
    <fb>1784.65</fb>
    <v>20</v>
  </rv>
  <rv s="10">
    <fb>1737.3</fb>
    <v>20</v>
  </rv>
  <rv s="10">
    <fb>1721.5</fb>
    <v>20</v>
  </rv>
  <rv s="10">
    <fb>1766.2</fb>
    <v>20</v>
  </rv>
  <rv s="10">
    <fb>1731.9</fb>
    <v>20</v>
  </rv>
  <rv s="10">
    <fb>1720.6</fb>
    <v>20</v>
  </rv>
  <rv s="10">
    <fb>1768.85</fb>
    <v>20</v>
  </rv>
  <rv s="10">
    <fb>1735.8</fb>
    <v>20</v>
  </rv>
  <rv s="10">
    <fb>1707.1</fb>
    <v>20</v>
  </rv>
  <rv s="10">
    <fb>1692.4</fb>
    <v>20</v>
  </rv>
  <rv s="10">
    <fb>1712.5</fb>
    <v>20</v>
  </rv>
  <rv s="10">
    <fb>1667.85</fb>
    <v>20</v>
  </rv>
  <rv s="10">
    <fb>1615.7</fb>
    <v>20</v>
  </rv>
  <rv s="10">
    <fb>1690.2</fb>
    <v>20</v>
  </rv>
  <rv s="10">
    <fb>1699.15</fb>
    <v>20</v>
  </rv>
  <rv s="10">
    <fb>1682.5</fb>
    <v>20</v>
  </rv>
  <rv s="10">
    <fb>1711.15</fb>
    <v>20</v>
  </rv>
  <rv s="10">
    <fb>1646.55</fb>
    <v>20</v>
  </rv>
  <rv s="10">
    <fb>1666.85</fb>
    <v>20</v>
  </rv>
  <rv s="10">
    <fb>1604.8</fb>
    <v>20</v>
  </rv>
  <rv s="10">
    <fb>1553.95</fb>
    <v>20</v>
  </rv>
  <rv s="10">
    <fb>1639.6</fb>
    <v>20</v>
  </rv>
  <rv s="10">
    <fb>1705.5</fb>
    <v>20</v>
  </rv>
  <rv s="10">
    <fb>1745.15</fb>
    <v>20</v>
  </rv>
  <rv s="10">
    <fb>1717.55</fb>
    <v>20</v>
  </rv>
  <rv s="10">
    <fb>1753.6</fb>
    <v>20</v>
  </rv>
  <rv s="10">
    <fb>1940.7</fb>
    <v>20</v>
  </rv>
  <rv s="10">
    <fb>1966.65</fb>
    <v>20</v>
  </rv>
  <rv s="10">
    <fb>1957.7</fb>
    <v>20</v>
  </rv>
  <rv s="10">
    <fb>1960.65</fb>
    <v>20</v>
  </rv>
  <rv s="10">
    <fb>1956.8</fb>
    <v>20</v>
  </rv>
  <rv s="10">
    <fb>1960.8</fb>
    <v>20</v>
  </rv>
  <rv s="10">
    <fb>2046.25</fb>
    <v>20</v>
  </rv>
  <rv s="10">
    <fb>2063.15</fb>
    <v>20</v>
  </rv>
  <rv s="10">
    <fb>2039.5</fb>
    <v>20</v>
  </rv>
  <rv s="10">
    <fb>2146.6999999999998</fb>
    <v>20</v>
  </rv>
  <rv s="10">
    <fb>2151.6999999999998</fb>
    <v>20</v>
  </rv>
  <rv s="10">
    <fb>2167.6</fb>
    <v>20</v>
  </rv>
  <rv s="10">
    <fb>2089.4</fb>
    <v>20</v>
  </rv>
  <rv s="10">
    <fb>2052.6</fb>
    <v>20</v>
  </rv>
  <rv s="10">
    <fb>2050.25</fb>
    <v>20</v>
  </rv>
  <rv s="10">
    <fb>2033.45</fb>
    <v>20</v>
  </rv>
  <rv s="10">
    <fb>2043.65</fb>
    <v>20</v>
  </rv>
  <rv s="10">
    <fb>2070.1999999999998</fb>
    <v>20</v>
  </rv>
  <rv s="10">
    <fb>2061.25</fb>
    <v>20</v>
  </rv>
  <rv s="10">
    <fb>2048.5</fb>
    <v>20</v>
  </rv>
  <rv s="10">
    <fb>2054.9499999999998</fb>
    <v>20</v>
  </rv>
  <rv s="10">
    <fb>2089.9</fb>
    <v>20</v>
  </rv>
  <rv s="10">
    <fb>2059.6999999999998</fb>
    <v>20</v>
  </rv>
  <rv s="10">
    <fb>487.15</fb>
    <v>20</v>
  </rv>
  <rv s="10">
    <fb>489.5</fb>
    <v>20</v>
  </rv>
  <rv s="10">
    <fb>497.75</fb>
    <v>20</v>
  </rv>
  <rv s="10">
    <fb>500.3</fb>
    <v>20</v>
  </rv>
  <rv s="10">
    <fb>520</fb>
    <v>20</v>
  </rv>
  <rv s="10">
    <fb>521.70000000000005</fb>
    <v>20</v>
  </rv>
  <rv s="10">
    <fb>539.4</fb>
    <v>20</v>
  </rv>
  <rv s="10">
    <fb>542.9</fb>
    <v>20</v>
  </rv>
  <rv s="10">
    <fb>528.85</fb>
    <v>20</v>
  </rv>
  <rv s="10">
    <fb>529.85</fb>
    <v>20</v>
  </rv>
  <rv s="10">
    <fb>531.9</fb>
    <v>20</v>
  </rv>
  <rv s="10">
    <fb>539.15</fb>
    <v>20</v>
  </rv>
  <rv s="10">
    <fb>536.5</fb>
    <v>20</v>
  </rv>
  <rv s="10">
    <fb>541.54999999999995</fb>
    <v>20</v>
  </rv>
  <rv s="10">
    <fb>531.75</fb>
    <v>20</v>
  </rv>
  <rv s="10">
    <fb>529.04999999999995</fb>
    <v>20</v>
  </rv>
  <rv s="10">
    <fb>535.35</fb>
    <v>20</v>
  </rv>
  <rv s="10">
    <fb>509.85</fb>
    <v>20</v>
  </rv>
  <rv s="10">
    <fb>514.4</fb>
    <v>20</v>
  </rv>
  <rv s="10">
    <fb>522.45000000000005</fb>
    <v>20</v>
  </rv>
  <rv s="10">
    <fb>515.79999999999995</fb>
    <v>20</v>
  </rv>
  <rv s="10">
    <fb>512.85</fb>
    <v>20</v>
  </rv>
  <rv s="10">
    <fb>514</fb>
    <v>20</v>
  </rv>
  <rv s="10">
    <fb>506.9</fb>
    <v>20</v>
  </rv>
  <rv s="10">
    <fb>516.35</fb>
    <v>20</v>
  </rv>
  <rv s="10">
    <fb>519.85</fb>
    <v>20</v>
  </rv>
  <rv s="10">
    <fb>514.9</fb>
    <v>20</v>
  </rv>
  <rv s="10">
    <fb>515.85</fb>
    <v>20</v>
  </rv>
  <rv s="10">
    <fb>514.85</fb>
    <v>20</v>
  </rv>
  <rv s="10">
    <fb>509.9</fb>
    <v>20</v>
  </rv>
  <rv s="10">
    <fb>534.29999999999995</fb>
    <v>20</v>
  </rv>
  <rv s="10">
    <fb>540.15</fb>
    <v>20</v>
  </rv>
  <rv s="10">
    <fb>542.85</fb>
    <v>20</v>
  </rv>
  <rv s="10">
    <fb>542.4</fb>
    <v>20</v>
  </rv>
  <rv s="10">
    <fb>544.4</fb>
    <v>20</v>
  </rv>
  <rv s="10">
    <fb>543.35</fb>
    <v>20</v>
  </rv>
  <rv s="10">
    <fb>553.95000000000005</fb>
    <v>20</v>
  </rv>
  <rv s="10">
    <fb>563.4</fb>
    <v>20</v>
  </rv>
  <rv s="10">
    <fb>580.79999999999995</fb>
    <v>20</v>
  </rv>
  <rv s="10">
    <fb>594.70000000000005</fb>
    <v>20</v>
  </rv>
  <rv s="10">
    <fb>597.29999999999995</fb>
    <v>20</v>
  </rv>
  <rv s="10">
    <fb>591.54999999999995</fb>
    <v>20</v>
  </rv>
  <rv s="10">
    <fb>565.1</fb>
    <v>20</v>
  </rv>
  <rv s="10">
    <fb>570.1</fb>
    <v>20</v>
  </rv>
  <rv s="10">
    <fb>567.04999999999995</fb>
    <v>20</v>
  </rv>
  <rv s="10">
    <fb>554.6</fb>
    <v>20</v>
  </rv>
  <rv s="10">
    <fb>557.75</fb>
    <v>20</v>
  </rv>
  <rv s="10">
    <fb>554.5</fb>
    <v>20</v>
  </rv>
  <rv s="10">
    <fb>560.35</fb>
    <v>20</v>
  </rv>
  <rv s="10">
    <fb>555.65</fb>
    <v>20</v>
  </rv>
  <rv s="10">
    <fb>566.85</fb>
    <v>20</v>
  </rv>
  <rv s="10">
    <fb>590.9</fb>
    <v>20</v>
  </rv>
  <rv s="10">
    <fb>611.35</fb>
    <v>20</v>
  </rv>
  <rv s="10">
    <fb>586.79999999999995</fb>
    <v>20</v>
  </rv>
  <rv s="10">
    <fb>589</fb>
    <v>20</v>
  </rv>
  <rv s="10">
    <fb>585.95000000000005</fb>
    <v>20</v>
  </rv>
  <rv s="10">
    <fb>590.35</fb>
    <v>20</v>
  </rv>
  <rv s="10">
    <fb>579.95000000000005</fb>
    <v>20</v>
  </rv>
  <rv s="10">
    <fb>579.4</fb>
    <v>20</v>
  </rv>
  <rv s="10">
    <fb>595.6</fb>
    <v>20</v>
  </rv>
  <rv s="10">
    <fb>592.25</fb>
    <v>20</v>
  </rv>
  <rv s="10">
    <fb>583.25</fb>
    <v>20</v>
  </rv>
  <rv s="10">
    <fb>578.9</fb>
    <v>20</v>
  </rv>
  <rv s="10">
    <fb>583.65</fb>
    <v>20</v>
  </rv>
  <rv s="10">
    <fb>605.29999999999995</fb>
    <v>20</v>
  </rv>
  <rv s="10">
    <fb>571.6</fb>
    <v>20</v>
  </rv>
  <rv s="10">
    <fb>587</fb>
    <v>20</v>
  </rv>
  <rv s="10">
    <fb>599.25</fb>
    <v>20</v>
  </rv>
  <rv s="10">
    <fb>598.9</fb>
    <v>20</v>
  </rv>
  <rv s="10">
    <fb>603.20000000000005</fb>
    <v>20</v>
  </rv>
  <rv s="10">
    <fb>590.95000000000005</fb>
    <v>20</v>
  </rv>
  <rv s="10">
    <fb>580.04999999999995</fb>
    <v>20</v>
  </rv>
  <rv s="10">
    <fb>569.4</fb>
    <v>20</v>
  </rv>
  <rv s="10">
    <fb>577.29999999999995</fb>
    <v>20</v>
  </rv>
  <rv s="10">
    <fb>590.4</fb>
    <v>20</v>
  </rv>
  <rv s="10">
    <fb>585.20000000000005</fb>
    <v>20</v>
  </rv>
  <rv s="10">
    <fb>573</fb>
    <v>20</v>
  </rv>
  <rv s="10">
    <fb>572.54999999999995</fb>
    <v>20</v>
  </rv>
  <rv s="10">
    <fb>569.1</fb>
    <v>20</v>
  </rv>
  <rv s="10">
    <fb>555.1</fb>
    <v>20</v>
  </rv>
  <rv s="10">
    <fb>554.25</fb>
    <v>20</v>
  </rv>
  <rv s="10">
    <fb>559.65</fb>
    <v>20</v>
  </rv>
  <rv s="10">
    <fb>560.6</fb>
    <v>20</v>
  </rv>
  <rv s="10">
    <fb>560.1</fb>
    <v>20</v>
  </rv>
  <rv s="10">
    <fb>559.45000000000005</fb>
    <v>20</v>
  </rv>
  <rv s="10">
    <fb>549.4</fb>
    <v>20</v>
  </rv>
  <rv s="10">
    <fb>512.75</fb>
    <v>20</v>
  </rv>
  <rv s="10">
    <fb>546.15</fb>
    <v>20</v>
  </rv>
  <rv s="10">
    <fb>551.20000000000005</fb>
    <v>20</v>
  </rv>
  <rv s="10">
    <fb>546.54999999999995</fb>
    <v>20</v>
  </rv>
  <rv s="10">
    <fb>541.5</fb>
    <v>20</v>
  </rv>
  <rv s="10">
    <fb>542.54999999999995</fb>
    <v>20</v>
  </rv>
  <rv s="10">
    <fb>541.45000000000005</fb>
    <v>20</v>
  </rv>
  <rv s="10">
    <fb>548.45000000000005</fb>
    <v>20</v>
  </rv>
  <rv s="10">
    <fb>563.95000000000005</fb>
    <v>20</v>
  </rv>
  <rv s="10">
    <fb>562.6</fb>
    <v>20</v>
  </rv>
  <rv s="10">
    <fb>571</fb>
    <v>20</v>
  </rv>
  <rv s="10">
    <fb>559.95000000000005</fb>
    <v>20</v>
  </rv>
  <rv s="10">
    <fb>588.25</fb>
    <v>20</v>
  </rv>
  <rv s="10">
    <fb>579.20000000000005</fb>
    <v>20</v>
  </rv>
  <rv s="10">
    <fb>579.25</fb>
    <v>20</v>
  </rv>
  <rv s="10">
    <fb>585.5</fb>
    <v>20</v>
  </rv>
  <rv s="10">
    <fb>578.15</fb>
    <v>20</v>
  </rv>
  <rv s="10">
    <fb>575.75</fb>
    <v>20</v>
  </rv>
  <rv s="10">
    <fb>568.15</fb>
    <v>20</v>
  </rv>
  <rv s="10">
    <fb>558.25</fb>
    <v>20</v>
  </rv>
  <rv s="10">
    <fb>554.79999999999995</fb>
    <v>20</v>
  </rv>
  <rv s="10">
    <fb>558</fb>
    <v>20</v>
  </rv>
  <rv s="10">
    <fb>562.15</fb>
    <v>20</v>
  </rv>
  <rv s="10">
    <fb>578.75</fb>
    <v>20</v>
  </rv>
  <rv s="10">
    <fb>572.35</fb>
    <v>20</v>
  </rv>
  <rv s="10">
    <fb>577.25</fb>
    <v>20</v>
  </rv>
  <rv s="10">
    <fb>571.79999999999995</fb>
    <v>20</v>
  </rv>
  <rv s="10">
    <fb>570</fb>
    <v>20</v>
  </rv>
  <rv s="10">
    <fb>555.95000000000005</fb>
    <v>20</v>
  </rv>
  <rv s="10">
    <fb>558.1</fb>
    <v>20</v>
  </rv>
  <rv s="10">
    <fb>552.79999999999995</fb>
    <v>20</v>
  </rv>
  <rv s="10">
    <fb>562.70000000000005</fb>
    <v>20</v>
  </rv>
  <rv s="10">
    <fb>538</fb>
    <v>20</v>
  </rv>
  <rv s="10">
    <fb>571.4</fb>
    <v>20</v>
  </rv>
  <rv s="10">
    <fb>578.85</fb>
    <v>20</v>
  </rv>
  <rv s="10">
    <fb>631.79999999999995</fb>
    <v>20</v>
  </rv>
  <rv s="10">
    <fb>644.5</fb>
    <v>20</v>
  </rv>
  <rv s="10">
    <fb>645.65</fb>
    <v>20</v>
  </rv>
  <rv s="10">
    <fb>641.70000000000005</fb>
    <v>20</v>
  </rv>
  <rv s="10">
    <fb>638.04999999999995</fb>
    <v>20</v>
  </rv>
  <rv s="10">
    <fb>648.5</fb>
    <v>20</v>
  </rv>
  <rv s="10">
    <fb>647.1</fb>
    <v>20</v>
  </rv>
  <rv s="10">
    <fb>638.1</fb>
    <v>20</v>
  </rv>
  <rv s="10">
    <fb>637.54999999999995</fb>
    <v>20</v>
  </rv>
  <rv s="10">
    <fb>614.70000000000005</fb>
    <v>20</v>
  </rv>
  <rv s="10">
    <fb>606.70000000000005</fb>
    <v>20</v>
  </rv>
  <rv s="10">
    <fb>605.35</fb>
    <v>20</v>
  </rv>
  <rv s="10">
    <fb>599.5</fb>
    <v>20</v>
  </rv>
  <rv s="10">
    <fb>589.65</fb>
    <v>20</v>
  </rv>
  <rv s="10">
    <fb>577.1</fb>
    <v>20</v>
  </rv>
  <rv s="10">
    <fb>576.95000000000005</fb>
    <v>20</v>
  </rv>
  <rv s="10">
    <fb>584.95000000000005</fb>
    <v>20</v>
  </rv>
  <rv s="10">
    <fb>587.04999999999995</fb>
    <v>20</v>
  </rv>
  <rv s="10">
    <fb>585.70000000000005</fb>
    <v>20</v>
  </rv>
  <rv s="10">
    <fb>585.4</fb>
    <v>20</v>
  </rv>
  <rv s="10">
    <fb>596.9</fb>
    <v>20</v>
  </rv>
  <rv s="10">
    <fb>618.20000000000005</fb>
    <v>20</v>
  </rv>
  <rv s="10">
    <fb>629.25</fb>
    <v>20</v>
  </rv>
  <rv s="10">
    <fb>630.35</fb>
    <v>20</v>
  </rv>
  <rv s="10">
    <fb>639.5</fb>
    <v>20</v>
  </rv>
  <rv s="10">
    <fb>631.29999999999995</fb>
    <v>20</v>
  </rv>
  <rv s="10">
    <fb>627.4</fb>
    <v>20</v>
  </rv>
  <rv s="10">
    <fb>607.54999999999995</fb>
    <v>20</v>
  </rv>
  <rv s="10">
    <fb>619.35</fb>
    <v>20</v>
  </rv>
  <rv s="10">
    <fb>593.95000000000005</fb>
    <v>20</v>
  </rv>
  <rv s="10">
    <fb>606.29999999999995</fb>
    <v>20</v>
  </rv>
  <rv s="10">
    <fb>613.20000000000005</fb>
    <v>20</v>
  </rv>
  <rv s="10">
    <fb>613.9</fb>
    <v>20</v>
  </rv>
  <rv s="10">
    <fb>614.79999999999995</fb>
    <v>20</v>
  </rv>
  <rv s="10">
    <fb>639.85</fb>
    <v>20</v>
  </rv>
  <rv s="10">
    <fb>612.29999999999995</fb>
    <v>20</v>
  </rv>
  <rv s="10">
    <fb>612.95000000000005</fb>
    <v>20</v>
  </rv>
  <rv s="10">
    <fb>649.25</fb>
    <v>20</v>
  </rv>
  <rv s="10">
    <fb>664.1</fb>
    <v>20</v>
  </rv>
  <rv s="10">
    <fb>688.1</fb>
    <v>20</v>
  </rv>
  <rv s="10">
    <fb>660.8</fb>
    <v>20</v>
  </rv>
  <rv s="10">
    <fb>671.35</fb>
    <v>20</v>
  </rv>
  <rv s="10">
    <fb>694.2</fb>
    <v>20</v>
  </rv>
  <rv s="10">
    <fb>672.95</fb>
    <v>20</v>
  </rv>
  <rv s="10">
    <fb>680.2</fb>
    <v>20</v>
  </rv>
  <rv s="10">
    <fb>681.3</fb>
    <v>20</v>
  </rv>
  <rv s="10">
    <fb>684.35</fb>
    <v>20</v>
  </rv>
  <rv s="10">
    <fb>701.35</fb>
    <v>20</v>
  </rv>
  <rv s="10">
    <fb>686.95</fb>
    <v>20</v>
  </rv>
  <rv s="10">
    <fb>642.5</fb>
    <v>20</v>
  </rv>
  <rv s="10">
    <fb>638.9</fb>
    <v>20</v>
  </rv>
  <rv s="10">
    <fb>641.6</fb>
    <v>20</v>
  </rv>
  <rv s="10">
    <fb>663.05</fb>
    <v>20</v>
  </rv>
  <rv s="10">
    <fb>637.85</fb>
    <v>20</v>
  </rv>
  <rv s="10">
    <fb>678.9</fb>
    <v>20</v>
  </rv>
  <rv s="10">
    <fb>691.45</fb>
    <v>20</v>
  </rv>
  <rv s="10">
    <fb>699.6</fb>
    <v>20</v>
  </rv>
  <rv s="10">
    <fb>681.45</fb>
    <v>20</v>
  </rv>
  <rv s="10">
    <fb>705.95</fb>
    <v>20</v>
  </rv>
  <rv s="10">
    <fb>684.2</fb>
    <v>20</v>
  </rv>
  <rv s="10">
    <fb>678.2</fb>
    <v>20</v>
  </rv>
  <rv s="10">
    <fb>670.5</fb>
    <v>20</v>
  </rv>
  <rv s="10">
    <fb>663.15</fb>
    <v>20</v>
  </rv>
  <rv s="10">
    <fb>662.6</fb>
    <v>20</v>
  </rv>
  <rv s="10">
    <fb>645.79999999999995</fb>
    <v>20</v>
  </rv>
  <rv s="10">
    <fb>680</fb>
    <v>20</v>
  </rv>
  <rv s="10">
    <fb>665.95</fb>
    <v>20</v>
  </rv>
  <rv s="10">
    <fb>677.4</fb>
    <v>20</v>
  </rv>
  <rv s="10">
    <fb>677.5</fb>
    <v>20</v>
  </rv>
  <rv s="10">
    <fb>681.25</fb>
    <v>20</v>
  </rv>
  <rv s="10">
    <fb>661.2</fb>
    <v>20</v>
  </rv>
  <rv s="10">
    <fb>665.1</fb>
    <v>20</v>
  </rv>
  <rv s="10">
    <fb>666.8</fb>
    <v>20</v>
  </rv>
  <rv s="10">
    <fb>667.4</fb>
    <v>20</v>
  </rv>
  <rv s="10">
    <fb>647.70000000000005</fb>
    <v>20</v>
  </rv>
  <rv s="10">
    <fb>636.85</fb>
    <v>20</v>
  </rv>
  <rv s="10">
    <fb>32.35</fb>
    <v>20</v>
  </rv>
  <rv s="10">
    <fb>32.450000000000003</fb>
    <v>20</v>
  </rv>
  <rv s="10">
    <fb>33.15</fb>
    <v>20</v>
  </rv>
  <rv s="10">
    <fb>32.75</fb>
    <v>20</v>
  </rv>
  <rv s="10">
    <fb>33.1</fb>
    <v>20</v>
  </rv>
  <rv s="10">
    <fb>32.6</fb>
    <v>20</v>
  </rv>
  <rv s="10">
    <fb>32.25</fb>
    <v>20</v>
  </rv>
  <rv s="10">
    <fb>32.700000000000003</fb>
    <v>20</v>
  </rv>
  <rv s="10">
    <fb>28.2</fb>
    <v>20</v>
  </rv>
  <rv s="10">
    <fb>27.55</fb>
    <v>20</v>
  </rv>
  <rv s="10">
    <fb>27.8</fb>
    <v>20</v>
  </rv>
  <rv s="10">
    <fb>27.25</fb>
    <v>20</v>
  </rv>
  <rv s="10">
    <fb>27.75</fb>
    <v>20</v>
  </rv>
  <rv s="10">
    <fb>27.5</fb>
    <v>20</v>
  </rv>
  <rv s="10">
    <fb>27</fb>
    <v>20</v>
  </rv>
  <rv s="10">
    <fb>27.15</fb>
    <v>20</v>
  </rv>
  <rv s="10">
    <fb>27.1</fb>
    <v>20</v>
  </rv>
  <rv s="10">
    <fb>27.35</fb>
    <v>20</v>
  </rv>
  <rv s="10">
    <fb>28.6</fb>
    <v>20</v>
  </rv>
  <rv s="10">
    <fb>28.1</fb>
    <v>20</v>
  </rv>
  <rv s="10">
    <fb>28.3</fb>
    <v>20</v>
  </rv>
  <rv s="10">
    <fb>28.25</fb>
    <v>20</v>
  </rv>
  <rv s="10">
    <fb>28.15</fb>
    <v>20</v>
  </rv>
  <rv s="10">
    <fb>28.05</fb>
    <v>20</v>
  </rv>
  <rv s="10">
    <fb>28.35</fb>
    <v>20</v>
  </rv>
  <rv s="10">
    <fb>30.15</fb>
    <v>20</v>
  </rv>
  <rv s="10">
    <fb>29.35</fb>
    <v>20</v>
  </rv>
  <rv s="10">
    <fb>28.65</fb>
    <v>20</v>
  </rv>
  <rv s="10">
    <fb>28.55</fb>
    <v>20</v>
  </rv>
  <rv s="10">
    <fb>29.4</fb>
    <v>20</v>
  </rv>
  <rv s="10">
    <fb>29.05</fb>
    <v>20</v>
  </rv>
  <rv s="10">
    <fb>28.85</fb>
    <v>20</v>
  </rv>
  <rv s="10">
    <fb>29.5</fb>
    <v>20</v>
  </rv>
  <rv s="10">
    <fb>29.2</fb>
    <v>20</v>
  </rv>
  <rv s="10">
    <fb>29</fb>
    <v>20</v>
  </rv>
  <rv s="10">
    <fb>28.9</fb>
    <v>20</v>
  </rv>
  <rv s="10">
    <fb>28.5</fb>
    <v>20</v>
  </rv>
  <rv s="10">
    <fb>33.9</fb>
    <v>20</v>
  </rv>
  <rv s="10">
    <fb>35.65</fb>
    <v>20</v>
  </rv>
  <rv s="10">
    <fb>33.75</fb>
    <v>20</v>
  </rv>
  <rv s="10">
    <fb>34.049999999999997</fb>
    <v>20</v>
  </rv>
  <rv s="10">
    <fb>32.200000000000003</fb>
    <v>20</v>
  </rv>
  <rv s="10">
    <fb>31.45</fb>
    <v>20</v>
  </rv>
  <rv s="10">
    <fb>33.950000000000003</fb>
    <v>20</v>
  </rv>
  <rv s="10">
    <fb>33.25</fb>
    <v>20</v>
  </rv>
  <rv s="10">
    <fb>32.65</fb>
    <v>20</v>
  </rv>
  <rv s="10">
    <fb>32.4</fb>
    <v>20</v>
  </rv>
  <rv s="10">
    <fb>32.549999999999997</fb>
    <v>20</v>
  </rv>
  <rv s="10">
    <fb>33.799999999999997</fb>
    <v>20</v>
  </rv>
  <rv s="10">
    <fb>33.4</fb>
    <v>20</v>
  </rv>
  <rv s="10">
    <fb>32.9</fb>
    <v>20</v>
  </rv>
  <rv s="10">
    <fb>32.799999999999997</fb>
    <v>20</v>
  </rv>
  <rv s="10">
    <fb>33.65</fb>
    <v>20</v>
  </rv>
  <rv s="10">
    <fb>33.299999999999997</fb>
    <v>20</v>
  </rv>
  <rv s="10">
    <fb>35.4</fb>
    <v>20</v>
  </rv>
  <rv s="10">
    <fb>34.299999999999997</fb>
    <v>20</v>
  </rv>
  <rv s="10">
    <fb>34.15</fb>
    <v>20</v>
  </rv>
  <rv s="10">
    <fb>35.6</fb>
    <v>20</v>
  </rv>
  <rv s="10">
    <fb>35.950000000000003</fb>
    <v>20</v>
  </rv>
  <rv s="10">
    <fb>36.15</fb>
    <v>20</v>
  </rv>
  <rv s="10">
    <fb>35.75</fb>
    <v>20</v>
  </rv>
  <rv s="10">
    <fb>36.4</fb>
    <v>20</v>
  </rv>
  <rv s="10">
    <fb>36.9</fb>
    <v>20</v>
  </rv>
  <rv s="10">
    <fb>37.15</fb>
    <v>20</v>
  </rv>
  <rv s="10">
    <fb>35.85</fb>
    <v>20</v>
  </rv>
  <rv s="10">
    <fb>37.299999999999997</fb>
    <v>20</v>
  </rv>
  <rv s="10">
    <fb>33.85</fb>
    <v>20</v>
  </rv>
  <rv s="10">
    <fb>34.65</fb>
    <v>20</v>
  </rv>
  <rv s="10">
    <fb>34</fb>
    <v>20</v>
  </rv>
  <rv s="10">
    <fb>33.450000000000003</fb>
    <v>20</v>
  </rv>
  <rv s="10">
    <fb>33.049999999999997</fb>
    <v>20</v>
  </rv>
  <rv s="10">
    <fb>33</fb>
    <v>20</v>
  </rv>
  <rv s="10">
    <fb>32.85</fb>
    <v>20</v>
  </rv>
  <rv s="10">
    <fb>32.299999999999997</fb>
    <v>20</v>
  </rv>
  <rv s="10">
    <fb>32</fb>
    <v>20</v>
  </rv>
  <rv s="10">
    <fb>31.8</fb>
    <v>20</v>
  </rv>
  <rv s="10">
    <fb>32.049999999999997</fb>
    <v>20</v>
  </rv>
  <rv s="10">
    <fb>31.75</fb>
    <v>20</v>
  </rv>
  <rv s="10">
    <fb>30.35</fb>
    <v>20</v>
  </rv>
  <rv s="10">
    <fb>30.85</fb>
    <v>20</v>
  </rv>
  <rv s="10">
    <fb>31</fb>
    <v>20</v>
  </rv>
  <rv s="10">
    <fb>31.15</fb>
    <v>20</v>
  </rv>
  <rv s="10">
    <fb>31.3</fb>
    <v>20</v>
  </rv>
  <rv s="10">
    <fb>33.5</fb>
    <v>20</v>
  </rv>
  <rv s="10">
    <fb>29.55</fb>
    <v>20</v>
  </rv>
  <rv s="10">
    <fb>29.15</fb>
    <v>20</v>
  </rv>
  <rv s="10">
    <fb>29.9</fb>
    <v>20</v>
  </rv>
  <rv s="10">
    <fb>29.85</fb>
    <v>20</v>
  </rv>
  <rv s="10">
    <fb>30.55</fb>
    <v>20</v>
  </rv>
  <rv s="10">
    <fb>30.5</fb>
    <v>20</v>
  </rv>
  <rv s="10">
    <fb>31.5</fb>
    <v>20</v>
  </rv>
  <rv s="10">
    <fb>30.9</fb>
    <v>20</v>
  </rv>
  <rv s="10">
    <fb>30.65</fb>
    <v>20</v>
  </rv>
  <rv s="10">
    <fb>31.55</fb>
    <v>20</v>
  </rv>
  <rv s="10">
    <fb>32.5</fb>
    <v>20</v>
  </rv>
  <rv s="10">
    <fb>31.7</fb>
    <v>20</v>
  </rv>
  <rv s="10">
    <fb>31.85</fb>
    <v>20</v>
  </rv>
  <rv s="10">
    <fb>31.2</fb>
    <v>20</v>
  </rv>
  <rv s="10">
    <fb>34.1</fb>
    <v>20</v>
  </rv>
  <rv s="10">
    <fb>34.200000000000003</fb>
    <v>20</v>
  </rv>
  <rv s="10">
    <fb>35.700000000000003</fb>
    <v>20</v>
  </rv>
  <rv s="10">
    <fb>36.75</fb>
    <v>20</v>
  </rv>
  <rv s="10">
    <fb>34.9</fb>
    <v>20</v>
  </rv>
  <rv s="10">
    <fb>37.9</fb>
    <v>20</v>
  </rv>
  <rv s="10">
    <fb>36.85</fb>
    <v>20</v>
  </rv>
  <rv s="10">
    <fb>34.75</fb>
    <v>20</v>
  </rv>
  <rv s="10">
    <fb>35.5</fb>
    <v>20</v>
  </rv>
  <rv s="10">
    <fb>36.700000000000003</fb>
    <v>20</v>
  </rv>
  <rv s="10">
    <fb>35.35</fb>
    <v>20</v>
  </rv>
  <rv s="10">
    <fb>34.450000000000003</fb>
    <v>20</v>
  </rv>
  <rv s="10">
    <fb>39.049999999999997</fb>
    <v>20</v>
  </rv>
  <rv s="10">
    <fb>41.4</fb>
    <v>20</v>
  </rv>
  <rv s="10">
    <fb>41.25</fb>
    <v>20</v>
  </rv>
  <rv s="10">
    <fb>42.1</fb>
    <v>20</v>
  </rv>
  <rv s="10">
    <fb>41.2</fb>
    <v>20</v>
  </rv>
  <rv s="10">
    <fb>39.799999999999997</fb>
    <v>20</v>
  </rv>
  <rv s="10">
    <fb>37.549999999999997</fb>
    <v>20</v>
  </rv>
  <rv s="10">
    <fb>37.049999999999997</fb>
    <v>20</v>
  </rv>
  <rv s="10">
    <fb>36.25</fb>
    <v>20</v>
  </rv>
  <rv s="10">
    <fb>37.950000000000003</fb>
    <v>20</v>
  </rv>
  <rv s="10">
    <fb>35</fb>
    <v>20</v>
  </rv>
  <rv s="10">
    <fb>35.25</fb>
    <v>20</v>
  </rv>
  <rv s="10">
    <fb>36.950000000000003</fb>
    <v>20</v>
  </rv>
  <rv s="10">
    <fb>37</fb>
    <v>20</v>
  </rv>
  <rv s="10">
    <fb>41.85</fb>
    <v>20</v>
  </rv>
  <rv s="10">
    <fb>41.45</fb>
    <v>20</v>
  </rv>
  <rv s="10">
    <fb>44.8</fb>
    <v>20</v>
  </rv>
  <rv s="10">
    <fb>41.6</fb>
    <v>20</v>
  </rv>
  <rv s="10">
    <fb>40.450000000000003</fb>
    <v>20</v>
  </rv>
  <rv s="10">
    <fb>37.85</fb>
    <v>20</v>
  </rv>
  <rv s="10">
    <fb>38.9</fb>
    <v>20</v>
  </rv>
  <rv s="10">
    <fb>38.85</fb>
    <v>20</v>
  </rv>
  <rv s="10">
    <fb>40.15</fb>
    <v>20</v>
  </rv>
  <rv s="10">
    <fb>39.700000000000003</fb>
    <v>20</v>
  </rv>
  <rv s="10">
    <fb>40.200000000000003</fb>
    <v>20</v>
  </rv>
  <rv s="10">
    <fb>38.700000000000003</fb>
    <v>20</v>
  </rv>
  <rv s="10">
    <fb>39.299999999999997</fb>
    <v>20</v>
  </rv>
  <rv s="10">
    <fb>37.799999999999997</fb>
    <v>20</v>
  </rv>
  <rv s="10">
    <fb>35.799999999999997</fb>
    <v>20</v>
  </rv>
  <rv s="10">
    <fb>36.299999999999997</fb>
    <v>20</v>
  </rv>
  <rv s="10">
    <fb>36.65</fb>
    <v>20</v>
  </rv>
  <rv s="10">
    <fb>35.049999999999997</fb>
    <v>20</v>
  </rv>
  <rv s="10">
    <fb>30.95</fb>
    <v>20</v>
  </rv>
  <rv s="10">
    <fb>29.75</fb>
    <v>20</v>
  </rv>
  <rv s="10">
    <fb>30.3</fb>
    <v>20</v>
  </rv>
  <rv s="10">
    <fb>30.6</fb>
    <v>20</v>
  </rv>
  <rv s="10">
    <fb>30.8</fb>
    <v>20</v>
  </rv>
  <rv s="10">
    <fb>29.3</fb>
    <v>20</v>
  </rv>
  <rv s="10">
    <fb>30.05</fb>
    <v>20</v>
  </rv>
  <rv s="10">
    <fb>32.950000000000003</fb>
    <v>20</v>
  </rv>
  <rv s="10">
    <fb>33.35</fb>
    <v>20</v>
  </rv>
  <rv s="10">
    <fb>31.95</fb>
    <v>20</v>
  </rv>
  <rv s="10">
    <fb>30</fb>
    <v>20</v>
  </rv>
  <rv s="10">
    <fb>29.8</fb>
    <v>20</v>
  </rv>
  <rv s="10">
    <fb>29.95</fb>
    <v>20</v>
  </rv>
  <rv s="10">
    <fb>30.1</fb>
    <v>20</v>
  </rv>
  <rv s="10">
    <fb>32.1</fb>
    <v>20</v>
  </rv>
  <rv s="10">
    <fb>684.5</fb>
    <v>20</v>
  </rv>
  <rv s="10">
    <fb>677.9</fb>
    <v>20</v>
  </rv>
  <rv s="10">
    <fb>678.4</fb>
    <v>20</v>
  </rv>
  <rv s="10">
    <fb>673.5</fb>
    <v>20</v>
  </rv>
  <rv s="10">
    <fb>678.45</fb>
    <v>20</v>
  </rv>
  <rv s="10">
    <fb>681.5</fb>
    <v>20</v>
  </rv>
  <rv s="10">
    <fb>676.05</fb>
    <v>20</v>
  </rv>
  <rv s="10">
    <fb>672.6</fb>
    <v>20</v>
  </rv>
  <rv s="10">
    <fb>666.85</fb>
    <v>20</v>
  </rv>
  <rv s="10">
    <fb>673.8</fb>
    <v>20</v>
  </rv>
  <rv s="10">
    <fb>669.3</fb>
    <v>20</v>
  </rv>
  <rv s="10">
    <fb>748.3</fb>
    <v>20</v>
  </rv>
  <rv s="10">
    <fb>733.4</fb>
    <v>20</v>
  </rv>
  <rv s="10">
    <fb>738.15</fb>
    <v>20</v>
  </rv>
  <rv s="10">
    <fb>738.55</fb>
    <v>20</v>
  </rv>
  <rv s="10">
    <fb>728.45</fb>
    <v>20</v>
  </rv>
  <rv s="10">
    <fb>728.85</fb>
    <v>20</v>
  </rv>
  <rv s="10">
    <fb>727.95</fb>
    <v>20</v>
  </rv>
  <rv s="10">
    <fb>763.4</fb>
    <v>20</v>
  </rv>
  <rv s="10">
    <fb>788.4</fb>
    <v>20</v>
  </rv>
  <rv s="10">
    <fb>777.9</fb>
    <v>20</v>
  </rv>
  <rv s="10">
    <fb>774.9</fb>
    <v>20</v>
  </rv>
  <rv s="10">
    <fb>782.2</fb>
    <v>20</v>
  </rv>
  <rv s="10">
    <fb>805.4</fb>
    <v>20</v>
  </rv>
  <rv s="10">
    <fb>838.8</fb>
    <v>20</v>
  </rv>
  <rv s="10">
    <fb>836.55</fb>
    <v>20</v>
  </rv>
  <rv s="10">
    <fb>963.45</fb>
    <v>20</v>
  </rv>
  <rv s="10">
    <fb>999.05</fb>
    <v>20</v>
  </rv>
  <rv s="10">
    <fb>1008</fb>
    <v>20</v>
  </rv>
  <rv s="10">
    <fb>991.15</fb>
    <v>20</v>
  </rv>
  <rv s="10">
    <fb>1029.25</fb>
    <v>20</v>
  </rv>
  <rv s="10">
    <fb>1049.3</fb>
    <v>20</v>
  </rv>
  <rv s="10">
    <fb>1052.2</fb>
    <v>20</v>
  </rv>
  <rv s="10">
    <fb>1018</fb>
    <v>20</v>
  </rv>
  <rv s="10">
    <fb>1000.6</fb>
    <v>20</v>
  </rv>
  <rv s="10">
    <fb>1006.75</fb>
    <v>20</v>
  </rv>
  <rv s="10">
    <fb>1001.85</fb>
    <v>20</v>
  </rv>
  <rv s="10">
    <fb>1029.4000000000001</fb>
    <v>20</v>
  </rv>
  <rv s="10">
    <fb>1022.85</fb>
    <v>20</v>
  </rv>
  <rv s="10">
    <fb>1019.05</fb>
    <v>20</v>
  </rv>
  <rv s="10">
    <fb>1040.55</fb>
    <v>20</v>
  </rv>
  <rv s="10">
    <fb>1054.0999999999999</fb>
    <v>20</v>
  </rv>
  <rv s="10">
    <fb>1024.8</fb>
    <v>20</v>
  </rv>
  <rv s="10">
    <fb>1009.05</fb>
    <v>20</v>
  </rv>
  <rv s="10">
    <fb>1074.0999999999999</fb>
    <v>20</v>
  </rv>
  <rv s="10">
    <fb>1116.6500000000001</fb>
    <v>20</v>
  </rv>
  <rv s="10">
    <fb>1111.3499999999999</fb>
    <v>20</v>
  </rv>
  <rv s="10">
    <fb>1106.7</fb>
    <v>20</v>
  </rv>
  <rv s="10">
    <fb>1266.0999999999999</fb>
    <v>20</v>
  </rv>
  <rv s="10">
    <fb>1274.55</fb>
    <v>20</v>
  </rv>
  <rv s="10">
    <fb>1250.5</fb>
    <v>20</v>
  </rv>
  <rv s="10">
    <fb>1239.4000000000001</fb>
    <v>20</v>
  </rv>
  <rv s="10">
    <fb>1214.5999999999999</fb>
    <v>20</v>
  </rv>
  <rv s="10">
    <fb>1221.5</fb>
    <v>20</v>
  </rv>
  <rv s="10">
    <fb>1193.0999999999999</fb>
    <v>20</v>
  </rv>
  <rv s="10">
    <fb>1159.4000000000001</fb>
    <v>20</v>
  </rv>
  <rv s="10">
    <fb>1174.3499999999999</fb>
    <v>20</v>
  </rv>
  <rv s="10">
    <fb>1161.1500000000001</fb>
    <v>20</v>
  </rv>
  <rv s="10">
    <fb>1130.5999999999999</fb>
    <v>20</v>
  </rv>
  <rv s="10">
    <fb>1172.95</fb>
    <v>20</v>
  </rv>
  <rv s="10">
    <fb>1187.6500000000001</fb>
    <v>20</v>
  </rv>
  <rv s="10">
    <fb>1163.75</fb>
    <v>20</v>
  </rv>
  <rv s="10">
    <fb>1112.45</fb>
    <v>20</v>
  </rv>
  <rv s="10">
    <fb>1099.4000000000001</fb>
    <v>20</v>
  </rv>
  <rv s="10">
    <fb>1135.6500000000001</fb>
    <v>20</v>
  </rv>
  <rv s="10">
    <fb>1097.3</fb>
    <v>20</v>
  </rv>
  <rv s="10">
    <fb>1098.25</fb>
    <v>20</v>
  </rv>
  <rv s="10">
    <fb>1034.95</fb>
    <v>20</v>
  </rv>
  <rv s="10">
    <fb>1033.75</fb>
    <v>20</v>
  </rv>
  <rv s="10">
    <fb>1032.3499999999999</fb>
    <v>20</v>
  </rv>
  <rv s="10">
    <fb>990.6</fb>
    <v>20</v>
  </rv>
  <rv s="10">
    <fb>997.25</fb>
    <v>20</v>
  </rv>
  <rv s="10">
    <fb>964</fb>
    <v>20</v>
  </rv>
  <rv s="10">
    <fb>984.9</fb>
    <v>20</v>
  </rv>
  <rv s="10">
    <fb>969.3</fb>
    <v>20</v>
  </rv>
  <rv s="10">
    <fb>975.75</fb>
    <v>20</v>
  </rv>
  <rv s="10">
    <fb>967.25</fb>
    <v>20</v>
  </rv>
  <rv s="10">
    <fb>959.65</fb>
    <v>20</v>
  </rv>
  <rv s="10">
    <fb>1020.55</fb>
    <v>20</v>
  </rv>
  <rv s="10">
    <fb>1032.4000000000001</fb>
    <v>20</v>
  </rv>
  <rv s="10">
    <fb>1057</fb>
    <v>20</v>
  </rv>
  <rv s="10">
    <fb>1040.3499999999999</fb>
    <v>20</v>
  </rv>
  <rv s="10">
    <fb>1026.75</fb>
    <v>20</v>
  </rv>
  <rv s="10">
    <fb>998.5</fb>
    <v>20</v>
  </rv>
  <rv s="10">
    <fb>1022.15</fb>
    <v>20</v>
  </rv>
  <rv s="10">
    <fb>1063.0999999999999</fb>
    <v>20</v>
  </rv>
  <rv s="10">
    <fb>1041.5999999999999</fb>
    <v>20</v>
  </rv>
  <rv s="10">
    <fb>1030.2</fb>
    <v>20</v>
  </rv>
  <rv s="10">
    <fb>1032.5999999999999</fb>
    <v>20</v>
  </rv>
  <rv s="10">
    <fb>1031.3</fb>
    <v>20</v>
  </rv>
  <rv s="10">
    <fb>1027.3499999999999</fb>
    <v>20</v>
  </rv>
  <rv s="10">
    <fb>1043.25</fb>
    <v>20</v>
  </rv>
  <rv s="10">
    <fb>1055.3</fb>
    <v>20</v>
  </rv>
  <rv s="10">
    <fb>1037.5999999999999</fb>
    <v>20</v>
  </rv>
  <rv s="10">
    <fb>1046.5999999999999</fb>
    <v>20</v>
  </rv>
  <rv s="10">
    <fb>1030.45</fb>
    <v>20</v>
  </rv>
  <rv s="10">
    <fb>1036.8</fb>
    <v>20</v>
  </rv>
  <rv s="10">
    <fb>1021.3</fb>
    <v>20</v>
  </rv>
  <rv s="10">
    <fb>1021.4</fb>
    <v>20</v>
  </rv>
  <rv s="10">
    <fb>1030.95</fb>
    <v>20</v>
  </rv>
  <rv s="10">
    <fb>1104.0999999999999</fb>
    <v>20</v>
  </rv>
  <rv s="10">
    <fb>1113.0999999999999</fb>
    <v>20</v>
  </rv>
  <rv s="10">
    <fb>1087.75</fb>
    <v>20</v>
  </rv>
  <rv s="10">
    <fb>1067.7</fb>
    <v>20</v>
  </rv>
  <rv s="10">
    <fb>1066.8499999999999</fb>
    <v>20</v>
  </rv>
  <rv s="10">
    <fb>1023.7</fb>
    <v>20</v>
  </rv>
  <rv s="10">
    <fb>1024.25</fb>
    <v>20</v>
  </rv>
  <rv s="10">
    <fb>1065.3</fb>
    <v>20</v>
  </rv>
  <rv s="10">
    <fb>965.45</fb>
    <v>20</v>
  </rv>
  <rv s="10">
    <fb>979.55</fb>
    <v>20</v>
  </rv>
  <rv s="10">
    <fb>961.85</fb>
    <v>20</v>
  </rv>
  <rv s="10">
    <fb>952.5</fb>
    <v>20</v>
  </rv>
  <rv s="10">
    <fb>942.7</fb>
    <v>20</v>
  </rv>
  <rv s="10">
    <fb>942.45</fb>
    <v>20</v>
  </rv>
  <rv s="10">
    <fb>935.75</fb>
    <v>20</v>
  </rv>
  <rv s="10">
    <fb>934.65</fb>
    <v>20</v>
  </rv>
  <rv s="10">
    <fb>949.35</fb>
    <v>20</v>
  </rv>
  <rv s="10">
    <fb>957.35</fb>
    <v>20</v>
  </rv>
  <rv s="10">
    <fb>960.55</fb>
    <v>20</v>
  </rv>
  <rv s="10">
    <fb>946.4</fb>
    <v>20</v>
  </rv>
  <rv s="10">
    <fb>950.95</fb>
    <v>20</v>
  </rv>
  <rv s="10">
    <fb>931.45</fb>
    <v>20</v>
  </rv>
  <rv s="10">
    <fb>929.75</fb>
    <v>20</v>
  </rv>
  <rv s="10">
    <fb>920.55</fb>
    <v>20</v>
  </rv>
  <rv s="10">
    <fb>906.9</fb>
    <v>20</v>
  </rv>
  <rv s="10">
    <fb>921.25</fb>
    <v>20</v>
  </rv>
  <rv s="10">
    <fb>920.8</fb>
    <v>20</v>
  </rv>
  <rv s="10">
    <fb>916.8</fb>
    <v>20</v>
  </rv>
  <rv s="10">
    <fb>914.85</fb>
    <v>20</v>
  </rv>
  <rv s="10">
    <fb>914.55</fb>
    <v>20</v>
  </rv>
  <rv s="10">
    <fb>916.5</fb>
    <v>20</v>
  </rv>
  <rv s="10">
    <fb>919.45</fb>
    <v>20</v>
  </rv>
  <rv s="10">
    <fb>918.5</fb>
    <v>20</v>
  </rv>
  <rv s="10">
    <fb>915.4</fb>
    <v>20</v>
  </rv>
  <rv s="10">
    <fb>925.1</fb>
    <v>20</v>
  </rv>
  <rv s="10">
    <fb>1073</fb>
    <v>20</v>
  </rv>
  <rv s="10">
    <fb>1095.55</fb>
    <v>20</v>
  </rv>
  <rv s="10">
    <fb>1093.05</fb>
    <v>20</v>
  </rv>
  <rv s="10">
    <fb>1085.9000000000001</fb>
    <v>20</v>
  </rv>
  <rv s="10">
    <fb>1051.55</fb>
    <v>20</v>
  </rv>
  <rv s="10">
    <fb>1081.5999999999999</fb>
    <v>20</v>
  </rv>
  <rv s="10">
    <fb>1088.45</fb>
    <v>20</v>
  </rv>
  <rv s="10">
    <fb>1084.25</fb>
    <v>20</v>
  </rv>
  <rv s="10">
    <fb>1111.75</fb>
    <v>20</v>
  </rv>
  <rv s="10">
    <fb>1096.5</fb>
    <v>20</v>
  </rv>
  <rv s="10">
    <fb>1094.6500000000001</fb>
    <v>20</v>
  </rv>
  <rv s="10">
    <fb>1108.6500000000001</fb>
    <v>20</v>
  </rv>
  <rv s="10">
    <fb>1086.45</fb>
    <v>20</v>
  </rv>
  <rv s="10">
    <fb>1085.45</fb>
    <v>20</v>
  </rv>
  <rv s="10">
    <fb>1104.2</fb>
    <v>20</v>
  </rv>
  <rv s="10">
    <fb>1081.8499999999999</fb>
    <v>20</v>
  </rv>
  <rv s="10">
    <fb>1086.4000000000001</fb>
    <v>20</v>
  </rv>
  <rv s="10">
    <fb>1196.75</fb>
    <v>20</v>
  </rv>
  <rv s="10">
    <fb>1186.95</fb>
    <v>20</v>
  </rv>
  <rv s="10">
    <fb>1192.5999999999999</fb>
    <v>20</v>
  </rv>
  <rv s="10">
    <fb>1207.8</fb>
    <v>20</v>
  </rv>
  <rv s="10">
    <fb>1185.95</fb>
    <v>20</v>
  </rv>
  <rv s="10">
    <fb>1176.75</fb>
    <v>20</v>
  </rv>
  <rv s="10">
    <fb>1133.25</fb>
    <v>20</v>
  </rv>
  <rv s="10">
    <fb>1037.5</fb>
    <v>20</v>
  </rv>
  <rv s="10">
    <fb>999.3</fb>
    <v>20</v>
  </rv>
  <rv s="10">
    <fb>1000.3</fb>
    <v>20</v>
  </rv>
  <rv s="10">
    <fb>1007.7</fb>
    <v>20</v>
  </rv>
  <rv s="10">
    <fb>989.65</fb>
    <v>20</v>
  </rv>
  <rv s="10">
    <fb>985.05</fb>
    <v>20</v>
  </rv>
  <rv s="10">
    <fb>994.75</fb>
    <v>20</v>
  </rv>
  <rv s="10">
    <fb>989.45</fb>
    <v>20</v>
  </rv>
  <rv s="10">
    <fb>985.5</fb>
    <v>20</v>
  </rv>
  <rv s="10">
    <fb>953.2</fb>
    <v>20</v>
  </rv>
  <rv s="10">
    <fb>978.45</fb>
    <v>20</v>
  </rv>
  <rv s="10">
    <fb>970.8</fb>
    <v>20</v>
  </rv>
  <rv s="10">
    <fb>1003.95</fb>
    <v>20</v>
  </rv>
  <rv s="10">
    <fb>995.05</fb>
    <v>20</v>
  </rv>
  <rv s="10">
    <fb>996.4</fb>
    <v>20</v>
  </rv>
  <rv s="10">
    <fb>1003.65</fb>
    <v>20</v>
  </rv>
  <rv s="10">
    <fb>991.45</fb>
    <v>20</v>
  </rv>
  <rv s="10">
    <fb>997.85</fb>
    <v>20</v>
  </rv>
  <rv s="10">
    <fb>1007.1</fb>
    <v>20</v>
  </rv>
  <rv s="10">
    <fb>979.6</fb>
    <v>20</v>
  </rv>
  <rv s="10">
    <fb>974.7</fb>
    <v>20</v>
  </rv>
  <rv s="10">
    <fb>967.75</fb>
    <v>20</v>
  </rv>
  <rv s="10">
    <fb>964.45</fb>
    <v>20</v>
  </rv>
  <rv s="10">
    <fb>947.45</fb>
    <v>20</v>
  </rv>
  <rv s="10">
    <fb>955.1</fb>
    <v>20</v>
  </rv>
  <rv s="10">
    <fb>928.4</fb>
    <v>20</v>
  </rv>
  <rv s="10">
    <fb>804.5</fb>
    <v>20</v>
  </rv>
  <rv s="10">
    <fb>872.8</fb>
    <v>20</v>
  </rv>
  <rv s="10">
    <fb>845.3</fb>
    <v>20</v>
  </rv>
  <rv s="10">
    <fb>823.95</fb>
    <v>20</v>
  </rv>
  <rv s="10">
    <fb>814</fb>
    <v>20</v>
  </rv>
  <rv s="10">
    <fb>850.1</fb>
    <v>20</v>
  </rv>
  <rv s="10">
    <fb>825.2</fb>
    <v>20</v>
  </rv>
  <rv s="10">
    <fb>814.1</fb>
    <v>20</v>
  </rv>
  <rv s="10">
    <fb>819.7</fb>
    <v>20</v>
  </rv>
  <rv s="10">
    <fb>933.8</fb>
    <v>20</v>
  </rv>
  <rv s="10">
    <fb>928.65</fb>
    <v>20</v>
  </rv>
  <rv s="10">
    <fb>927.95</fb>
    <v>20</v>
  </rv>
  <rv s="10">
    <fb>918.15</fb>
    <v>20</v>
  </rv>
  <rv s="10">
    <fb>985.9</fb>
    <v>20</v>
  </rv>
  <rv s="10">
    <fb>985.45</fb>
    <v>20</v>
  </rv>
  <rv s="10">
    <fb>937</fb>
    <v>20</v>
  </rv>
  <rv s="10">
    <fb>941.15</fb>
    <v>20</v>
  </rv>
  <rv s="10">
    <fb>931.95</fb>
    <v>20</v>
  </rv>
  <rv s="10">
    <fb>932.5</fb>
    <v>20</v>
  </rv>
  <rv s="10">
    <fb>921.95</fb>
    <v>20</v>
  </rv>
  <rv s="10">
    <fb>927.75</fb>
    <v>20</v>
  </rv>
  <rv s="10">
    <fb>967.15</fb>
    <v>20</v>
  </rv>
  <rv s="10">
    <fb>915.8</fb>
    <v>20</v>
  </rv>
  <rv s="10">
    <fb>993.1</fb>
    <v>20</v>
  </rv>
  <rv s="10">
    <fb>982.25</fb>
    <v>20</v>
  </rv>
  <rv s="10">
    <fb>959.5</fb>
    <v>20</v>
  </rv>
  <rv s="10">
    <fb>969.95</fb>
    <v>20</v>
  </rv>
  <rv s="10">
    <fb>965.85</fb>
    <v>20</v>
  </rv>
  <rv s="10">
    <fb>974.5</fb>
    <v>20</v>
  </rv>
  <rv s="10">
    <fb>988.6</fb>
    <v>20</v>
  </rv>
  <rv s="10">
    <fb>985.2</fb>
    <v>20</v>
  </rv>
  <rv s="10">
    <fb>976.8</fb>
    <v>20</v>
  </rv>
  <rv s="10">
    <fb>982.1</fb>
    <v>20</v>
  </rv>
  <rv s="10">
    <fb>984.65</fb>
    <v>20</v>
  </rv>
  <rv s="10">
    <fb>984.15</fb>
    <v>20</v>
  </rv>
  <rv s="10">
    <fb>987.2</fb>
    <v>20</v>
  </rv>
  <rv s="10">
    <fb>981.9</fb>
    <v>20</v>
  </rv>
  <rv s="10">
    <fb>987.1</fb>
    <v>20</v>
  </rv>
  <rv s="10">
    <fb>956.7</fb>
    <v>20</v>
  </rv>
  <rv s="10">
    <fb>970.25</fb>
    <v>20</v>
  </rv>
  <rv s="10">
    <fb>971.85</fb>
    <v>20</v>
  </rv>
  <rv s="10">
    <fb>969.1</fb>
    <v>20</v>
  </rv>
  <rv s="10">
    <fb>968.95</fb>
    <v>20</v>
  </rv>
  <rv s="10">
    <fb>969.8</fb>
    <v>20</v>
  </rv>
  <rv s="10">
    <fb>995.55</fb>
    <v>20</v>
  </rv>
  <rv s="10">
    <fb>985.95</fb>
    <v>20</v>
  </rv>
  <rv s="10">
    <fb>987.75</fb>
    <v>20</v>
  </rv>
  <rv s="10">
    <fb>977.95</fb>
    <v>20</v>
  </rv>
  <rv s="10">
    <fb>958.5</fb>
    <v>20</v>
  </rv>
  <rv s="10">
    <fb>970.95</fb>
    <v>20</v>
  </rv>
  <rv s="10">
    <fb>983.5</fb>
    <v>20</v>
  </rv>
  <rv s="10">
    <fb>997.2</fb>
    <v>20</v>
  </rv>
  <rv s="10">
    <fb>1004.55</fb>
    <v>20</v>
  </rv>
  <rv s="10">
    <fb>980.05</fb>
    <v>20</v>
  </rv>
  <rv s="10">
    <fb>1006.25</fb>
    <v>20</v>
  </rv>
  <rv s="10">
    <fb>996.25</fb>
    <v>20</v>
  </rv>
  <rv s="10">
    <fb>1001.4</fb>
    <v>20</v>
  </rv>
  <rv s="10">
    <fb>1008.05</fb>
    <v>20</v>
  </rv>
  <rv s="10">
    <fb>1006.85</fb>
    <v>20</v>
  </rv>
  <rv s="10">
    <fb>1007.35</fb>
    <v>20</v>
  </rv>
  <rv s="10">
    <fb>1012.8</fb>
    <v>20</v>
  </rv>
  <rv s="10">
    <fb>1002.2</fb>
    <v>20</v>
  </rv>
  <rv s="10">
    <fb>996.3</fb>
    <v>20</v>
  </rv>
  <rv s="10">
    <fb>992.25</fb>
    <v>20</v>
  </rv>
  <rv s="10">
    <fb>983.45</fb>
    <v>20</v>
  </rv>
  <rv s="10">
    <fb>977</fb>
    <v>20</v>
  </rv>
  <rv s="10">
    <fb>993.65</fb>
    <v>20</v>
  </rv>
  <rv s="10">
    <fb>997.75</fb>
    <v>20</v>
  </rv>
  <rv s="10">
    <fb>994.45</fb>
    <v>20</v>
  </rv>
  <rv s="10">
    <fb>990.5</fb>
    <v>20</v>
  </rv>
  <rv s="10">
    <fb>977.1</fb>
    <v>20</v>
  </rv>
  <rv s="10">
    <fb>998.2</fb>
    <v>20</v>
  </rv>
  <rv s="10">
    <fb>1059.3499999999999</fb>
    <v>20</v>
  </rv>
  <rv s="10">
    <fb>1072.9000000000001</fb>
    <v>20</v>
  </rv>
  <rv s="10">
    <fb>1041.4000000000001</fb>
    <v>20</v>
  </rv>
  <rv s="10">
    <fb>1039.5</fb>
    <v>20</v>
  </rv>
  <rv s="10">
    <fb>1047.45</fb>
    <v>20</v>
  </rv>
  <rv s="10">
    <fb>1010.35</fb>
    <v>20</v>
  </rv>
  <rv s="10">
    <fb>1010.2</fb>
    <v>20</v>
  </rv>
  <rv s="10">
    <fb>1005.7</fb>
    <v>20</v>
  </rv>
  <rv s="10">
    <fb>1001.65</fb>
    <v>20</v>
  </rv>
  <rv s="10">
    <fb>990.7</fb>
    <v>20</v>
  </rv>
  <rv s="10">
    <fb>991.4</fb>
    <v>20</v>
  </rv>
  <rv s="10">
    <fb>1004</fb>
    <v>20</v>
  </rv>
  <rv s="10">
    <fb>1004.65</fb>
    <v>20</v>
  </rv>
  <rv s="10">
    <fb>1015.65</fb>
    <v>20</v>
  </rv>
  <rv s="10">
    <fb>1011.25</fb>
    <v>20</v>
  </rv>
  <rv s="10">
    <fb>1035.75</fb>
    <v>20</v>
  </rv>
  <rv s="10">
    <fb>1066.9000000000001</fb>
    <v>20</v>
  </rv>
  <rv s="10">
    <fb>1059.7</fb>
    <v>20</v>
  </rv>
  <rv s="10">
    <fb>1061.45</fb>
    <v>20</v>
  </rv>
  <rv s="10">
    <fb>1071.1500000000001</fb>
    <v>20</v>
  </rv>
  <rv s="10">
    <fb>1089.75</fb>
    <v>20</v>
  </rv>
  <rv s="10">
    <fb>1103.75</fb>
    <v>20</v>
  </rv>
  <rv s="10">
    <fb>1090.0999999999999</fb>
    <v>20</v>
  </rv>
  <rv s="10">
    <fb>1086.1500000000001</fb>
    <v>20</v>
  </rv>
  <rv s="10">
    <fb>1085.3</fb>
    <v>20</v>
  </rv>
  <rv s="10">
    <fb>1046.0999999999999</fb>
    <v>20</v>
  </rv>
  <rv s="10">
    <fb>1052.9000000000001</fb>
    <v>20</v>
  </rv>
  <rv s="10">
    <fb>1070.45</fb>
    <v>20</v>
  </rv>
  <rv s="10">
    <fb>1057.9000000000001</fb>
    <v>20</v>
  </rv>
  <rv s="10">
    <fb>1034.8</fb>
    <v>20</v>
  </rv>
  <rv s="10">
    <fb>1045.3</fb>
    <v>20</v>
  </rv>
  <rv s="10">
    <fb>1036.95</fb>
    <v>20</v>
  </rv>
  <rv s="10">
    <fb>1043.5</fb>
    <v>20</v>
  </rv>
  <rv s="10">
    <fb>1031.2</fb>
    <v>20</v>
  </rv>
  <rv s="10">
    <fb>1025.0999999999999</fb>
    <v>20</v>
  </rv>
  <rv s="10">
    <fb>1009.3</fb>
    <v>20</v>
  </rv>
  <rv s="10">
    <fb>1012.75</fb>
    <v>20</v>
  </rv>
  <rv s="10">
    <fb>1004.35</fb>
    <v>20</v>
  </rv>
  <rv s="10">
    <fb>1016.8</fb>
    <v>20</v>
  </rv>
  <rv s="10">
    <fb>1036.0999999999999</fb>
    <v>20</v>
  </rv>
  <rv s="10">
    <fb>1038.8499999999999</fb>
    <v>20</v>
  </rv>
  <rv s="10">
    <fb>1035.0999999999999</fb>
    <v>20</v>
  </rv>
  <rv s="10">
    <fb>1040.8499999999999</fb>
    <v>20</v>
  </rv>
  <rv s="10">
    <fb>1044.25</fb>
    <v>20</v>
  </rv>
  <rv s="10">
    <fb>1031.25</fb>
    <v>20</v>
  </rv>
  <rv s="10">
    <fb>1011.7</fb>
    <v>20</v>
  </rv>
  <rv s="10">
    <fb>963.6</fb>
    <v>20</v>
  </rv>
  <rv s="10">
    <fb>940.7</fb>
    <v>20</v>
  </rv>
  <rv s="10">
    <fb>955.75</fb>
    <v>20</v>
  </rv>
  <rv s="10">
    <fb>950.5</fb>
    <v>20</v>
  </rv>
  <rv s="10">
    <fb>959.2</fb>
    <v>20</v>
  </rv>
  <rv s="10">
    <fb>950.35</fb>
    <v>20</v>
  </rv>
  <rv s="10">
    <fb>959.05</fb>
    <v>20</v>
  </rv>
  <rv s="10">
    <fb>958.6</fb>
    <v>20</v>
  </rv>
  <rv s="10">
    <fb>973.35</fb>
    <v>20</v>
  </rv>
  <rv s="10">
    <fb>963.7</fb>
    <v>20</v>
  </rv>
  <rv s="10">
    <fb>958.45</fb>
    <v>20</v>
  </rv>
  <rv s="10">
    <fb>959.1</fb>
    <v>20</v>
  </rv>
  <rv s="10">
    <fb>963.95</fb>
    <v>20</v>
  </rv>
  <rv s="10">
    <fb>965</fb>
    <v>20</v>
  </rv>
  <rv s="10">
    <fb>949.55</fb>
    <v>20</v>
  </rv>
  <rv s="10">
    <fb>954.2</fb>
    <v>20</v>
  </rv>
  <rv s="10">
    <fb>963.4</fb>
    <v>20</v>
  </rv>
  <rv s="10">
    <fb>961.3</fb>
    <v>20</v>
  </rv>
  <rv s="10">
    <fb>960.45</fb>
    <v>20</v>
  </rv>
  <rv s="10">
    <fb>965.65</fb>
    <v>20</v>
  </rv>
  <rv s="10">
    <fb>960.6</fb>
    <v>20</v>
  </rv>
  <rv s="10">
    <fb>968.55</fb>
    <v>20</v>
  </rv>
  <rv s="10">
    <fb>972.55</fb>
    <v>20</v>
  </rv>
  <rv s="10">
    <fb>970.45</fb>
    <v>20</v>
  </rv>
  <rv s="10">
    <fb>973.05</fb>
    <v>20</v>
  </rv>
  <rv s="10">
    <fb>983.2</fb>
    <v>20</v>
  </rv>
  <rv s="10">
    <fb>1011.9</fb>
    <v>20</v>
  </rv>
  <rv s="10">
    <fb>1018.25</fb>
    <v>20</v>
  </rv>
  <rv s="10">
    <fb>996.85</fb>
    <v>20</v>
  </rv>
  <rv s="10">
    <fb>1018.05</fb>
    <v>20</v>
  </rv>
  <rv s="10">
    <fb>1005.75</fb>
    <v>20</v>
  </rv>
  <rv s="10">
    <fb>1008.4</fb>
    <v>20</v>
  </rv>
  <rv s="10">
    <fb>1030</fb>
    <v>20</v>
  </rv>
  <rv s="10">
    <fb>1034.2</fb>
    <v>20</v>
  </rv>
  <rv s="10">
    <fb>1033.25</fb>
    <v>20</v>
  </rv>
  <rv s="10">
    <fb>1009.65</fb>
    <v>20</v>
  </rv>
  <rv s="10">
    <fb>1022.05</fb>
    <v>20</v>
  </rv>
  <rv s="10">
    <fb>1094.25</fb>
    <v>20</v>
  </rv>
  <rv s="10">
    <fb>1089.8499999999999</fb>
    <v>20</v>
  </rv>
  <rv s="10">
    <fb>1122.3499999999999</fb>
    <v>20</v>
  </rv>
  <rv s="10">
    <fb>1112.6500000000001</fb>
    <v>20</v>
  </rv>
  <rv s="10">
    <fb>1131.55</fb>
    <v>20</v>
  </rv>
  <rv s="10">
    <fb>1104.7</fb>
    <v>20</v>
  </rv>
  <rv s="10">
    <fb>1099.05</fb>
    <v>20</v>
  </rv>
  <rv s="10">
    <fb>1104.1500000000001</fb>
    <v>20</v>
  </rv>
  <rv s="10">
    <fb>1097.3499999999999</fb>
    <v>20</v>
  </rv>
  <rv s="10">
    <fb>1104.8499999999999</fb>
    <v>20</v>
  </rv>
  <rv s="10">
    <fb>1112.2</fb>
    <v>20</v>
  </rv>
  <rv s="10">
    <fb>1066.25</fb>
    <v>20</v>
  </rv>
  <rv s="10">
    <fb>1075.25</fb>
    <v>20</v>
  </rv>
  <rv s="10">
    <fb>1051.95</fb>
    <v>20</v>
  </rv>
  <rv s="10">
    <fb>1017.85</fb>
    <v>20</v>
  </rv>
  <rv s="10">
    <fb>1005.65</fb>
    <v>20</v>
  </rv>
  <rv s="10">
    <fb>1013.15</fb>
    <v>20</v>
  </rv>
  <rv s="10">
    <fb>1028.05</fb>
    <v>20</v>
  </rv>
  <rv s="10">
    <fb>1014.9</fb>
    <v>20</v>
  </rv>
  <rv s="10">
    <fb>979.25</fb>
    <v>20</v>
  </rv>
  <rv s="10">
    <fb>987.05</fb>
    <v>20</v>
  </rv>
  <rv s="10">
    <fb>971.05</fb>
    <v>20</v>
  </rv>
  <rv s="10">
    <fb>946.05</fb>
    <v>20</v>
  </rv>
  <rv s="10">
    <fb>958.3</fb>
    <v>20</v>
  </rv>
  <rv s="10">
    <fb>966.2</fb>
    <v>20</v>
  </rv>
  <rv s="10">
    <fb>965.5</fb>
    <v>20</v>
  </rv>
  <rv s="10">
    <fb>972.15</fb>
    <v>20</v>
  </rv>
  <rv s="10">
    <fb>977.45</fb>
    <v>20</v>
  </rv>
  <rv s="10">
    <fb>983.35</fb>
    <v>20</v>
  </rv>
  <rv s="10">
    <fb>977.5</fb>
    <v>20</v>
  </rv>
  <rv s="10">
    <fb>980.55</fb>
    <v>20</v>
  </rv>
  <rv s="10">
    <fb>976.5</fb>
    <v>20</v>
  </rv>
  <rv s="10">
    <fb>967.7</fb>
    <v>20</v>
  </rv>
  <rv s="10">
    <fb>961.8</fb>
    <v>20</v>
  </rv>
  <rv s="10">
    <fb>944.1</fb>
    <v>20</v>
  </rv>
  <rv s="10">
    <fb>968</fb>
    <v>20</v>
  </rv>
  <rv s="10">
    <fb>1003</fb>
    <v>20</v>
  </rv>
  <rv s="10">
    <fb>1061.3</fb>
    <v>20</v>
  </rv>
  <rv s="10">
    <fb>1178.45</fb>
    <v>20</v>
  </rv>
  <rv s="10">
    <fb>1315.25</fb>
    <v>20</v>
  </rv>
  <rv s="10">
    <fb>1175.4000000000001</fb>
    <v>20</v>
  </rv>
  <rv s="10">
    <fb>1143.6500000000001</fb>
    <v>20</v>
  </rv>
  <rv s="10">
    <fb>1097.45</fb>
    <v>20</v>
  </rv>
  <rv s="10">
    <fb>1135.25</fb>
    <v>20</v>
  </rv>
  <rv s="10">
    <fb>1136.55</fb>
    <v>20</v>
  </rv>
  <rv s="10">
    <fb>1120.9000000000001</fb>
    <v>20</v>
  </rv>
  <rv s="10">
    <fb>1046.4000000000001</fb>
    <v>20</v>
  </rv>
  <rv s="10">
    <fb>1087.05</fb>
    <v>20</v>
  </rv>
  <rv s="10">
    <fb>1110.3</fb>
    <v>20</v>
  </rv>
  <rv s="10">
    <fb>1087.2</fb>
    <v>20</v>
  </rv>
  <rv s="10">
    <fb>1093.8499999999999</fb>
    <v>20</v>
  </rv>
  <rv s="10">
    <fb>1091.8</fb>
    <v>20</v>
  </rv>
  <rv s="10">
    <fb>1093.6500000000001</fb>
    <v>20</v>
  </rv>
  <rv s="10">
    <fb>1137.95</fb>
    <v>20</v>
  </rv>
  <rv s="10">
    <fb>1168.55</fb>
    <v>20</v>
  </rv>
  <rv s="10">
    <fb>1148.45</fb>
    <v>20</v>
  </rv>
  <rv s="10">
    <fb>1102.1500000000001</fb>
    <v>20</v>
  </rv>
  <rv s="10">
    <fb>1106.2</fb>
    <v>20</v>
  </rv>
  <rv s="10">
    <fb>1105.05</fb>
    <v>20</v>
  </rv>
  <rv s="10">
    <fb>1115.4000000000001</fb>
    <v>20</v>
  </rv>
  <rv s="10">
    <fb>1126.8499999999999</fb>
    <v>20</v>
  </rv>
  <rv s="10">
    <fb>1112.8</fb>
    <v>20</v>
  </rv>
  <rv s="10">
    <fb>1122</fb>
    <v>20</v>
  </rv>
  <rv s="10">
    <fb>1099.5</fb>
    <v>20</v>
  </rv>
  <rv s="10">
    <fb>779.6</fb>
    <v>20</v>
  </rv>
  <rv s="10">
    <fb>781.4</fb>
    <v>20</v>
  </rv>
  <rv s="10">
    <fb>775.5</fb>
    <v>20</v>
  </rv>
  <rv s="10">
    <fb>776.25</fb>
    <v>20</v>
  </rv>
  <rv s="10">
    <fb>788.9</fb>
    <v>20</v>
  </rv>
  <rv s="10">
    <fb>789</fb>
    <v>20</v>
  </rv>
  <rv s="10">
    <fb>791.15</fb>
    <v>20</v>
  </rv>
  <rv s="10">
    <fb>789.45</fb>
    <v>20</v>
  </rv>
  <rv s="10">
    <fb>789.05</fb>
    <v>20</v>
  </rv>
  <rv s="10">
    <fb>786.25</fb>
    <v>20</v>
  </rv>
  <rv s="10">
    <fb>778.25</fb>
    <v>20</v>
  </rv>
  <rv s="10">
    <fb>776.3</fb>
    <v>20</v>
  </rv>
  <rv s="10">
    <fb>765.45</fb>
    <v>20</v>
  </rv>
  <rv s="10">
    <fb>766.1</fb>
    <v>20</v>
  </rv>
  <rv s="10">
    <fb>770.05</fb>
    <v>20</v>
  </rv>
  <rv s="10">
    <fb>771.15</fb>
    <v>20</v>
  </rv>
  <rv s="10">
    <fb>780.3</fb>
    <v>20</v>
  </rv>
  <rv s="10">
    <fb>789.7</fb>
    <v>20</v>
  </rv>
  <rv s="10">
    <fb>794.25</fb>
    <v>20</v>
  </rv>
  <rv s="10">
    <fb>790.9</fb>
    <v>20</v>
  </rv>
  <rv s="10">
    <fb>798.65</fb>
    <v>20</v>
  </rv>
  <rv s="10">
    <fb>793.65</fb>
    <v>20</v>
  </rv>
  <rv s="10">
    <fb>796.05</fb>
    <v>20</v>
  </rv>
  <rv s="10">
    <fb>792.45</fb>
    <v>20</v>
  </rv>
  <rv s="10">
    <fb>792.1</fb>
    <v>20</v>
  </rv>
  <rv s="10">
    <fb>807.1</fb>
    <v>20</v>
  </rv>
  <rv s="10">
    <fb>801</fb>
    <v>20</v>
  </rv>
  <rv s="10">
    <fb>800.75</fb>
    <v>20</v>
  </rv>
  <rv s="10">
    <fb>819.9</fb>
    <v>20</v>
  </rv>
  <rv s="10">
    <fb>862.5</fb>
    <v>20</v>
  </rv>
  <rv s="10">
    <fb>865</fb>
    <v>20</v>
  </rv>
  <rv s="10">
    <fb>862.75</fb>
    <v>20</v>
  </rv>
  <rv s="10">
    <fb>857</fb>
    <v>20</v>
  </rv>
  <rv s="10">
    <fb>858.9</fb>
    <v>20</v>
  </rv>
  <rv s="10">
    <fb>860.15</fb>
    <v>20</v>
  </rv>
  <rv s="10">
    <fb>841.9</fb>
    <v>20</v>
  </rv>
  <rv s="10">
    <fb>862.55</fb>
    <v>20</v>
  </rv>
  <rv s="10">
    <fb>854.95</fb>
    <v>20</v>
  </rv>
  <rv s="10">
    <fb>858.85</fb>
    <v>20</v>
  </rv>
  <rv s="10">
    <fb>845.9</fb>
    <v>20</v>
  </rv>
  <rv s="10">
    <fb>845.05</fb>
    <v>20</v>
  </rv>
  <rv s="10">
    <fb>833.25</fb>
    <v>20</v>
  </rv>
  <rv s="10">
    <fb>825.65</fb>
    <v>20</v>
  </rv>
  <rv s="10">
    <fb>840.3</fb>
    <v>20</v>
  </rv>
  <rv s="10">
    <fb>843.25</fb>
    <v>20</v>
  </rv>
  <rv s="10">
    <fb>852.6</fb>
    <v>20</v>
  </rv>
  <rv s="10">
    <fb>858.7</fb>
    <v>20</v>
  </rv>
  <rv s="10">
    <fb>860.45</fb>
    <v>20</v>
  </rv>
  <rv s="10">
    <fb>852.35</fb>
    <v>20</v>
  </rv>
  <rv s="10">
    <fb>863.1</fb>
    <v>20</v>
  </rv>
  <rv s="10">
    <fb>868.55</fb>
    <v>20</v>
  </rv>
  <rv s="10">
    <fb>850.05</fb>
    <v>20</v>
  </rv>
  <rv s="10">
    <fb>859.35</fb>
    <v>20</v>
  </rv>
  <rv s="10">
    <fb>859.3</fb>
    <v>20</v>
  </rv>
  <rv s="10">
    <fb>856.75</fb>
    <v>20</v>
  </rv>
  <rv s="10">
    <fb>843.05</fb>
    <v>20</v>
  </rv>
  <rv s="10">
    <fb>835.4</fb>
    <v>20</v>
  </rv>
  <rv s="10">
    <fb>847.45</fb>
    <v>20</v>
  </rv>
  <rv s="10">
    <fb>860.2</fb>
    <v>20</v>
  </rv>
  <rv s="10">
    <fb>850.55</fb>
    <v>20</v>
  </rv>
  <rv s="10">
    <fb>836.9</fb>
    <v>20</v>
  </rv>
  <rv s="10">
    <fb>844.7</fb>
    <v>20</v>
  </rv>
  <rv s="10">
    <fb>840.7</fb>
    <v>20</v>
  </rv>
  <rv s="10">
    <fb>844.25</fb>
    <v>20</v>
  </rv>
  <rv s="10">
    <fb>842.55</fb>
    <v>20</v>
  </rv>
  <rv s="10">
    <fb>848.5</fb>
    <v>20</v>
  </rv>
  <rv s="10">
    <fb>848.8</fb>
    <v>20</v>
  </rv>
  <rv s="10">
    <fb>844.55</fb>
    <v>20</v>
  </rv>
  <rv s="10">
    <fb>844.2</fb>
    <v>20</v>
  </rv>
  <rv s="10">
    <fb>832.55</fb>
    <v>20</v>
  </rv>
  <rv s="10">
    <fb>841.8</fb>
    <v>20</v>
  </rv>
  <rv s="10">
    <fb>838.25</fb>
    <v>20</v>
  </rv>
  <rv s="10">
    <fb>848.35</fb>
    <v>20</v>
  </rv>
  <rv s="10">
    <fb>834.35</fb>
    <v>20</v>
  </rv>
  <rv s="10">
    <fb>846.05</fb>
    <v>20</v>
  </rv>
  <rv s="10">
    <fb>846.3</fb>
    <v>20</v>
  </rv>
  <rv s="10">
    <fb>878.9</fb>
    <v>20</v>
  </rv>
  <rv s="10">
    <fb>853.1</fb>
    <v>20</v>
  </rv>
  <rv s="10">
    <fb>862.6</fb>
    <v>20</v>
  </rv>
  <rv s="10">
    <fb>864.75</fb>
    <v>20</v>
  </rv>
  <rv s="10">
    <fb>889.3</fb>
    <v>20</v>
  </rv>
  <rv s="10">
    <fb>875.9</fb>
    <v>20</v>
  </rv>
  <rv s="10">
    <fb>880.95</fb>
    <v>20</v>
  </rv>
  <rv s="10">
    <fb>869.7</fb>
    <v>20</v>
  </rv>
  <rv s="10">
    <fb>871</fb>
    <v>20</v>
  </rv>
  <rv s="10">
    <fb>877.75</fb>
    <v>20</v>
  </rv>
  <rv s="10">
    <fb>900.6</fb>
    <v>20</v>
  </rv>
  <rv s="10">
    <fb>888.85</fb>
    <v>20</v>
  </rv>
  <rv s="10">
    <fb>876.5</fb>
    <v>20</v>
  </rv>
  <rv s="10">
    <fb>876.9</fb>
    <v>20</v>
  </rv>
  <rv s="10">
    <fb>871.9</fb>
    <v>20</v>
  </rv>
  <rv s="10">
    <fb>874.75</fb>
    <v>20</v>
  </rv>
  <rv s="10">
    <fb>888.75</fb>
    <v>20</v>
  </rv>
  <rv s="10">
    <fb>888.4</fb>
    <v>20</v>
  </rv>
  <rv s="10">
    <fb>913.35</fb>
    <v>20</v>
  </rv>
  <rv s="10">
    <fb>908.6</fb>
    <v>20</v>
  </rv>
  <rv s="10">
    <fb>895.7</fb>
    <v>20</v>
  </rv>
  <rv s="10">
    <fb>895.4</fb>
    <v>20</v>
  </rv>
  <rv s="10">
    <fb>898.95</fb>
    <v>20</v>
  </rv>
  <rv s="10">
    <fb>883.1</fb>
    <v>20</v>
  </rv>
  <rv s="10">
    <fb>890</fb>
    <v>20</v>
  </rv>
  <rv s="10">
    <fb>880.35</fb>
    <v>20</v>
  </rv>
  <rv s="10">
    <fb>891.1</fb>
    <v>20</v>
  </rv>
  <rv s="10">
    <fb>893.55</fb>
    <v>20</v>
  </rv>
  <rv s="10">
    <fb>900.5</fb>
    <v>20</v>
  </rv>
  <rv s="10">
    <fb>903.15</fb>
    <v>20</v>
  </rv>
  <rv s="10">
    <fb>911.25</fb>
    <v>20</v>
  </rv>
  <rv s="10">
    <fb>913.7</fb>
    <v>20</v>
  </rv>
  <rv s="10">
    <fb>918.65</fb>
    <v>20</v>
  </rv>
  <rv s="10">
    <fb>922.05</fb>
    <v>20</v>
  </rv>
  <rv s="10">
    <fb>916.3</fb>
    <v>20</v>
  </rv>
  <rv s="10">
    <fb>912.7</fb>
    <v>20</v>
  </rv>
  <rv s="10">
    <fb>915.3</fb>
    <v>20</v>
  </rv>
  <rv s="10">
    <fb>929.6</fb>
    <v>20</v>
  </rv>
  <rv s="10">
    <fb>920.05</fb>
    <v>20</v>
  </rv>
  <rv s="10">
    <fb>927.7</fb>
    <v>20</v>
  </rv>
  <rv s="10">
    <fb>926.9</fb>
    <v>20</v>
  </rv>
  <rv s="10">
    <fb>931.85</fb>
    <v>20</v>
  </rv>
  <rv s="10">
    <fb>933.55</fb>
    <v>20</v>
  </rv>
  <rv s="10">
    <fb>940.75</fb>
    <v>20</v>
  </rv>
  <rv s="10">
    <fb>950.05</fb>
    <v>20</v>
  </rv>
  <rv s="10">
    <fb>951.7</fb>
    <v>20</v>
  </rv>
  <rv s="10">
    <fb>956.9</fb>
    <v>20</v>
  </rv>
  <rv s="10">
    <fb>946.6</fb>
    <v>20</v>
  </rv>
  <rv s="10">
    <fb>950.45</fb>
    <v>20</v>
  </rv>
  <rv s="10">
    <fb>957.3</fb>
    <v>20</v>
  </rv>
  <rv s="10">
    <fb>954.7</fb>
    <v>20</v>
  </rv>
  <rv s="10">
    <fb>949.7</fb>
    <v>20</v>
  </rv>
  <rv s="10">
    <fb>966.15</fb>
    <v>20</v>
  </rv>
  <rv s="10">
    <fb>976.3</fb>
    <v>20</v>
  </rv>
  <rv s="10">
    <fb>979.3</fb>
    <v>20</v>
  </rv>
  <rv s="10">
    <fb>992.8</fb>
    <v>20</v>
  </rv>
  <rv s="10">
    <fb>1041</fb>
    <v>20</v>
  </rv>
  <rv s="10">
    <fb>1086.8</fb>
    <v>20</v>
  </rv>
  <rv s="10">
    <fb>1080.0999999999999</fb>
    <v>20</v>
  </rv>
  <rv s="10">
    <fb>1097.75</fb>
    <v>20</v>
  </rv>
  <rv s="10">
    <fb>1084.95</fb>
    <v>20</v>
  </rv>
  <rv s="10">
    <fb>1125.55</fb>
    <v>20</v>
  </rv>
  <rv s="10">
    <fb>1122.95</fb>
    <v>20</v>
  </rv>
  <rv s="10">
    <fb>1104.95</fb>
    <v>20</v>
  </rv>
  <rv s="10">
    <fb>1111.6500000000001</fb>
    <v>20</v>
  </rv>
  <rv s="10">
    <fb>1113.95</fb>
    <v>20</v>
  </rv>
  <rv s="10">
    <fb>1119.25</fb>
    <v>20</v>
  </rv>
  <rv s="10">
    <fb>1159</fb>
    <v>20</v>
  </rv>
  <rv s="10">
    <fb>1138.5999999999999</fb>
    <v>20</v>
  </rv>
  <rv s="10">
    <fb>1161.7</fb>
    <v>20</v>
  </rv>
  <rv s="10">
    <fb>1150.0999999999999</fb>
    <v>20</v>
  </rv>
  <rv s="10">
    <fb>1145.6500000000001</fb>
    <v>20</v>
  </rv>
  <rv s="10">
    <fb>1136.75</fb>
    <v>20</v>
  </rv>
  <rv s="10">
    <fb>1141.05</fb>
    <v>20</v>
  </rv>
  <rv s="10">
    <fb>1122.9000000000001</fb>
    <v>20</v>
  </rv>
  <rv s="10">
    <fb>1118</fb>
    <v>20</v>
  </rv>
  <rv s="10">
    <fb>1129.6500000000001</fb>
    <v>20</v>
  </rv>
  <rv s="10">
    <fb>1162.75</fb>
    <v>20</v>
  </rv>
  <rv s="10">
    <fb>1150.75</fb>
    <v>20</v>
  </rv>
  <rv s="10">
    <fb>1163.55</fb>
    <v>20</v>
  </rv>
  <rv s="10">
    <fb>1129.25</fb>
    <v>20</v>
  </rv>
  <rv s="10">
    <fb>1122.2</fb>
    <v>20</v>
  </rv>
  <rv s="10">
    <fb>1137.8</fb>
    <v>20</v>
  </rv>
  <rv s="10">
    <fb>1135.5999999999999</fb>
    <v>20</v>
  </rv>
  <rv s="10">
    <fb>1147.45</fb>
    <v>20</v>
  </rv>
  <rv s="10">
    <fb>1155</fb>
    <v>20</v>
  </rv>
  <rv s="10">
    <fb>1154.4000000000001</fb>
    <v>20</v>
  </rv>
  <rv s="10">
    <fb>1160.75</fb>
    <v>20</v>
  </rv>
  <rv s="10">
    <fb>1159.5</fb>
    <v>20</v>
  </rv>
  <rv s="10">
    <fb>1160.3</fb>
    <v>20</v>
  </rv>
  <rv s="10">
    <fb>1177.0999999999999</fb>
    <v>20</v>
  </rv>
  <rv s="10">
    <fb>1183.5999999999999</fb>
    <v>20</v>
  </rv>
  <rv s="10">
    <fb>1167.95</fb>
    <v>20</v>
  </rv>
  <rv s="10">
    <fb>1190.05</fb>
    <v>20</v>
  </rv>
  <rv s="10">
    <fb>1201</fb>
    <v>20</v>
  </rv>
  <rv s="10">
    <fb>1203.25</fb>
    <v>20</v>
  </rv>
  <rv s="10">
    <fb>1200.5999999999999</fb>
    <v>20</v>
  </rv>
  <rv s="10">
    <fb>1220.05</fb>
    <v>20</v>
  </rv>
  <rv s="10">
    <fb>1261.55</fb>
    <v>20</v>
  </rv>
  <rv s="10">
    <fb>1220.6500000000001</fb>
    <v>20</v>
  </rv>
  <rv s="10">
    <fb>1215.2</fb>
    <v>20</v>
  </rv>
  <rv s="10">
    <fb>1178.95</fb>
    <v>20</v>
  </rv>
  <rv s="10">
    <fb>1198.3499999999999</fb>
    <v>20</v>
  </rv>
  <rv s="10">
    <fb>1212.1500000000001</fb>
    <v>20</v>
  </rv>
  <rv s="10">
    <fb>1124.05</fb>
    <v>20</v>
  </rv>
  <rv s="10">
    <fb>1133.95</fb>
    <v>20</v>
  </rv>
  <rv s="10">
    <fb>1122.75</fb>
    <v>20</v>
  </rv>
  <rv s="10">
    <fb>1091.05</fb>
    <v>20</v>
  </rv>
  <rv s="10">
    <fb>1096.2</fb>
    <v>20</v>
  </rv>
  <rv s="10">
    <fb>1086.9000000000001</fb>
    <v>20</v>
  </rv>
  <rv s="10">
    <fb>1131.1500000000001</fb>
    <v>20</v>
  </rv>
  <rv s="10">
    <fb>1117.95</fb>
    <v>20</v>
  </rv>
  <rv s="10">
    <fb>1115.55</fb>
    <v>20</v>
  </rv>
  <rv s="10">
    <fb>1137.3499999999999</fb>
    <v>20</v>
  </rv>
  <rv s="10">
    <fb>1125.5999999999999</fb>
    <v>20</v>
  </rv>
  <rv s="10">
    <fb>1145.3</fb>
    <v>20</v>
  </rv>
  <rv s="10">
    <fb>1149.45</fb>
    <v>20</v>
  </rv>
  <rv s="10">
    <fb>1130.6500000000001</fb>
    <v>20</v>
  </rv>
  <rv s="10">
    <fb>1134.55</fb>
    <v>20</v>
  </rv>
  <rv s="10">
    <fb>1170.95</fb>
    <v>20</v>
  </rv>
  <rv s="10">
    <fb>1173.3499999999999</fb>
    <v>20</v>
  </rv>
  <rv s="10">
    <fb>1110.1500000000001</fb>
    <v>20</v>
  </rv>
  <rv s="10">
    <fb>1106.25</fb>
    <v>20</v>
  </rv>
  <rv s="10">
    <fb>1102.6500000000001</fb>
    <v>20</v>
  </rv>
  <rv s="10">
    <fb>1098.5</fb>
    <v>20</v>
  </rv>
  <rv s="10">
    <fb>6643.25</fb>
    <v>20</v>
  </rv>
  <rv s="10">
    <fb>6678.45</fb>
    <v>20</v>
  </rv>
  <rv s="10">
    <fb>6721.3</fb>
    <v>20</v>
  </rv>
  <rv s="10">
    <fb>6660.25</fb>
    <v>20</v>
  </rv>
  <rv s="10">
    <fb>6779.3</fb>
    <v>20</v>
  </rv>
  <rv s="10">
    <fb>6991.95</fb>
    <v>20</v>
  </rv>
  <rv s="10">
    <fb>7121.85</fb>
    <v>20</v>
  </rv>
  <rv s="10">
    <fb>7198.35</fb>
    <v>20</v>
  </rv>
  <rv s="10">
    <fb>7078.6</fb>
    <v>20</v>
  </rv>
  <rv s="10">
    <fb>7031.6</fb>
    <v>20</v>
  </rv>
  <rv s="10">
    <fb>7115.7</fb>
    <v>20</v>
  </rv>
  <rv s="10">
    <fb>7099.15</fb>
    <v>20</v>
  </rv>
  <rv s="10">
    <fb>6995.6</fb>
    <v>20</v>
  </rv>
  <rv s="10">
    <fb>7027.35</fb>
    <v>20</v>
  </rv>
  <rv s="10">
    <fb>6931</fb>
    <v>20</v>
  </rv>
  <rv s="10">
    <fb>7023.05</fb>
    <v>20</v>
  </rv>
  <rv s="10">
    <fb>7032.45</fb>
    <v>20</v>
  </rv>
  <rv s="10">
    <fb>7261</fb>
    <v>20</v>
  </rv>
  <rv s="10">
    <fb>7467.1</fb>
    <v>20</v>
  </rv>
  <rv s="10">
    <fb>7494.95</fb>
    <v>20</v>
  </rv>
  <rv s="10">
    <fb>7422</fb>
    <v>20</v>
  </rv>
  <rv s="10">
    <fb>7421.55</fb>
    <v>20</v>
  </rv>
  <rv s="10">
    <fb>7634.5</fb>
    <v>20</v>
  </rv>
  <rv s="10">
    <fb>7695.95</fb>
    <v>20</v>
  </rv>
  <rv s="10">
    <fb>7698.15</fb>
    <v>20</v>
  </rv>
  <rv s="10">
    <fb>7604.5</fb>
    <v>20</v>
  </rv>
  <rv s="10">
    <fb>7693.05</fb>
    <v>20</v>
  </rv>
  <rv s="10">
    <fb>7844.65</fb>
    <v>20</v>
  </rv>
  <rv s="10">
    <fb>7817.6</fb>
    <v>20</v>
  </rv>
  <rv s="10">
    <fb>7858.5</fb>
    <v>20</v>
  </rv>
  <rv s="10">
    <fb>7852</fb>
    <v>20</v>
  </rv>
  <rv s="10">
    <fb>7749.9</fb>
    <v>20</v>
  </rv>
  <rv s="10">
    <fb>7786.55</fb>
    <v>20</v>
  </rv>
  <rv s="10">
    <fb>7640.2</fb>
    <v>20</v>
  </rv>
  <rv s="10">
    <fb>7683.25</fb>
    <v>20</v>
  </rv>
  <rv s="10">
    <fb>7770.45</fb>
    <v>20</v>
  </rv>
  <rv s="10">
    <fb>7790.75</fb>
    <v>20</v>
  </rv>
  <rv s="10">
    <fb>7667.25</fb>
    <v>20</v>
  </rv>
  <rv s="10">
    <fb>7481.95</fb>
    <v>20</v>
  </rv>
  <rv s="10">
    <fb>7507.75</fb>
    <v>20</v>
  </rv>
  <rv s="10">
    <fb>7546.2</fb>
    <v>20</v>
  </rv>
  <rv s="10">
    <fb>7586.15</fb>
    <v>20</v>
  </rv>
  <rv s="10">
    <fb>7588.5</fb>
    <v>20</v>
  </rv>
  <rv s="10">
    <fb>7546.3</fb>
    <v>20</v>
  </rv>
  <rv s="10">
    <fb>7513.8</fb>
    <v>20</v>
  </rv>
  <rv s="10">
    <fb>7553.05</fb>
    <v>20</v>
  </rv>
  <rv s="10">
    <fb>7535.35</fb>
    <v>20</v>
  </rv>
  <rv s="10">
    <fb>7541.65</fb>
    <v>20</v>
  </rv>
  <rv s="10">
    <fb>7487.25</fb>
    <v>20</v>
  </rv>
  <rv s="10">
    <fb>7453.15</fb>
    <v>20</v>
  </rv>
  <rv s="10">
    <fb>7431.25</fb>
    <v>20</v>
  </rv>
  <rv s="10">
    <fb>7568.05</fb>
    <v>20</v>
  </rv>
  <rv s="10">
    <fb>7730.75</fb>
    <v>20</v>
  </rv>
  <rv s="10">
    <fb>7719.5</fb>
    <v>20</v>
  </rv>
  <rv s="10">
    <fb>7542.75</fb>
    <v>20</v>
  </rv>
  <rv s="10">
    <fb>7558.9</fb>
    <v>20</v>
  </rv>
  <rv s="10">
    <fb>7494.3</fb>
    <v>20</v>
  </rv>
  <rv s="10">
    <fb>7310.85</fb>
    <v>20</v>
  </rv>
  <rv s="10">
    <fb>7256.7</fb>
    <v>20</v>
  </rv>
  <rv s="10">
    <fb>7228.85</fb>
    <v>20</v>
  </rv>
  <rv s="10">
    <fb>7226.7</fb>
    <v>20</v>
  </rv>
  <rv s="10">
    <fb>7231.05</fb>
    <v>20</v>
  </rv>
  <rv s="10">
    <fb>7223.05</fb>
    <v>20</v>
  </rv>
  <rv s="10">
    <fb>7159.4</fb>
    <v>20</v>
  </rv>
  <rv s="10">
    <fb>7185.05</fb>
    <v>20</v>
  </rv>
  <rv s="10">
    <fb>7187.2</fb>
    <v>20</v>
  </rv>
  <rv s="10">
    <fb>7168.85</fb>
    <v>20</v>
  </rv>
  <rv s="10">
    <fb>7182.45</fb>
    <v>20</v>
  </rv>
  <rv s="10">
    <fb>7177.9</fb>
    <v>20</v>
  </rv>
  <rv s="10">
    <fb>7162</fb>
    <v>20</v>
  </rv>
  <rv s="10">
    <fb>7159.95</fb>
    <v>20</v>
  </rv>
  <rv s="10">
    <fb>7084.8</fb>
    <v>20</v>
  </rv>
  <rv s="10">
    <fb>7113.75</fb>
    <v>20</v>
  </rv>
  <rv s="10">
    <fb>7073.45</fb>
    <v>20</v>
  </rv>
  <rv s="10">
    <fb>7065.6</fb>
    <v>20</v>
  </rv>
  <rv s="10">
    <fb>7080.2</fb>
    <v>20</v>
  </rv>
  <rv s="10">
    <fb>7008.15</fb>
    <v>20</v>
  </rv>
  <rv s="10">
    <fb>7016.8</fb>
    <v>20</v>
  </rv>
  <rv s="10">
    <fb>7024.05</fb>
    <v>20</v>
  </rv>
  <rv s="10">
    <fb>7106.75</fb>
    <v>20</v>
  </rv>
  <rv s="10">
    <fb>7278.65</fb>
    <v>20</v>
  </rv>
  <rv s="10">
    <fb>7301.45</fb>
    <v>20</v>
  </rv>
  <rv s="10">
    <fb>7374.15</fb>
    <v>20</v>
  </rv>
  <rv s="10">
    <fb>7383.35</fb>
    <v>20</v>
  </rv>
  <rv s="10">
    <fb>7402.05</fb>
    <v>20</v>
  </rv>
  <rv s="10">
    <fb>7247.1</fb>
    <v>20</v>
  </rv>
  <rv s="10">
    <fb>7284.1</fb>
    <v>20</v>
  </rv>
  <rv s="10">
    <fb>7319.8</fb>
    <v>20</v>
  </rv>
  <rv s="10">
    <fb>7405.3</fb>
    <v>20</v>
  </rv>
  <rv s="10">
    <fb>7356.2</fb>
    <v>20</v>
  </rv>
  <rv s="10">
    <fb>7399.05</fb>
    <v>20</v>
  </rv>
  <rv s="10">
    <fb>7366.2</fb>
    <v>20</v>
  </rv>
  <rv s="10">
    <fb>7402.15</fb>
    <v>20</v>
  </rv>
  <rv s="10">
    <fb>7366.85</fb>
    <v>20</v>
  </rv>
  <rv s="10">
    <fb>7264.4</fb>
    <v>20</v>
  </rv>
  <rv s="10">
    <fb>7310.65</fb>
    <v>20</v>
  </rv>
  <rv s="10">
    <fb>7234.65</fb>
    <v>20</v>
  </rv>
  <rv s="10">
    <fb>7288.15</fb>
    <v>20</v>
  </rv>
  <rv s="10">
    <fb>7301.9</fb>
    <v>20</v>
  </rv>
  <rv s="10">
    <fb>7285.95</fb>
    <v>20</v>
  </rv>
  <rv s="10">
    <fb>7254.85</fb>
    <v>20</v>
  </rv>
  <rv s="10">
    <fb>7267.75</fb>
    <v>20</v>
  </rv>
  <rv s="10">
    <fb>7310.9</fb>
    <v>20</v>
  </rv>
  <rv s="10">
    <fb>7301.7</fb>
    <v>20</v>
  </rv>
  <rv s="10">
    <fb>7228</fb>
    <v>20</v>
  </rv>
  <rv s="10">
    <fb>7227.15</fb>
    <v>20</v>
  </rv>
  <rv s="10">
    <fb>7210.7</fb>
    <v>20</v>
  </rv>
  <rv s="10">
    <fb>7281.9</fb>
    <v>20</v>
  </rv>
  <rv s="10">
    <fb>7257.2</fb>
    <v>20</v>
  </rv>
  <rv s="10">
    <fb>7302.75</fb>
    <v>20</v>
  </rv>
  <rv s="10">
    <fb>7299.4</fb>
    <v>20</v>
  </rv>
  <rv s="10">
    <fb>7359.4</fb>
    <v>20</v>
  </rv>
  <rv s="10">
    <fb>7315.1</fb>
    <v>20</v>
  </rv>
  <rv s="10">
    <fb>7355.3</fb>
    <v>20</v>
  </rv>
  <rv s="10">
    <fb>7443.75</fb>
    <v>20</v>
  </rv>
  <rv s="10">
    <fb>7477.05</fb>
    <v>20</v>
  </rv>
  <rv s="10">
    <fb>7445.35</fb>
    <v>20</v>
  </rv>
  <rv s="10">
    <fb>7608.9</fb>
    <v>20</v>
  </rv>
  <rv s="10">
    <fb>7704.05</fb>
    <v>20</v>
  </rv>
  <rv s="10">
    <fb>7564.4</fb>
    <v>20</v>
  </rv>
  <rv s="10">
    <fb>7336.45</fb>
    <v>20</v>
  </rv>
  <rv s="10">
    <fb>7545.25</fb>
    <v>20</v>
  </rv>
  <rv s="10">
    <fb>7463.5</fb>
    <v>20</v>
  </rv>
  <rv s="10">
    <fb>7601.6</fb>
    <v>20</v>
  </rv>
  <rv s="10">
    <fb>7639.25</fb>
    <v>20</v>
  </rv>
  <rv s="10">
    <fb>7625.2</fb>
    <v>20</v>
  </rv>
  <rv s="10">
    <fb>7483.4</fb>
    <v>20</v>
  </rv>
  <rv s="10">
    <fb>7496.9</fb>
    <v>20</v>
  </rv>
  <rv s="10">
    <fb>7617</fb>
    <v>20</v>
  </rv>
  <rv s="10">
    <fb>7831.6</fb>
    <v>20</v>
  </rv>
  <rv s="10">
    <fb>8171.15</fb>
    <v>20</v>
  </rv>
  <rv s="10">
    <fb>8242.9</fb>
    <v>20</v>
  </rv>
  <rv s="10">
    <fb>8050.9</fb>
    <v>20</v>
  </rv>
  <rv s="10">
    <fb>8055.05</fb>
    <v>20</v>
  </rv>
  <rv s="10">
    <fb>8139.05</fb>
    <v>20</v>
  </rv>
  <rv s="10">
    <fb>8086.8</fb>
    <v>20</v>
  </rv>
  <rv s="10">
    <fb>8194.75</fb>
    <v>20</v>
  </rv>
  <rv s="10">
    <fb>8459.15</fb>
    <v>20</v>
  </rv>
  <rv s="10">
    <fb>8306.6</fb>
    <v>20</v>
  </rv>
  <rv s="10">
    <fb>8284.7000000000007</fb>
    <v>20</v>
  </rv>
  <rv s="10">
    <fb>8423.25</fb>
    <v>20</v>
  </rv>
  <rv s="10">
    <fb>8389.7000000000007</fb>
    <v>20</v>
  </rv>
  <rv s="10">
    <fb>8380.35</fb>
    <v>20</v>
  </rv>
  <rv s="10">
    <fb>8334.5499999999993</fb>
    <v>20</v>
  </rv>
  <rv s="10">
    <fb>8306.2000000000007</fb>
    <v>20</v>
  </rv>
  <rv s="10">
    <fb>8388.5499999999993</fb>
    <v>20</v>
  </rv>
  <rv s="10">
    <fb>8252.7999999999993</fb>
    <v>20</v>
  </rv>
  <rv s="10">
    <fb>8402.7999999999993</fb>
    <v>20</v>
  </rv>
  <rv s="10">
    <fb>8392.1</fb>
    <v>20</v>
  </rv>
  <rv s="10">
    <fb>8454.5499999999993</fb>
    <v>20</v>
  </rv>
  <rv s="10">
    <fb>8365.4500000000007</fb>
    <v>20</v>
  </rv>
  <rv s="10">
    <fb>8365.85</fb>
    <v>20</v>
  </rv>
  <rv s="10">
    <fb>8446.25</fb>
    <v>20</v>
  </rv>
  <rv s="10">
    <fb>8901.9</fb>
    <v>20</v>
  </rv>
  <rv s="10">
    <fb>8858.75</fb>
    <v>20</v>
  </rv>
  <rv s="10">
    <fb>8985.65</fb>
    <v>20</v>
  </rv>
  <rv s="10">
    <fb>9053.6</fb>
    <v>20</v>
  </rv>
  <rv s="10">
    <fb>9087.35</fb>
    <v>20</v>
  </rv>
  <rv s="10">
    <fb>8900.75</fb>
    <v>20</v>
  </rv>
  <rv s="10">
    <fb>8608.35</fb>
    <v>20</v>
  </rv>
  <rv s="10">
    <fb>8770.4500000000007</fb>
    <v>20</v>
  </rv>
  <rv s="10">
    <fb>8870.65</fb>
    <v>20</v>
  </rv>
  <rv s="10">
    <fb>8860.2999999999993</fb>
    <v>20</v>
  </rv>
  <rv s="10">
    <fb>8801.5</fb>
    <v>20</v>
  </rv>
  <rv s="10">
    <fb>8757.9500000000007</fb>
    <v>20</v>
  </rv>
  <rv s="10">
    <fb>8753.4500000000007</fb>
    <v>20</v>
  </rv>
  <rv s="10">
    <fb>8744.2000000000007</fb>
    <v>20</v>
  </rv>
  <rv s="10">
    <fb>8711.4500000000007</fb>
    <v>20</v>
  </rv>
  <rv s="10">
    <fb>8607.5499999999993</fb>
    <v>20</v>
  </rv>
  <rv s="10">
    <fb>8639.65</fb>
    <v>20</v>
  </rv>
  <rv s="10">
    <fb>8645.85</fb>
    <v>20</v>
  </rv>
  <rv s="10">
    <fb>8584.15</fb>
    <v>20</v>
  </rv>
  <rv s="10">
    <fb>8643.6</fb>
    <v>20</v>
  </rv>
  <rv s="10">
    <fb>8755.4500000000007</fb>
    <v>20</v>
  </rv>
  <rv s="10">
    <fb>8720.7999999999993</fb>
    <v>20</v>
  </rv>
  <rv s="10">
    <fb>8737.25</fb>
    <v>20</v>
  </rv>
  <rv s="10">
    <fb>8716.65</fb>
    <v>20</v>
  </rv>
  <rv s="10">
    <fb>8604.5499999999993</fb>
    <v>20</v>
  </rv>
  <rv s="10">
    <fb>8597.7999999999993</fb>
    <v>20</v>
  </rv>
  <rv s="10">
    <fb>8310.7000000000007</fb>
    <v>20</v>
  </rv>
  <rv s="10">
    <fb>8307.2999999999993</fb>
    <v>20</v>
  </rv>
  <rv s="10">
    <fb>8290.25</fb>
    <v>20</v>
  </rv>
  <rv s="10">
    <fb>8195.7000000000007</fb>
    <v>20</v>
  </rv>
  <rv s="10">
    <fb>7768.45</fb>
    <v>20</v>
  </rv>
  <rv s="10">
    <fb>7667.15</fb>
    <v>20</v>
  </rv>
  <rv s="10">
    <fb>7694</fb>
    <v>20</v>
  </rv>
  <rv s="10">
    <fb>7594.8</fb>
    <v>20</v>
  </rv>
  <rv s="10">
    <fb>7605.15</fb>
    <v>20</v>
  </rv>
  <rv s="10">
    <fb>7640.9</fb>
    <v>20</v>
  </rv>
  <rv s="10">
    <fb>7641</fb>
    <v>20</v>
  </rv>
  <rv s="10">
    <fb>7601</fb>
    <v>20</v>
  </rv>
  <rv s="10">
    <fb>7721.8</fb>
    <v>20</v>
  </rv>
  <rv s="10">
    <fb>7790.15</fb>
    <v>20</v>
  </rv>
  <rv s="10">
    <fb>7726.4</fb>
    <v>20</v>
  </rv>
  <rv s="10">
    <fb>7629.35</fb>
    <v>20</v>
  </rv>
  <rv s="10">
    <fb>7498.6</fb>
    <v>20</v>
  </rv>
  <rv s="10">
    <fb>7443.3</fb>
    <v>20</v>
  </rv>
  <rv s="10">
    <fb>7429.55</fb>
    <v>20</v>
  </rv>
  <rv s="10">
    <fb>7470.2</fb>
    <v>20</v>
  </rv>
  <rv s="10">
    <fb>7513.45</fb>
    <v>20</v>
  </rv>
  <rv s="10">
    <fb>7708.65</fb>
    <v>20</v>
  </rv>
  <rv s="10">
    <fb>7776.3</fb>
    <v>20</v>
  </rv>
  <rv s="10">
    <fb>7746.2</fb>
    <v>20</v>
  </rv>
  <rv s="10">
    <fb>7791.05</fb>
    <v>20</v>
  </rv>
  <rv s="10">
    <fb>7812.3</fb>
    <v>20</v>
  </rv>
  <rv s="10">
    <fb>7706.9</fb>
    <v>20</v>
  </rv>
  <rv s="10">
    <fb>7640.6</fb>
    <v>20</v>
  </rv>
  <rv s="10">
    <fb>7593.65</fb>
    <v>20</v>
  </rv>
  <rv s="10">
    <fb>7811.05</fb>
    <v>20</v>
  </rv>
  <rv s="10">
    <fb>7745.25</fb>
    <v>20</v>
  </rv>
  <rv s="10">
    <fb>7792.65</fb>
    <v>20</v>
  </rv>
  <rv s="10">
    <fb>7692.9</fb>
    <v>20</v>
  </rv>
  <rv s="10">
    <fb>7662.45</fb>
    <v>20</v>
  </rv>
  <rv s="10">
    <fb>7602.3</fb>
    <v>20</v>
  </rv>
  <rv s="10">
    <fb>7686.75</fb>
    <v>20</v>
  </rv>
  <rv s="10">
    <fb>7702.95</fb>
    <v>20</v>
  </rv>
  <rv s="10">
    <fb>7573.9</fb>
    <v>20</v>
  </rv>
  <rv s="10">
    <fb>7392.8</fb>
    <v>20</v>
  </rv>
  <rv s="10">
    <fb>7730.6</fb>
    <v>20</v>
  </rv>
  <rv s="10">
    <fb>7707</fb>
    <v>20</v>
  </rv>
  <rv s="10">
    <fb>7702.7</fb>
    <v>20</v>
  </rv>
  <rv s="10">
    <fb>7635.85</fb>
    <v>20</v>
  </rv>
  <rv s="10">
    <fb>7556.5</fb>
    <v>20</v>
  </rv>
  <rv s="10">
    <fb>7704.75</fb>
    <v>20</v>
  </rv>
  <rv s="10">
    <fb>7665</fb>
    <v>20</v>
  </rv>
  <rv s="10">
    <fb>7693.75</fb>
    <v>20</v>
  </rv>
  <rv s="10">
    <fb>7674.8</fb>
    <v>20</v>
  </rv>
  <rv s="10">
    <fb>7785.15</fb>
    <v>20</v>
  </rv>
  <rv s="10">
    <fb>7745.3</fb>
    <v>20</v>
  </rv>
  <rv s="10">
    <fb>7701.75</fb>
    <v>20</v>
  </rv>
  <rv s="10">
    <fb>7997.9</fb>
    <v>20</v>
  </rv>
  <rv s="10">
    <fb>8027.5</fb>
    <v>20</v>
  </rv>
  <rv s="10">
    <fb>8041.55</fb>
    <v>20</v>
  </rv>
  <rv s="10">
    <fb>7922.45</fb>
    <v>20</v>
  </rv>
  <rv s="10">
    <fb>7900.05</fb>
    <v>20</v>
  </rv>
  <rv s="10">
    <fb>7846.75</fb>
    <v>20</v>
  </rv>
  <rv s="10">
    <fb>7753.75</fb>
    <v>20</v>
  </rv>
  <rv s="10">
    <fb>7525.75</fb>
    <v>20</v>
  </rv>
  <rv s="10">
    <fb>7530</fb>
    <v>20</v>
  </rv>
  <rv s="10">
    <fb>7493.35</fb>
    <v>20</v>
  </rv>
  <rv s="10">
    <fb>7451</fb>
    <v>20</v>
  </rv>
  <rv s="10">
    <fb>7436.65</fb>
    <v>20</v>
  </rv>
  <rv s="10">
    <fb>7395.2</fb>
    <v>20</v>
  </rv>
  <rv s="10">
    <fb>7030.15</fb>
    <v>20</v>
  </rv>
  <rv s="10">
    <fb>7093.9</fb>
    <v>20</v>
  </rv>
  <rv s="10">
    <fb>7103.7</fb>
    <v>20</v>
  </rv>
  <rv s="10">
    <fb>7102.6</fb>
    <v>20</v>
  </rv>
  <rv s="10">
    <fb>480.25</fb>
    <v>20</v>
  </rv>
  <rv s="10">
    <fb>483.7</fb>
    <v>20</v>
  </rv>
  <rv s="10">
    <fb>480.8</fb>
    <v>20</v>
  </rv>
  <rv s="10">
    <fb>477.1</fb>
    <v>20</v>
  </rv>
  <rv s="10">
    <fb>500.5</fb>
    <v>20</v>
  </rv>
  <rv s="10">
    <fb>503.65</fb>
    <v>20</v>
  </rv>
  <rv s="10">
    <fb>509.5</fb>
    <v>20</v>
  </rv>
  <rv s="10">
    <fb>511.6</fb>
    <v>20</v>
  </rv>
  <rv s="10">
    <fb>515.95000000000005</fb>
    <v>20</v>
  </rv>
  <rv s="10">
    <fb>530.85</fb>
    <v>20</v>
  </rv>
  <rv s="10">
    <fb>521.15</fb>
    <v>20</v>
  </rv>
  <rv s="10">
    <fb>515.5</fb>
    <v>20</v>
  </rv>
  <rv s="10">
    <fb>524.95000000000005</fb>
    <v>20</v>
  </rv>
  <rv s="10">
    <fb>522.5</fb>
    <v>20</v>
  </rv>
  <rv s="10">
    <fb>528.5</fb>
    <v>20</v>
  </rv>
  <rv s="10">
    <fb>521.45000000000005</fb>
    <v>20</v>
  </rv>
  <rv s="10">
    <fb>526.29999999999995</fb>
    <v>20</v>
  </rv>
  <rv s="10">
    <fb>535.20000000000005</fb>
    <v>20</v>
  </rv>
  <rv s="10">
    <fb>535.9</fb>
    <v>20</v>
  </rv>
  <rv s="10">
    <fb>546.25</fb>
    <v>20</v>
  </rv>
  <rv s="10">
    <fb>555.75</fb>
    <v>20</v>
  </rv>
  <rv s="10">
    <fb>559.70000000000005</fb>
    <v>20</v>
  </rv>
  <rv s="10">
    <fb>562.29999999999995</fb>
    <v>20</v>
  </rv>
  <rv s="10">
    <fb>564.15</fb>
    <v>20</v>
  </rv>
  <rv s="10">
    <fb>562.20000000000005</fb>
    <v>20</v>
  </rv>
  <rv s="10">
    <fb>570.29999999999995</fb>
    <v>20</v>
  </rv>
  <rv s="10">
    <fb>568.45000000000005</fb>
    <v>20</v>
  </rv>
  <rv s="10">
    <fb>569.79999999999995</fb>
    <v>20</v>
  </rv>
  <rv s="10">
    <fb>566.04999999999995</fb>
    <v>20</v>
  </rv>
  <rv s="10">
    <fb>581.4</fb>
    <v>20</v>
  </rv>
  <rv s="10">
    <fb>569.35</fb>
    <v>20</v>
  </rv>
  <rv s="10">
    <fb>567.85</fb>
    <v>20</v>
  </rv>
  <rv s="10">
    <fb>573.1</fb>
    <v>20</v>
  </rv>
  <rv s="10">
    <fb>586.65</fb>
    <v>20</v>
  </rv>
  <rv s="10">
    <fb>595.54999999999995</fb>
    <v>20</v>
  </rv>
  <rv s="10">
    <fb>590.79999999999995</fb>
    <v>20</v>
  </rv>
  <rv s="10">
    <fb>591.45000000000005</fb>
    <v>20</v>
  </rv>
  <rv s="10">
    <fb>600.79999999999995</fb>
    <v>20</v>
  </rv>
  <rv s="10">
    <fb>618.65</fb>
    <v>20</v>
  </rv>
  <rv s="10">
    <fb>628.5</fb>
    <v>20</v>
  </rv>
  <rv s="10">
    <fb>621.45000000000005</fb>
    <v>20</v>
  </rv>
  <rv s="10">
    <fb>620.65</fb>
    <v>20</v>
  </rv>
  <rv s="10">
    <fb>624.9</fb>
    <v>20</v>
  </rv>
  <rv s="10">
    <fb>618.5</fb>
    <v>20</v>
  </rv>
  <rv s="10">
    <fb>612.1</fb>
    <v>20</v>
  </rv>
  <rv s="10">
    <fb>620.6</fb>
    <v>20</v>
  </rv>
  <rv s="10">
    <fb>621.65</fb>
    <v>20</v>
  </rv>
  <rv s="10">
    <fb>625.75</fb>
    <v>20</v>
  </rv>
  <rv s="10">
    <fb>639.45000000000005</fb>
    <v>20</v>
  </rv>
  <rv s="10">
    <fb>641.1</fb>
    <v>20</v>
  </rv>
  <rv s="10">
    <fb>643.70000000000005</fb>
    <v>20</v>
  </rv>
  <rv s="10">
    <fb>635.29999999999995</fb>
    <v>20</v>
  </rv>
  <rv s="10">
    <fb>644.29999999999995</fb>
    <v>20</v>
  </rv>
  <rv s="10">
    <fb>622.65</fb>
    <v>20</v>
  </rv>
  <rv s="10">
    <fb>618.95000000000005</fb>
    <v>20</v>
  </rv>
  <rv s="10">
    <fb>615</fb>
    <v>20</v>
  </rv>
  <rv s="10">
    <fb>609.5</fb>
    <v>20</v>
  </rv>
  <rv s="10">
    <fb>607.29999999999995</fb>
    <v>20</v>
  </rv>
  <rv s="10">
    <fb>622.54999999999995</fb>
    <v>20</v>
  </rv>
  <rv s="10">
    <fb>618.25</fb>
    <v>20</v>
  </rv>
  <rv s="10">
    <fb>611.79999999999995</fb>
    <v>20</v>
  </rv>
  <rv s="10">
    <fb>607.35</fb>
    <v>20</v>
  </rv>
  <rv s="10">
    <fb>618.75</fb>
    <v>20</v>
  </rv>
  <rv s="10">
    <fb>613.75</fb>
    <v>20</v>
  </rv>
  <rv s="10">
    <fb>615.79999999999995</fb>
    <v>20</v>
  </rv>
  <rv s="10">
    <fb>620.5</fb>
    <v>20</v>
  </rv>
  <rv s="10">
    <fb>620.20000000000005</fb>
    <v>20</v>
  </rv>
  <rv s="10">
    <fb>610.95000000000005</fb>
    <v>20</v>
  </rv>
  <rv s="10">
    <fb>605.1</fb>
    <v>20</v>
  </rv>
  <rv s="10">
    <fb>602.4</fb>
    <v>20</v>
  </rv>
  <rv s="10">
    <fb>607.15</fb>
    <v>20</v>
  </rv>
  <rv s="10">
    <fb>605.54999999999995</fb>
    <v>20</v>
  </rv>
  <rv s="10">
    <fb>601</fb>
    <v>20</v>
  </rv>
  <rv s="10">
    <fb>611.20000000000005</fb>
    <v>20</v>
  </rv>
  <rv s="10">
    <fb>609</fb>
    <v>20</v>
  </rv>
  <rv s="10">
    <fb>611.15</fb>
    <v>20</v>
  </rv>
  <rv s="10">
    <fb>610.25</fb>
    <v>20</v>
  </rv>
  <rv s="10">
    <fb>614.9</fb>
    <v>20</v>
  </rv>
  <rv s="10">
    <fb>627.25</fb>
    <v>20</v>
  </rv>
  <rv s="10">
    <fb>634.85</fb>
    <v>20</v>
  </rv>
  <rv s="10">
    <fb>620.79999999999995</fb>
    <v>20</v>
  </rv>
  <rv s="10">
    <fb>625.9</fb>
    <v>20</v>
  </rv>
  <rv s="10">
    <fb>624.6</fb>
    <v>20</v>
  </rv>
  <rv s="10">
    <fb>634.25</fb>
    <v>20</v>
  </rv>
  <rv s="10">
    <fb>638.5</fb>
    <v>20</v>
  </rv>
  <rv s="10">
    <fb>627.04999999999995</fb>
    <v>20</v>
  </rv>
  <rv s="10">
    <fb>620.45000000000005</fb>
    <v>20</v>
  </rv>
  <rv s="10">
    <fb>618.70000000000005</fb>
    <v>20</v>
  </rv>
  <rv s="10">
    <fb>619.79999999999995</fb>
    <v>20</v>
  </rv>
  <rv s="10">
    <fb>620.15</fb>
    <v>20</v>
  </rv>
  <rv s="10">
    <fb>614.1</fb>
    <v>20</v>
  </rv>
  <rv s="10">
    <fb>630.20000000000005</fb>
    <v>20</v>
  </rv>
  <rv s="10">
    <fb>613.6</fb>
    <v>20</v>
  </rv>
  <rv s="10">
    <fb>619.6</fb>
    <v>20</v>
  </rv>
  <rv s="10">
    <fb>622.45000000000005</fb>
    <v>20</v>
  </rv>
  <rv s="10">
    <fb>617.35</fb>
    <v>20</v>
  </rv>
  <rv s="10">
    <fb>630.54999999999995</fb>
    <v>20</v>
  </rv>
  <rv s="10">
    <fb>667.1</fb>
    <v>20</v>
  </rv>
  <rv s="10">
    <fb>655.7</fb>
    <v>20</v>
  </rv>
  <rv s="10">
    <fb>668.5</fb>
    <v>20</v>
  </rv>
  <rv s="10">
    <fb>668.8</fb>
    <v>20</v>
  </rv>
  <rv s="10">
    <fb>663.2</fb>
    <v>20</v>
  </rv>
  <rv s="10">
    <fb>647.35</fb>
    <v>20</v>
  </rv>
  <rv s="10">
    <fb>626.54999999999995</fb>
    <v>20</v>
  </rv>
  <rv s="10">
    <fb>641.04999999999995</fb>
    <v>20</v>
  </rv>
  <rv s="10">
    <fb>628.65</fb>
    <v>20</v>
  </rv>
  <rv s="10">
    <fb>636.45000000000005</fb>
    <v>20</v>
  </rv>
  <rv s="10">
    <fb>647.5</fb>
    <v>20</v>
  </rv>
  <rv s="10">
    <fb>646.04999999999995</fb>
    <v>20</v>
  </rv>
  <rv s="10">
    <fb>645</fb>
    <v>20</v>
  </rv>
  <rv s="10">
    <fb>642.54999999999995</fb>
    <v>20</v>
  </rv>
  <rv s="10">
    <fb>649.35</fb>
    <v>20</v>
  </rv>
  <rv s="10">
    <fb>651.04999999999995</fb>
    <v>20</v>
  </rv>
  <rv s="10">
    <fb>653.25</fb>
    <v>20</v>
  </rv>
  <rv s="10">
    <fb>671.55</fb>
    <v>20</v>
  </rv>
  <rv s="10">
    <fb>680.4</fb>
    <v>20</v>
  </rv>
  <rv s="10">
    <fb>674.3</fb>
    <v>20</v>
  </rv>
  <rv s="10">
    <fb>681.7</fb>
    <v>20</v>
  </rv>
  <rv s="10">
    <fb>681.2</fb>
    <v>20</v>
  </rv>
  <rv s="10">
    <fb>679.95</fb>
    <v>20</v>
  </rv>
  <rv s="10">
    <fb>673.7</fb>
    <v>20</v>
  </rv>
  <rv s="10">
    <fb>697.5</fb>
    <v>20</v>
  </rv>
  <rv s="10">
    <fb>712.35</fb>
    <v>20</v>
  </rv>
  <rv s="10">
    <fb>706.4</fb>
    <v>20</v>
  </rv>
  <rv s="10">
    <fb>705.45</fb>
    <v>20</v>
  </rv>
  <rv s="10">
    <fb>705.6</fb>
    <v>20</v>
  </rv>
  <rv s="10">
    <fb>722.45</fb>
    <v>20</v>
  </rv>
  <rv s="10">
    <fb>721.95</fb>
    <v>20</v>
  </rv>
  <rv s="10">
    <fb>714.55</fb>
    <v>20</v>
  </rv>
  <rv s="10">
    <fb>720.8</fb>
    <v>20</v>
  </rv>
  <rv s="10">
    <fb>715.4</fb>
    <v>20</v>
  </rv>
  <rv s="10">
    <fb>720.3</fb>
    <v>20</v>
  </rv>
  <rv s="10">
    <fb>719.75</fb>
    <v>20</v>
  </rv>
  <rv s="10">
    <fb>732.4</fb>
    <v>20</v>
  </rv>
  <rv s="10">
    <fb>730.8</fb>
    <v>20</v>
  </rv>
  <rv s="10">
    <fb>728.95</fb>
    <v>20</v>
  </rv>
  <rv s="10">
    <fb>705.25</fb>
    <v>20</v>
  </rv>
  <rv s="10">
    <fb>708.85</fb>
    <v>20</v>
  </rv>
  <rv s="10">
    <fb>724.7</fb>
    <v>20</v>
  </rv>
  <rv s="10">
    <fb>719.55</fb>
    <v>20</v>
  </rv>
  <rv s="10">
    <fb>740.9</fb>
    <v>20</v>
  </rv>
  <rv s="10">
    <fb>753.9</fb>
    <v>20</v>
  </rv>
  <rv s="10">
    <fb>779.95</fb>
    <v>20</v>
  </rv>
  <rv s="10">
    <fb>790.6</fb>
    <v>20</v>
  </rv>
  <rv s="10">
    <fb>784.4</fb>
    <v>20</v>
  </rv>
  <rv s="10">
    <fb>781.45</fb>
    <v>20</v>
  </rv>
  <rv s="10">
    <fb>795.75</fb>
    <v>20</v>
  </rv>
  <rv s="10">
    <fb>790.95</fb>
    <v>20</v>
  </rv>
  <rv s="10">
    <fb>789.1</fb>
    <v>20</v>
  </rv>
  <rv s="10">
    <fb>799.8</fb>
    <v>20</v>
  </rv>
  <rv s="10">
    <fb>808.45</fb>
    <v>20</v>
  </rv>
  <rv s="10">
    <fb>815.65</fb>
    <v>20</v>
  </rv>
  <rv s="10">
    <fb>816.45</fb>
    <v>20</v>
  </rv>
  <rv s="10">
    <fb>805.55</fb>
    <v>20</v>
  </rv>
  <rv s="10">
    <fb>823.55</fb>
    <v>20</v>
  </rv>
  <rv s="10">
    <fb>800.45</fb>
    <v>20</v>
  </rv>
  <rv s="10">
    <fb>810.9</fb>
    <v>20</v>
  </rv>
  <rv s="10">
    <fb>811.85</fb>
    <v>20</v>
  </rv>
  <rv s="10">
    <fb>841</fb>
    <v>20</v>
  </rv>
  <rv s="10">
    <fb>884.2</fb>
    <v>20</v>
  </rv>
  <rv s="10">
    <fb>926.8</fb>
    <v>20</v>
  </rv>
  <rv s="10">
    <fb>939.55</fb>
    <v>20</v>
  </rv>
  <rv s="10">
    <fb>918.3</fb>
    <v>20</v>
  </rv>
  <rv s="10">
    <fb>932.6</fb>
    <v>20</v>
  </rv>
  <rv s="10">
    <fb>926.35</fb>
    <v>20</v>
  </rv>
  <rv s="10">
    <fb>921.05</fb>
    <v>20</v>
  </rv>
  <rv s="10">
    <fb>932.3</fb>
    <v>20</v>
  </rv>
  <rv s="10">
    <fb>936.95</fb>
    <v>20</v>
  </rv>
  <rv s="10">
    <fb>962.7</fb>
    <v>20</v>
  </rv>
  <rv s="10">
    <fb>958.05</fb>
    <v>20</v>
  </rv>
  <rv s="10">
    <fb>950.2</fb>
    <v>20</v>
  </rv>
  <rv s="10">
    <fb>977.4</fb>
    <v>20</v>
  </rv>
  <rv s="10">
    <fb>988.35</fb>
    <v>20</v>
  </rv>
  <rv s="10">
    <fb>1021.9</fb>
    <v>20</v>
  </rv>
  <rv s="10">
    <fb>1017.65</fb>
    <v>20</v>
  </rv>
  <rv s="10">
    <fb>1039.3</fb>
    <v>20</v>
  </rv>
  <rv s="10">
    <fb>1028</fb>
    <v>20</v>
  </rv>
  <rv s="10">
    <fb>1016.5</fb>
    <v>20</v>
  </rv>
  <rv s="10">
    <fb>973.2</fb>
    <v>20</v>
  </rv>
  <rv s="10">
    <fb>945.85</fb>
    <v>20</v>
  </rv>
  <rv s="10">
    <fb>972.45</fb>
    <v>20</v>
  </rv>
  <rv s="10">
    <fb>957.75</fb>
    <v>20</v>
  </rv>
  <rv s="10">
    <fb>940.45</fb>
    <v>20</v>
  </rv>
  <rv s="10">
    <fb>964.9</fb>
    <v>20</v>
  </rv>
  <rv s="10">
    <fb>979.8</fb>
    <v>20</v>
  </rv>
  <rv s="10">
    <fb>986.2</fb>
    <v>20</v>
  </rv>
  <rv s="10">
    <fb>978.65</fb>
    <v>20</v>
  </rv>
  <rv s="10">
    <fb>1009.15</fb>
    <v>20</v>
  </rv>
  <rv s="10">
    <fb>1011.6</fb>
    <v>20</v>
  </rv>
  <rv s="10">
    <fb>1013.2</fb>
    <v>20</v>
  </rv>
  <rv s="10">
    <fb>1008.5</fb>
    <v>20</v>
  </rv>
  <rv s="10">
    <fb>1013.5</fb>
    <v>20</v>
  </rv>
  <rv s="10">
    <fb>1018.5</fb>
    <v>20</v>
  </rv>
  <rv s="10">
    <fb>971.35</fb>
    <v>20</v>
  </rv>
  <rv s="10">
    <fb>963.2</fb>
    <v>20</v>
  </rv>
  <rv s="10">
    <fb>973.55</fb>
    <v>20</v>
  </rv>
  <rv s="10">
    <fb>986.75</fb>
    <v>20</v>
  </rv>
  <rv s="10">
    <fb>1001.25</fb>
    <v>20</v>
  </rv>
  <rv s="10">
    <fb>999.5</fb>
    <v>20</v>
  </rv>
  <rv s="10">
    <fb>201.75</fb>
    <v>20</v>
  </rv>
  <rv s="10">
    <fb>203.8</fb>
    <v>20</v>
  </rv>
  <rv s="10">
    <fb>200.15</fb>
    <v>20</v>
  </rv>
  <rv s="10">
    <fb>203.3</fb>
    <v>20</v>
  </rv>
  <rv s="10">
    <fb>206.3</fb>
    <v>20</v>
  </rv>
  <rv s="10">
    <fb>207.05</fb>
    <v>20</v>
  </rv>
  <rv s="10">
    <fb>208.15</fb>
    <v>20</v>
  </rv>
  <rv s="10">
    <fb>211.35</fb>
    <v>20</v>
  </rv>
  <rv s="10">
    <fb>207.75</fb>
    <v>20</v>
  </rv>
  <rv s="10">
    <fb>204.6</fb>
    <v>20</v>
  </rv>
  <rv s="10">
    <fb>205.85</fb>
    <v>20</v>
  </rv>
  <rv s="10">
    <fb>206.2</fb>
    <v>20</v>
  </rv>
  <rv s="10">
    <fb>206.9</fb>
    <v>20</v>
  </rv>
  <rv s="10">
    <fb>207.15</fb>
    <v>20</v>
  </rv>
  <rv s="10">
    <fb>212.2</fb>
    <v>20</v>
  </rv>
  <rv s="10">
    <fb>216.9</fb>
    <v>20</v>
  </rv>
  <rv s="10">
    <fb>213.55</fb>
    <v>20</v>
  </rv>
  <rv s="10">
    <fb>215.3</fb>
    <v>20</v>
  </rv>
  <rv s="10">
    <fb>216.75</fb>
    <v>20</v>
  </rv>
  <rv s="10">
    <fb>220.65</fb>
    <v>20</v>
  </rv>
  <rv s="10">
    <fb>220.6</fb>
    <v>20</v>
  </rv>
  <rv s="10">
    <fb>222.25</fb>
    <v>20</v>
  </rv>
  <rv s="10">
    <fb>223.15</fb>
    <v>20</v>
  </rv>
  <rv s="10">
    <fb>224.95</fb>
    <v>20</v>
  </rv>
  <rv s="10">
    <fb>221.1</fb>
    <v>20</v>
  </rv>
  <rv s="10">
    <fb>218.3</fb>
    <v>20</v>
  </rv>
  <rv s="10">
    <fb>219.25</fb>
    <v>20</v>
  </rv>
  <rv s="10">
    <fb>218.05</fb>
    <v>20</v>
  </rv>
  <rv s="10">
    <fb>221.85</fb>
    <v>20</v>
  </rv>
  <rv s="10">
    <fb>221.7</fb>
    <v>20</v>
  </rv>
  <rv s="10">
    <fb>229.6</fb>
    <v>20</v>
  </rv>
  <rv s="10">
    <fb>225</fb>
    <v>20</v>
  </rv>
  <rv s="10">
    <fb>226.3</fb>
    <v>20</v>
  </rv>
  <rv s="10">
    <fb>221.05</fb>
    <v>20</v>
  </rv>
  <rv s="10">
    <fb>223.5</fb>
    <v>20</v>
  </rv>
  <rv s="10">
    <fb>221.5</fb>
    <v>20</v>
  </rv>
  <rv s="10">
    <fb>219.5</fb>
    <v>20</v>
  </rv>
  <rv s="10">
    <fb>218.15</fb>
    <v>20</v>
  </rv>
  <rv s="10">
    <fb>217.4</fb>
    <v>20</v>
  </rv>
  <rv s="10">
    <fb>219.45</fb>
    <v>20</v>
  </rv>
  <rv s="10">
    <fb>234.65</fb>
    <v>20</v>
  </rv>
  <rv s="10">
    <fb>236.7</fb>
    <v>20</v>
  </rv>
  <rv s="10">
    <fb>235.75</fb>
    <v>20</v>
  </rv>
  <rv s="10">
    <fb>235.45</fb>
    <v>20</v>
  </rv>
  <rv s="10">
    <fb>235.65</fb>
    <v>20</v>
  </rv>
  <rv s="10">
    <fb>233.9</fb>
    <v>20</v>
  </rv>
  <rv s="10">
    <fb>234.9</fb>
    <v>20</v>
  </rv>
  <rv s="10">
    <fb>237.15</fb>
    <v>20</v>
  </rv>
  <rv s="10">
    <fb>236.2</fb>
    <v>20</v>
  </rv>
  <rv s="10">
    <fb>231.15</fb>
    <v>20</v>
  </rv>
  <rv s="10">
    <fb>234.95</fb>
    <v>20</v>
  </rv>
  <rv s="10">
    <fb>232.5</fb>
    <v>20</v>
  </rv>
  <rv s="10">
    <fb>239.35</fb>
    <v>20</v>
  </rv>
  <rv s="10">
    <fb>243.5</fb>
    <v>20</v>
  </rv>
  <rv s="10">
    <fb>249.75</fb>
    <v>20</v>
  </rv>
  <rv s="10">
    <fb>244.95</fb>
    <v>20</v>
  </rv>
  <rv s="10">
    <fb>246.9</fb>
    <v>20</v>
  </rv>
  <rv s="10">
    <fb>247.35</fb>
    <v>20</v>
  </rv>
  <rv s="10">
    <fb>245.1</fb>
    <v>20</v>
  </rv>
  <rv s="10">
    <fb>255.35</fb>
    <v>20</v>
  </rv>
  <rv s="10">
    <fb>259.14999999999998</fb>
    <v>20</v>
  </rv>
  <rv s="10">
    <fb>258.45</fb>
    <v>20</v>
  </rv>
  <rv s="10">
    <fb>257.5</fb>
    <v>20</v>
  </rv>
  <rv s="10">
    <fb>263.7</fb>
    <v>20</v>
  </rv>
  <rv s="10">
    <fb>268.85000000000002</fb>
    <v>20</v>
  </rv>
  <rv s="10">
    <fb>262.7</fb>
    <v>20</v>
  </rv>
  <rv s="10">
    <fb>265</fb>
    <v>20</v>
  </rv>
  <rv s="10">
    <fb>265.10000000000002</fb>
    <v>20</v>
  </rv>
  <rv s="10">
    <fb>263.95</fb>
    <v>20</v>
  </rv>
  <rv s="10">
    <fb>265.55</fb>
    <v>20</v>
  </rv>
  <rv s="10">
    <fb>262</fb>
    <v>20</v>
  </rv>
  <rv s="10">
    <fb>256.64999999999998</fb>
    <v>20</v>
  </rv>
  <rv s="10">
    <fb>257.10000000000002</fb>
    <v>20</v>
  </rv>
  <rv s="10">
    <fb>256.89999999999998</fb>
    <v>20</v>
  </rv>
  <rv s="10">
    <fb>259.85000000000002</fb>
    <v>20</v>
  </rv>
  <rv s="10">
    <fb>259.75</fb>
    <v>20</v>
  </rv>
  <rv s="10">
    <fb>258.05</fb>
    <v>20</v>
  </rv>
  <rv s="10">
    <fb>262.3</fb>
    <v>20</v>
  </rv>
  <rv s="10">
    <fb>257.8</fb>
    <v>20</v>
  </rv>
  <rv s="10">
    <fb>258.75</fb>
    <v>20</v>
  </rv>
  <rv s="10">
    <fb>250</fb>
    <v>20</v>
  </rv>
  <rv s="10">
    <fb>253.9</fb>
    <v>20</v>
  </rv>
  <rv s="10">
    <fb>255.15</fb>
    <v>20</v>
  </rv>
  <rv s="10">
    <fb>254.8</fb>
    <v>20</v>
  </rv>
  <rv s="10">
    <fb>253.05</fb>
    <v>20</v>
  </rv>
  <rv s="10">
    <fb>252</fb>
    <v>20</v>
  </rv>
  <rv s="10">
    <fb>247.4</fb>
    <v>20</v>
  </rv>
  <rv s="10">
    <fb>238.25</fb>
    <v>20</v>
  </rv>
  <rv s="10">
    <fb>238.15</fb>
    <v>20</v>
  </rv>
  <rv s="10">
    <fb>239.1</fb>
    <v>20</v>
  </rv>
  <rv s="10">
    <fb>236.9</fb>
    <v>20</v>
  </rv>
  <rv s="10">
    <fb>244.8</fb>
    <v>20</v>
  </rv>
  <rv s="10">
    <fb>244.6</fb>
    <v>20</v>
  </rv>
  <rv s="10">
    <fb>249.8</fb>
    <v>20</v>
  </rv>
  <rv s="10">
    <fb>254.95</fb>
    <v>20</v>
  </rv>
  <rv s="10">
    <fb>251.4</fb>
    <v>20</v>
  </rv>
  <rv s="10">
    <fb>253.15</fb>
    <v>20</v>
  </rv>
  <rv s="10">
    <fb>257.05</fb>
    <v>20</v>
  </rv>
  <rv s="10">
    <fb>259.2</fb>
    <v>20</v>
  </rv>
  <rv s="10">
    <fb>262.45</fb>
    <v>20</v>
  </rv>
  <rv s="10">
    <fb>262.64999999999998</fb>
    <v>20</v>
  </rv>
  <rv s="10">
    <fb>260.85000000000002</fb>
    <v>20</v>
  </rv>
  <rv s="10">
    <fb>262.10000000000002</fb>
    <v>20</v>
  </rv>
  <rv s="10">
    <fb>260.75</fb>
    <v>20</v>
  </rv>
  <rv s="10">
    <fb>258.14999999999998</fb>
    <v>20</v>
  </rv>
  <rv s="10">
    <fb>270.8</fb>
    <v>20</v>
  </rv>
  <rv s="10">
    <fb>273.39999999999998</fb>
    <v>20</v>
  </rv>
  <rv s="10">
    <fb>267.89999999999998</fb>
    <v>20</v>
  </rv>
  <rv s="10">
    <fb>276</fb>
    <v>20</v>
  </rv>
  <rv s="10">
    <fb>281.5</fb>
    <v>20</v>
  </rv>
  <rv s="10">
    <fb>294.14999999999998</fb>
    <v>20</v>
  </rv>
  <rv s="10">
    <fb>325.8</fb>
    <v>20</v>
  </rv>
  <rv s="10">
    <fb>323.55</fb>
    <v>20</v>
  </rv>
  <rv s="10">
    <fb>333.65</fb>
    <v>20</v>
  </rv>
  <rv s="10">
    <fb>330.8</fb>
    <v>20</v>
  </rv>
  <rv s="10">
    <fb>338.15</fb>
    <v>20</v>
  </rv>
  <rv s="10">
    <fb>335.4</fb>
    <v>20</v>
  </rv>
  <rv s="10">
    <fb>333.2</fb>
    <v>20</v>
  </rv>
  <rv s="10">
    <fb>337.05</fb>
    <v>20</v>
  </rv>
  <rv s="10">
    <fb>335.9</fb>
    <v>20</v>
  </rv>
  <rv s="10">
    <fb>320.14999999999998</fb>
    <v>20</v>
  </rv>
  <rv s="10">
    <fb>328.55</fb>
    <v>20</v>
  </rv>
  <rv s="10">
    <fb>326.64999999999998</fb>
    <v>20</v>
  </rv>
  <rv s="10">
    <fb>325.39999999999998</fb>
    <v>20</v>
  </rv>
  <rv s="10">
    <fb>329.8</fb>
    <v>20</v>
  </rv>
  <rv s="10">
    <fb>332.15</fb>
    <v>20</v>
  </rv>
  <rv s="10">
    <fb>330.3</fb>
    <v>20</v>
  </rv>
  <rv s="10">
    <fb>329.85</fb>
    <v>20</v>
  </rv>
  <rv s="10">
    <fb>326.7</fb>
    <v>20</v>
  </rv>
  <rv s="10">
    <fb>337.85</fb>
    <v>20</v>
  </rv>
  <rv s="10">
    <fb>340.75</fb>
    <v>20</v>
  </rv>
  <rv s="10">
    <fb>338.95</fb>
    <v>20</v>
  </rv>
  <rv s="10">
    <fb>340.2</fb>
    <v>20</v>
  </rv>
  <rv s="10">
    <fb>346.45</fb>
    <v>20</v>
  </rv>
  <rv s="10">
    <fb>357.3</fb>
    <v>20</v>
  </rv>
  <rv s="10">
    <fb>357.75</fb>
    <v>20</v>
  </rv>
  <rv s="10">
    <fb>353.45</fb>
    <v>20</v>
  </rv>
  <rv s="10">
    <fb>348.8</fb>
    <v>20</v>
  </rv>
  <rv s="10">
    <fb>345.55</fb>
    <v>20</v>
  </rv>
  <rv s="10">
    <fb>345.85</fb>
    <v>20</v>
  </rv>
  <rv s="10">
    <fb>346.2</fb>
    <v>20</v>
  </rv>
  <rv s="10">
    <fb>365.1</fb>
    <v>20</v>
  </rv>
  <rv s="10">
    <fb>381.9</fb>
    <v>20</v>
  </rv>
  <rv s="10">
    <fb>383.25</fb>
    <v>20</v>
  </rv>
  <rv s="10">
    <fb>389.75</fb>
    <v>20</v>
  </rv>
  <rv s="10">
    <fb>388.85</fb>
    <v>20</v>
  </rv>
  <rv s="10">
    <fb>394</fb>
    <v>20</v>
  </rv>
  <rv s="10">
    <fb>392.95</fb>
    <v>20</v>
  </rv>
  <rv s="10">
    <fb>395.15</fb>
    <v>20</v>
  </rv>
  <rv s="10">
    <fb>392.1</fb>
    <v>20</v>
  </rv>
  <rv s="10">
    <fb>361.7</fb>
    <v>20</v>
  </rv>
  <rv s="10">
    <fb>365.05</fb>
    <v>20</v>
  </rv>
  <rv s="10">
    <fb>378.85</fb>
    <v>20</v>
  </rv>
  <rv s="10">
    <fb>376.3</fb>
    <v>20</v>
  </rv>
  <rv s="10">
    <fb>378.95</fb>
    <v>20</v>
  </rv>
  <rv s="10">
    <fb>377.9</fb>
    <v>20</v>
  </rv>
  <rv s="10">
    <fb>375.55</fb>
    <v>20</v>
  </rv>
  <rv s="10">
    <fb>365.75</fb>
    <v>20</v>
  </rv>
  <rv s="10">
    <fb>371.75</fb>
    <v>20</v>
  </rv>
  <rv s="10">
    <fb>377.4</fb>
    <v>20</v>
  </rv>
  <rv s="10">
    <fb>379.15</fb>
    <v>20</v>
  </rv>
  <rv s="10">
    <fb>396.15</fb>
    <v>20</v>
  </rv>
  <rv s="10">
    <fb>394.95</fb>
    <v>20</v>
  </rv>
  <rv s="10">
    <fb>425.25</fb>
    <v>20</v>
  </rv>
  <rv s="10">
    <fb>413.15</fb>
    <v>20</v>
  </rv>
  <rv s="10">
    <fb>396.1</fb>
    <v>20</v>
  </rv>
  <rv s="10">
    <fb>384.45</fb>
    <v>20</v>
  </rv>
  <rv s="10">
    <fb>380.75</fb>
    <v>20</v>
  </rv>
  <rv s="10">
    <fb>379.9</fb>
    <v>20</v>
  </rv>
  <rv s="10">
    <fb>392.15</fb>
    <v>20</v>
  </rv>
  <rv s="10">
    <fb>390.1</fb>
    <v>20</v>
  </rv>
  <rv s="10">
    <fb>388.4</fb>
    <v>20</v>
  </rv>
  <rv s="10">
    <fb>394.2</fb>
    <v>20</v>
  </rv>
  <rv s="10">
    <fb>406.95</fb>
    <v>20</v>
  </rv>
  <rv s="10">
    <fb>408.8</fb>
    <v>20</v>
  </rv>
  <rv s="10">
    <fb>412.25</fb>
    <v>20</v>
  </rv>
  <rv s="10">
    <fb>414.1</fb>
    <v>20</v>
  </rv>
  <rv s="10">
    <fb>414.6</fb>
    <v>20</v>
  </rv>
  <rv s="10">
    <fb>416.35</fb>
    <v>20</v>
  </rv>
  <rv s="10">
    <fb>429.9</fb>
    <v>20</v>
  </rv>
  <rv s="10">
    <fb>431.95</fb>
    <v>20</v>
  </rv>
  <rv s="10">
    <fb>431.6</fb>
    <v>20</v>
  </rv>
  <rv s="10">
    <fb>430.4</fb>
    <v>20</v>
  </rv>
  <rv s="10">
    <fb>429.75</fb>
    <v>20</v>
  </rv>
  <rv s="10">
    <fb>427.95</fb>
    <v>20</v>
  </rv>
  <rv s="10">
    <fb>429.65</fb>
    <v>20</v>
  </rv>
  <rv s="10">
    <fb>428.3</fb>
    <v>20</v>
  </rv>
  <rv s="10">
    <fb>436.9</fb>
    <v>20</v>
  </rv>
  <rv s="10">
    <fb>109.7</fb>
    <v>20</v>
  </rv>
  <rv s="10">
    <fb>111.05</fb>
    <v>20</v>
  </rv>
  <rv s="10">
    <fb>108.65</fb>
    <v>20</v>
  </rv>
  <rv s="10">
    <fb>109.55</fb>
    <v>20</v>
  </rv>
  <rv s="10">
    <fb>109.25</fb>
    <v>20</v>
  </rv>
  <rv s="10">
    <fb>108.55</fb>
    <v>20</v>
  </rv>
  <rv s="10">
    <fb>106.75</fb>
    <v>20</v>
  </rv>
  <rv s="10">
    <fb>107.7</fb>
    <v>20</v>
  </rv>
  <rv s="10">
    <fb>107.4</fb>
    <v>20</v>
  </rv>
  <rv s="10">
    <fb>106</fb>
    <v>20</v>
  </rv>
  <rv s="10">
    <fb>105.2</fb>
    <v>20</v>
  </rv>
  <rv s="10">
    <fb>104.65</fb>
    <v>20</v>
  </rv>
  <rv s="10">
    <fb>105</fb>
    <v>20</v>
  </rv>
  <rv s="10">
    <fb>105.95</fb>
    <v>20</v>
  </rv>
  <rv s="10">
    <fb>108</fb>
    <v>20</v>
  </rv>
  <rv s="10">
    <fb>109</fb>
    <v>20</v>
  </rv>
  <rv s="10">
    <fb>111.5</fb>
    <v>20</v>
  </rv>
  <rv s="10">
    <fb>109.5</fb>
    <v>20</v>
  </rv>
  <rv s="10">
    <fb>113.8</fb>
    <v>20</v>
  </rv>
  <rv s="10">
    <fb>114.25</fb>
    <v>20</v>
  </rv>
  <rv s="10">
    <fb>114.1</fb>
    <v>20</v>
  </rv>
  <rv s="10">
    <fb>113.9</fb>
    <v>20</v>
  </rv>
  <rv s="10">
    <fb>111.1</fb>
    <v>20</v>
  </rv>
  <rv s="10">
    <fb>109.85</fb>
    <v>20</v>
  </rv>
  <rv s="10">
    <fb>111.55</fb>
    <v>20</v>
  </rv>
  <rv s="10">
    <fb>113.1</fb>
    <v>20</v>
  </rv>
  <rv s="10">
    <fb>112.4</fb>
    <v>20</v>
  </rv>
  <rv s="10">
    <fb>112.95</fb>
    <v>20</v>
  </rv>
  <rv s="10">
    <fb>112.65</fb>
    <v>20</v>
  </rv>
  <rv s="10">
    <fb>111.6</fb>
    <v>20</v>
  </rv>
  <rv s="10">
    <fb>114.7</fb>
    <v>20</v>
  </rv>
  <rv s="10">
    <fb>114.85</fb>
    <v>20</v>
  </rv>
  <rv s="10">
    <fb>117.15</fb>
    <v>20</v>
  </rv>
  <rv s="10">
    <fb>116.7</fb>
    <v>20</v>
  </rv>
  <rv s="10">
    <fb>115.5</fb>
    <v>20</v>
  </rv>
  <rv s="10">
    <fb>119.25</fb>
    <v>20</v>
  </rv>
  <rv s="10">
    <fb>120.6</fb>
    <v>20</v>
  </rv>
  <rv s="10">
    <fb>123.15</fb>
    <v>20</v>
  </rv>
  <rv s="10">
    <fb>118.95</fb>
    <v>20</v>
  </rv>
  <rv s="10">
    <fb>120</fb>
    <v>20</v>
  </rv>
  <rv s="10">
    <fb>120.3</fb>
    <v>20</v>
  </rv>
  <rv s="10">
    <fb>115.95</fb>
    <v>20</v>
  </rv>
  <rv s="10">
    <fb>115.8</fb>
    <v>20</v>
  </rv>
  <rv s="10">
    <fb>116.9</fb>
    <v>20</v>
  </rv>
  <rv s="10">
    <fb>119.55</fb>
    <v>20</v>
  </rv>
  <rv s="10">
    <fb>122.1</fb>
    <v>20</v>
  </rv>
  <rv s="10">
    <fb>127.05</fb>
    <v>20</v>
  </rv>
  <rv s="10">
    <fb>131.69999999999999</fb>
    <v>20</v>
  </rv>
  <rv s="10">
    <fb>129.6</fb>
    <v>20</v>
  </rv>
  <rv s="10">
    <fb>130.15</fb>
    <v>20</v>
  </rv>
  <rv s="10">
    <fb>129.5</fb>
    <v>20</v>
  </rv>
  <rv s="10">
    <fb>129</fb>
    <v>20</v>
  </rv>
  <rv s="10">
    <fb>131.94999999999999</fb>
    <v>20</v>
  </rv>
  <rv s="10">
    <fb>130.44999999999999</fb>
    <v>20</v>
  </rv>
  <rv s="10">
    <fb>128.30000000000001</fb>
    <v>20</v>
  </rv>
  <rv s="10">
    <fb>127.8</fb>
    <v>20</v>
  </rv>
  <rv s="10">
    <fb>127.4</fb>
    <v>20</v>
  </rv>
  <rv s="10">
    <fb>128.9</fb>
    <v>20</v>
  </rv>
  <rv s="10">
    <fb>128</fb>
    <v>20</v>
  </rv>
  <rv s="10">
    <fb>125.3</fb>
    <v>20</v>
  </rv>
  <rv s="10">
    <fb>125.25</fb>
    <v>20</v>
  </rv>
  <rv s="10">
    <fb>125.9</fb>
    <v>20</v>
  </rv>
  <rv s="10">
    <fb>125.05</fb>
    <v>20</v>
  </rv>
  <rv s="10">
    <fb>127</fb>
    <v>20</v>
  </rv>
  <rv s="10">
    <fb>127.1</fb>
    <v>20</v>
  </rv>
  <rv s="10">
    <fb>126</fb>
    <v>20</v>
  </rv>
  <rv s="10">
    <fb>117.3</fb>
    <v>20</v>
  </rv>
  <rv s="10">
    <fb>119.4</fb>
    <v>20</v>
  </rv>
  <rv s="10">
    <fb>119.65</fb>
    <v>20</v>
  </rv>
  <rv s="10">
    <fb>120.05</fb>
    <v>20</v>
  </rv>
  <rv s="10">
    <fb>120.85</fb>
    <v>20</v>
  </rv>
  <rv s="10">
    <fb>124.7</fb>
    <v>20</v>
  </rv>
  <rv s="10">
    <fb>126.25</fb>
    <v>20</v>
  </rv>
  <rv s="10">
    <fb>126.1</fb>
    <v>20</v>
  </rv>
  <rv s="10">
    <fb>126.7</fb>
    <v>20</v>
  </rv>
  <rv s="10">
    <fb>126.85</fb>
    <v>20</v>
  </rv>
  <rv s="10">
    <fb>131</fb>
    <v>20</v>
  </rv>
  <rv s="10">
    <fb>131.6</fb>
    <v>20</v>
  </rv>
  <rv s="10">
    <fb>131.85</fb>
    <v>20</v>
  </rv>
  <rv s="10">
    <fb>129.19999999999999</fb>
    <v>20</v>
  </rv>
  <rv s="10">
    <fb>130.05000000000001</fb>
    <v>20</v>
  </rv>
  <rv s="10">
    <fb>130.1</fb>
    <v>20</v>
  </rv>
  <rv s="10">
    <fb>136.44999999999999</fb>
    <v>20</v>
  </rv>
  <rv s="10">
    <fb>136.6</fb>
    <v>20</v>
  </rv>
  <rv s="10">
    <fb>135.4</fb>
    <v>20</v>
  </rv>
  <rv s="10">
    <fb>129.75</fb>
    <v>20</v>
  </rv>
  <rv s="10">
    <fb>135.19999999999999</fb>
    <v>20</v>
  </rv>
  <rv s="10">
    <fb>138.15</fb>
    <v>20</v>
  </rv>
  <rv s="10">
    <fb>139.6</fb>
    <v>20</v>
  </rv>
  <rv s="10">
    <fb>139.85</fb>
    <v>20</v>
  </rv>
  <rv s="10">
    <fb>135.35</fb>
    <v>20</v>
  </rv>
  <rv s="10">
    <fb>134.25</fb>
    <v>20</v>
  </rv>
  <rv s="10">
    <fb>134.1</fb>
    <v>20</v>
  </rv>
  <rv s="10">
    <fb>134.9</fb>
    <v>20</v>
  </rv>
  <rv s="10">
    <fb>135.30000000000001</fb>
    <v>20</v>
  </rv>
  <rv s="10">
    <fb>137.25</fb>
    <v>20</v>
  </rv>
  <rv s="10">
    <fb>131.65</fb>
    <v>20</v>
  </rv>
  <rv s="10">
    <fb>133.94999999999999</fb>
    <v>20</v>
  </rv>
  <rv s="10">
    <fb>135.15</fb>
    <v>20</v>
  </rv>
  <rv s="10">
    <fb>135</fb>
    <v>20</v>
  </rv>
  <rv s="10">
    <fb>134.69999999999999</fb>
    <v>20</v>
  </rv>
  <rv s="10">
    <fb>135.94999999999999</fb>
    <v>20</v>
  </rv>
  <rv s="10">
    <fb>134.80000000000001</fb>
    <v>20</v>
  </rv>
  <rv s="10">
    <fb>141.55000000000001</fb>
    <v>20</v>
  </rv>
  <rv s="10">
    <fb>144.65</fb>
    <v>20</v>
  </rv>
  <rv s="10">
    <fb>144.4</fb>
    <v>20</v>
  </rv>
  <rv s="10">
    <fb>143.65</fb>
    <v>20</v>
  </rv>
  <rv s="10">
    <fb>141.30000000000001</fb>
    <v>20</v>
  </rv>
  <rv s="10">
    <fb>137.4</fb>
    <v>20</v>
  </rv>
  <rv s="10">
    <fb>137.85</fb>
    <v>20</v>
  </rv>
  <rv s="10">
    <fb>141.19999999999999</fb>
    <v>20</v>
  </rv>
  <rv s="10">
    <fb>142.30000000000001</fb>
    <v>20</v>
  </rv>
  <rv s="10">
    <fb>141.94999999999999</fb>
    <v>20</v>
  </rv>
  <rv s="10">
    <fb>143.9</fb>
    <v>20</v>
  </rv>
  <rv s="10">
    <fb>145.9</fb>
    <v>20</v>
  </rv>
  <rv s="10">
    <fb>145.44999999999999</fb>
    <v>20</v>
  </rv>
  <rv s="10">
    <fb>142.65</fb>
    <v>20</v>
  </rv>
  <rv s="10">
    <fb>144.19999999999999</fb>
    <v>20</v>
  </rv>
  <rv s="10">
    <fb>140.75</fb>
    <v>20</v>
  </rv>
  <rv s="10">
    <fb>140.85</fb>
    <v>20</v>
  </rv>
  <rv s="10">
    <fb>149.94999999999999</fb>
    <v>20</v>
  </rv>
  <rv s="10">
    <fb>153.1</fb>
    <v>20</v>
  </rv>
  <rv s="10">
    <fb>151.85</fb>
    <v>20</v>
  </rv>
  <rv s="10">
    <fb>151.6</fb>
    <v>20</v>
  </rv>
  <rv s="10">
    <fb>157.25</fb>
    <v>20</v>
  </rv>
  <rv s="10">
    <fb>153.44999999999999</fb>
    <v>20</v>
  </rv>
  <rv s="10">
    <fb>152.5</fb>
    <v>20</v>
  </rv>
  <rv s="10">
    <fb>142.44999999999999</fb>
    <v>20</v>
  </rv>
  <rv s="10">
    <fb>141.69999999999999</fb>
    <v>20</v>
  </rv>
  <rv s="10">
    <fb>149.69999999999999</fb>
    <v>20</v>
  </rv>
  <rv s="10">
    <fb>148.75</fb>
    <v>20</v>
  </rv>
  <rv s="10">
    <fb>145.65</fb>
    <v>20</v>
  </rv>
  <rv s="10">
    <fb>150.1</fb>
    <v>20</v>
  </rv>
  <rv s="10">
    <fb>151.80000000000001</fb>
    <v>20</v>
  </rv>
  <rv s="10">
    <fb>152.4</fb>
    <v>20</v>
  </rv>
  <rv s="10">
    <fb>152.69999999999999</fb>
    <v>20</v>
  </rv>
  <rv s="10">
    <fb>155.85</fb>
    <v>20</v>
  </rv>
  <rv s="10">
    <fb>163.15</fb>
    <v>20</v>
  </rv>
  <rv s="10">
    <fb>164.65</fb>
    <v>20</v>
  </rv>
  <rv s="10">
    <fb>163.65</fb>
    <v>20</v>
  </rv>
  <rv s="10">
    <fb>163.4</fb>
    <v>20</v>
  </rv>
  <rv s="10">
    <fb>163.35</fb>
    <v>20</v>
  </rv>
  <rv s="10">
    <fb>165.2</fb>
    <v>20</v>
  </rv>
  <rv s="10">
    <fb>166</fb>
    <v>20</v>
  </rv>
  <rv s="10">
    <fb>160.85</fb>
    <v>20</v>
  </rv>
  <rv s="10">
    <fb>160.05000000000001</fb>
    <v>20</v>
  </rv>
  <rv s="10">
    <fb>162.1</fb>
    <v>20</v>
  </rv>
  <rv s="10">
    <fb>161.85</fb>
    <v>20</v>
  </rv>
  <rv s="10">
    <fb>161.15</fb>
    <v>20</v>
  </rv>
  <rv s="10">
    <fb>165.55</fb>
    <v>20</v>
  </rv>
  <rv s="10">
    <fb>167.7</fb>
    <v>20</v>
  </rv>
  <rv s="10">
    <fb>167.4</fb>
    <v>20</v>
  </rv>
  <rv s="10">
    <fb>3219.4</fb>
    <v>20</v>
  </rv>
  <rv s="10">
    <fb>3179.9</fb>
    <v>20</v>
  </rv>
  <rv s="10">
    <fb>3220.7</fb>
    <v>20</v>
  </rv>
  <rv s="10">
    <fb>3230.7</fb>
    <v>20</v>
  </rv>
  <rv s="10">
    <fb>3250.6</fb>
    <v>20</v>
  </rv>
  <rv s="10">
    <fb>3283.25</fb>
    <v>20</v>
  </rv>
  <rv s="10">
    <fb>3286.8</fb>
    <v>20</v>
  </rv>
  <rv s="10">
    <fb>3282.15</fb>
    <v>20</v>
  </rv>
  <rv s="10">
    <fb>3274.3</fb>
    <v>20</v>
  </rv>
  <rv s="10">
    <fb>3255.05</fb>
    <v>20</v>
  </rv>
  <rv s="10">
    <fb>3258.15</fb>
    <v>20</v>
  </rv>
  <rv s="10">
    <fb>3208.7</fb>
    <v>20</v>
  </rv>
  <rv s="10">
    <fb>3199.85</fb>
    <v>20</v>
  </rv>
  <rv s="10">
    <fb>3222.85</fb>
    <v>20</v>
  </rv>
  <rv s="10">
    <fb>3298.7</fb>
    <v>20</v>
  </rv>
  <rv s="10">
    <fb>3297.05</fb>
    <v>20</v>
  </rv>
  <rv s="10">
    <fb>3303.35</fb>
    <v>20</v>
  </rv>
  <rv s="10">
    <fb>3293.5</fb>
    <v>20</v>
  </rv>
  <rv s="10">
    <fb>3328.9</fb>
    <v>20</v>
  </rv>
  <rv s="10">
    <fb>3320.35</fb>
    <v>20</v>
  </rv>
  <rv s="10">
    <fb>3316.2</fb>
    <v>20</v>
  </rv>
  <rv s="10">
    <fb>3289.5</fb>
    <v>20</v>
  </rv>
  <rv s="10">
    <fb>3324</fb>
    <v>20</v>
  </rv>
  <rv s="10">
    <fb>3305.6</fb>
    <v>20</v>
  </rv>
  <rv s="10">
    <fb>3288.9</fb>
    <v>20</v>
  </rv>
  <rv s="10">
    <fb>3232.3</fb>
    <v>20</v>
  </rv>
  <rv s="10">
    <fb>3274.9</fb>
    <v>20</v>
  </rv>
  <rv s="10">
    <fb>3236.45</fb>
    <v>20</v>
  </rv>
  <rv s="10">
    <fb>3209.3</fb>
    <v>20</v>
  </rv>
  <rv s="10">
    <fb>3246.9</fb>
    <v>20</v>
  </rv>
  <rv s="10">
    <fb>3243.7</fb>
    <v>20</v>
  </rv>
  <rv s="10">
    <fb>3251.05</fb>
    <v>20</v>
  </rv>
  <rv s="10">
    <fb>3216.3</fb>
    <v>20</v>
  </rv>
  <rv s="10">
    <fb>3174.9</fb>
    <v>20</v>
  </rv>
  <rv s="10">
    <fb>3210.4</fb>
    <v>20</v>
  </rv>
  <rv s="10">
    <fb>3227.7</fb>
    <v>20</v>
  </rv>
  <rv s="10">
    <fb>3258.2</fb>
    <v>20</v>
  </rv>
  <rv s="10">
    <fb>3238.5</fb>
    <v>20</v>
  </rv>
  <rv s="10">
    <fb>3216.35</fb>
    <v>20</v>
  </rv>
  <rv s="10">
    <fb>3189.65</fb>
    <v>20</v>
  </rv>
  <rv s="10">
    <fb>3197.35</fb>
    <v>20</v>
  </rv>
  <rv s="10">
    <fb>3215.45</fb>
    <v>20</v>
  </rv>
  <rv s="10">
    <fb>3302.25</fb>
    <v>20</v>
  </rv>
  <rv s="10">
    <fb>3272.3</fb>
    <v>20</v>
  </rv>
  <rv s="10">
    <fb>3308.85</fb>
    <v>20</v>
  </rv>
  <rv s="10">
    <fb>3319.95</fb>
    <v>20</v>
  </rv>
  <rv s="10">
    <fb>3322.9</fb>
    <v>20</v>
  </rv>
  <rv s="10">
    <fb>3329.25</fb>
    <v>20</v>
  </rv>
  <rv s="10">
    <fb>3271.95</fb>
    <v>20</v>
  </rv>
  <rv s="10">
    <fb>3272.4</fb>
    <v>20</v>
  </rv>
  <rv s="10">
    <fb>3259.9</fb>
    <v>20</v>
  </rv>
  <rv s="10">
    <fb>3340.55</fb>
    <v>20</v>
  </rv>
  <rv s="10">
    <fb>3491.7</fb>
    <v>20</v>
  </rv>
  <rv s="10">
    <fb>3496.85</fb>
    <v>20</v>
  </rv>
  <rv s="10">
    <fb>3470.05</fb>
    <v>20</v>
  </rv>
  <rv s="10">
    <fb>3463.3</fb>
    <v>20</v>
  </rv>
  <rv s="10">
    <fb>3368.3</fb>
    <v>20</v>
  </rv>
  <rv s="10">
    <fb>3394.75</fb>
    <v>20</v>
  </rv>
  <rv s="10">
    <fb>3399.15</fb>
    <v>20</v>
  </rv>
  <rv s="10">
    <fb>3388.3</fb>
    <v>20</v>
  </rv>
  <rv s="10">
    <fb>3396.9</fb>
    <v>20</v>
  </rv>
  <rv s="10">
    <fb>3355.4</fb>
    <v>20</v>
  </rv>
  <rv s="10">
    <fb>3421.45</fb>
    <v>20</v>
  </rv>
  <rv s="10">
    <fb>3452.05</fb>
    <v>20</v>
  </rv>
  <rv s="10">
    <fb>3440.65</fb>
    <v>20</v>
  </rv>
  <rv s="10">
    <fb>3399.95</fb>
    <v>20</v>
  </rv>
  <rv s="10">
    <fb>3443.55</fb>
    <v>20</v>
  </rv>
  <rv s="10">
    <fb>3484.05</fb>
    <v>20</v>
  </rv>
  <rv s="10">
    <fb>3470.6</fb>
    <v>20</v>
  </rv>
  <rv s="10">
    <fb>3462.5</fb>
    <v>20</v>
  </rv>
  <rv s="10">
    <fb>3442.1</fb>
    <v>20</v>
  </rv>
  <rv s="10">
    <fb>3448.8</fb>
    <v>20</v>
  </rv>
  <rv s="10">
    <fb>3449.85</fb>
    <v>20</v>
  </rv>
  <rv s="10">
    <fb>3458.4</fb>
    <v>20</v>
  </rv>
  <rv s="10">
    <fb>3435.75</fb>
    <v>20</v>
  </rv>
  <rv s="10">
    <fb>3367.1</fb>
    <v>20</v>
  </rv>
  <rv s="10">
    <fb>3401.65</fb>
    <v>20</v>
  </rv>
  <rv s="10">
    <fb>3382.15</fb>
    <v>20</v>
  </rv>
  <rv s="10">
    <fb>3398.25</fb>
    <v>20</v>
  </rv>
  <rv s="10">
    <fb>3387.75</fb>
    <v>20</v>
  </rv>
  <rv s="10">
    <fb>3381.3</fb>
    <v>20</v>
  </rv>
  <rv s="10">
    <fb>3375.55</fb>
    <v>20</v>
  </rv>
  <rv s="10">
    <fb>3376.15</fb>
    <v>20</v>
  </rv>
  <rv s="10">
    <fb>3390.95</fb>
    <v>20</v>
  </rv>
  <rv s="10">
    <fb>3356.8</fb>
    <v>20</v>
  </rv>
  <rv s="10">
    <fb>3379.2</fb>
    <v>20</v>
  </rv>
  <rv s="10">
    <fb>3418.5</fb>
    <v>20</v>
  </rv>
  <rv s="10">
    <fb>3429.35</fb>
    <v>20</v>
  </rv>
  <rv s="10">
    <fb>3429.9</fb>
    <v>20</v>
  </rv>
  <rv s="10">
    <fb>3455.25</fb>
    <v>20</v>
  </rv>
  <rv s="10">
    <fb>3441.9</fb>
    <v>20</v>
  </rv>
  <rv s="10">
    <fb>3480.65</fb>
    <v>20</v>
  </rv>
  <rv s="10">
    <fb>3580.8</fb>
    <v>20</v>
  </rv>
  <rv s="10">
    <fb>3567.85</fb>
    <v>20</v>
  </rv>
  <rv s="10">
    <fb>3560.05</fb>
    <v>20</v>
  </rv>
  <rv s="10">
    <fb>3598.3</fb>
    <v>20</v>
  </rv>
  <rv s="10">
    <fb>3606.15</fb>
    <v>20</v>
  </rv>
  <rv s="10">
    <fb>3606.05</fb>
    <v>20</v>
  </rv>
  <rv s="10">
    <fb>3585.3</fb>
    <v>20</v>
  </rv>
  <rv s="10">
    <fb>3603.65</fb>
    <v>20</v>
  </rv>
  <rv s="10">
    <fb>3577.15</fb>
    <v>20</v>
  </rv>
  <rv s="10">
    <fb>3585.7</fb>
    <v>20</v>
  </rv>
  <rv s="10">
    <fb>3589.3</fb>
    <v>20</v>
  </rv>
  <rv s="10">
    <fb>3536.75</fb>
    <v>20</v>
  </rv>
  <rv s="10">
    <fb>3528.6</fb>
    <v>20</v>
  </rv>
  <rv s="10">
    <fb>3513.85</fb>
    <v>20</v>
  </rv>
  <rv s="10">
    <fb>3537.75</fb>
    <v>20</v>
  </rv>
  <rv s="10">
    <fb>3589.35</fb>
    <v>20</v>
  </rv>
  <rv s="10">
    <fb>3621.4</fb>
    <v>20</v>
  </rv>
  <rv s="10">
    <fb>3638.35</fb>
    <v>20</v>
  </rv>
  <rv s="10">
    <fb>3628.9</fb>
    <v>20</v>
  </rv>
  <rv s="10">
    <fb>3609.9</fb>
    <v>20</v>
  </rv>
  <rv s="10">
    <fb>3542.55</fb>
    <v>20</v>
  </rv>
  <rv s="10">
    <fb>3570.85</fb>
    <v>20</v>
  </rv>
  <rv s="10">
    <fb>3524.05</fb>
    <v>20</v>
  </rv>
  <rv s="10">
    <fb>3507.05</fb>
    <v>20</v>
  </rv>
  <rv s="10">
    <fb>3487.25</fb>
    <v>20</v>
  </rv>
  <rv s="10">
    <fb>3455.65</fb>
    <v>20</v>
  </rv>
  <rv s="10">
    <fb>3494.55</fb>
    <v>20</v>
  </rv>
  <rv s="10">
    <fb>3410.15</fb>
    <v>20</v>
  </rv>
  <rv s="10">
    <fb>3390.1</fb>
    <v>20</v>
  </rv>
  <rv s="10">
    <fb>3336.75</fb>
    <v>20</v>
  </rv>
  <rv s="10">
    <fb>3350.95</fb>
    <v>20</v>
  </rv>
  <rv s="10">
    <fb>3378.55</fb>
    <v>20</v>
  </rv>
  <rv s="10">
    <fb>3368.75</fb>
    <v>20</v>
  </rv>
  <rv s="10">
    <fb>3330.65</fb>
    <v>20</v>
  </rv>
  <rv s="10">
    <fb>3360.1</fb>
    <v>20</v>
  </rv>
  <rv s="10">
    <fb>3350.9</fb>
    <v>20</v>
  </rv>
  <rv s="10">
    <fb>3380.25</fb>
    <v>20</v>
  </rv>
  <rv s="10">
    <fb>3370.45</fb>
    <v>20</v>
  </rv>
  <rv s="10">
    <fb>3381.55</fb>
    <v>20</v>
  </rv>
  <rv s="10">
    <fb>3347.45</fb>
    <v>20</v>
  </rv>
  <rv s="10">
    <fb>3333.45</fb>
    <v>20</v>
  </rv>
  <rv s="10">
    <fb>3357.3</fb>
    <v>20</v>
  </rv>
  <rv s="10">
    <fb>3331.55</fb>
    <v>20</v>
  </rv>
  <rv s="10">
    <fb>3404.3</fb>
    <v>20</v>
  </rv>
  <rv s="10">
    <fb>3497.85</fb>
    <v>20</v>
  </rv>
  <rv s="10">
    <fb>3502.45</fb>
    <v>20</v>
  </rv>
  <rv s="10">
    <fb>3519.6</fb>
    <v>20</v>
  </rv>
  <rv s="10">
    <fb>3510.2</fb>
    <v>20</v>
  </rv>
  <rv s="10">
    <fb>3530.15</fb>
    <v>20</v>
  </rv>
  <rv s="10">
    <fb>3508.25</fb>
    <v>20</v>
  </rv>
  <rv s="10">
    <fb>3457.1</fb>
    <v>20</v>
  </rv>
  <rv s="10">
    <fb>3470.15</fb>
    <v>20</v>
  </rv>
  <rv s="10">
    <fb>3513.75</fb>
    <v>20</v>
  </rv>
  <rv s="10">
    <fb>3487.6</fb>
    <v>20</v>
  </rv>
  <rv s="10">
    <fb>3511.65</fb>
    <v>20</v>
  </rv>
  <rv s="10">
    <fb>3512.45</fb>
    <v>20</v>
  </rv>
  <rv s="10">
    <fb>3604.1</fb>
    <v>20</v>
  </rv>
  <rv s="10">
    <fb>3614.9</fb>
    <v>20</v>
  </rv>
  <rv s="10">
    <fb>3626.7</fb>
    <v>20</v>
  </rv>
  <rv s="10">
    <fb>3642.9</fb>
    <v>20</v>
  </rv>
  <rv s="10">
    <fb>3672.1</fb>
    <v>20</v>
  </rv>
  <rv s="10">
    <fb>3593.55</fb>
    <v>20</v>
  </rv>
  <rv s="10">
    <fb>3667.25</fb>
    <v>20</v>
  </rv>
  <rv s="10">
    <fb>3861</fb>
    <v>20</v>
  </rv>
  <rv s="10">
    <fb>3859.2</fb>
    <v>20</v>
  </rv>
  <rv s="10">
    <fb>3816.2</fb>
    <v>20</v>
  </rv>
  <rv s="10">
    <fb>3780.05</fb>
    <v>20</v>
  </rv>
  <rv s="10">
    <fb>3787.5</fb>
    <v>20</v>
  </rv>
  <rv s="10">
    <fb>3824</fb>
    <v>20</v>
  </rv>
  <rv s="10">
    <fb>3795.55</fb>
    <v>20</v>
  </rv>
  <rv s="10">
    <fb>3811.2</fb>
    <v>20</v>
  </rv>
  <rv s="10">
    <fb>3799.9</fb>
    <v>20</v>
  </rv>
  <rv s="10">
    <fb>3793.4</fb>
    <v>20</v>
  </rv>
  <rv s="10">
    <fb>3811.1</fb>
    <v>20</v>
  </rv>
  <rv s="10">
    <fb>3783.2</fb>
    <v>20</v>
  </rv>
  <rv s="10">
    <fb>3691.75</fb>
    <v>20</v>
  </rv>
  <rv s="10">
    <fb>3666.8</fb>
    <v>20</v>
  </rv>
  <rv s="10">
    <fb>3737.9</fb>
    <v>20</v>
  </rv>
  <rv s="10">
    <fb>3678.3</fb>
    <v>20</v>
  </rv>
  <rv s="10">
    <fb>3689.9</fb>
    <v>20</v>
  </rv>
  <rv s="10">
    <fb>3713.05</fb>
    <v>20</v>
  </rv>
  <rv s="10">
    <fb>3735.55</fb>
    <v>20</v>
  </rv>
  <rv s="10">
    <fb>3882.8</fb>
    <v>20</v>
  </rv>
  <rv s="10">
    <fb>3903.8</fb>
    <v>20</v>
  </rv>
  <rv s="10">
    <fb>3861.3</fb>
    <v>20</v>
  </rv>
  <rv s="10">
    <fb>3884.6</fb>
    <v>20</v>
  </rv>
  <rv s="10">
    <fb>3902.6</fb>
    <v>20</v>
  </rv>
  <rv s="10">
    <fb>3943.05</fb>
    <v>20</v>
  </rv>
  <rv s="10">
    <fb>3860.65</fb>
    <v>20</v>
  </rv>
  <rv s="10">
    <fb>3841.8</fb>
    <v>20</v>
  </rv>
  <rv s="10">
    <fb>3810.3</fb>
    <v>20</v>
  </rv>
  <rv s="10">
    <fb>3800.55</fb>
    <v>20</v>
  </rv>
  <rv s="10">
    <fb>3815.95</fb>
    <v>20</v>
  </rv>
  <rv s="10">
    <fb>3854.15</fb>
    <v>20</v>
  </rv>
  <rv s="10">
    <fb>3966.3</fb>
    <v>20</v>
  </rv>
  <rv s="10">
    <fb>3973.3</fb>
    <v>20</v>
  </rv>
  <rv s="10">
    <fb>4136</fb>
    <v>20</v>
  </rv>
  <rv s="10">
    <fb>4083.4</fb>
    <v>20</v>
  </rv>
  <rv s="10">
    <fb>4134.1000000000004</fb>
    <v>20</v>
  </rv>
  <rv s="10">
    <fb>4133.7</fb>
    <v>20</v>
  </rv>
  <rv s="10">
    <fb>4120.7</fb>
    <v>20</v>
  </rv>
  <rv s="10">
    <fb>4149.5</fb>
    <v>20</v>
  </rv>
  <rv s="10">
    <fb>4100.1000000000004</fb>
    <v>20</v>
  </rv>
  <rv s="10">
    <fb>4103.2</fb>
    <v>20</v>
  </rv>
  <rv s="10">
    <fb>4128.3</fb>
    <v>20</v>
  </rv>
  <rv s="10">
    <fb>4103.8</fb>
    <v>20</v>
  </rv>
  <rv s="10">
    <fb>4030.65</fb>
    <v>20</v>
  </rv>
  <rv s="10">
    <fb>3991.5</fb>
    <v>20</v>
  </rv>
  <rv s="10">
    <fb>4087.1</fb>
    <v>20</v>
  </rv>
  <rv s="10">
    <fb>4052.1</fb>
    <v>20</v>
  </rv>
  <rv s="10">
    <fb>4001.05</fb>
    <v>20</v>
  </rv>
  <rv s="10">
    <fb>4104.3999999999996</fb>
    <v>20</v>
  </rv>
  <rv s="10">
    <fb>4118.95</fb>
    <v>20</v>
  </rv>
  <rv s="10">
    <fb>4095.1</fb>
    <v>20</v>
  </rv>
  <rv s="10">
    <fb>4094.35</fb>
    <v>20</v>
  </rv>
  <rv s="10">
    <fb>4107.1000000000004</fb>
    <v>20</v>
  </rv>
  <rv s="10">
    <fb>4080.7</fb>
    <v>20</v>
  </rv>
  <rv s="10">
    <fb>4012.1</fb>
    <v>20</v>
  </rv>
  <rv s="10">
    <fb>4064.3</fb>
    <v>20</v>
  </rv>
  <rv s="10">
    <fb>4108.6000000000004</fb>
    <v>20</v>
  </rv>
  <rv s="10">
    <fb>4122.3500000000004</fb>
    <v>20</v>
  </rv>
  <rv s="10">
    <fb>4192.25</fb>
    <v>20</v>
  </rv>
  <rv s="10">
    <fb>4149</fb>
    <v>20</v>
  </rv>
  <rv s="10">
    <fb>4207.6000000000004</fb>
    <v>20</v>
  </rv>
  <rv s="10">
    <fb>4219.25</fb>
    <v>20</v>
  </rv>
  <rv s="10">
    <fb>4152.5</fb>
    <v>20</v>
  </rv>
  <rv s="10">
    <fb>3977.3</fb>
    <v>20</v>
  </rv>
  <rv s="10">
    <fb>3970.9</fb>
    <v>20</v>
  </rv>
  <rv s="10">
    <fb>3972.95</fb>
    <v>20</v>
  </rv>
  <rv s="10">
    <fb>3910.9</fb>
    <v>20</v>
  </rv>
  <rv s="10">
    <fb>3877.5</fb>
    <v>20</v>
  </rv>
  <rv s="10">
    <fb>3840.9</fb>
    <v>20</v>
  </rv>
  <rv s="10">
    <fb>3876.3</fb>
    <v>20</v>
  </rv>
  <rv s="10">
    <fb>3916.75</fb>
    <v>20</v>
  </rv>
  <rv s="10">
    <fb>3883.8</fb>
    <v>20</v>
  </rv>
  <rv s="10">
    <fb>3947.3</fb>
    <v>20</v>
  </rv>
  <rv s="10">
    <fb>4003.3</fb>
    <v>20</v>
  </rv>
  <rv s="10">
    <fb>3979.25</fb>
    <v>20</v>
  </rv>
  <rv s="10">
    <fb>3972.55</fb>
    <v>20</v>
  </rv>
  <rv s="10">
    <fb>3946.55</fb>
    <v>20</v>
  </rv>
  <rv s="10">
    <fb>3984.65</fb>
    <v>20</v>
  </rv>
  <rv s="10">
    <fb>4001.4</fb>
    <v>20</v>
  </rv>
  <rv s="10">
    <fb>3941.2</fb>
    <v>20</v>
  </rv>
  <rv s="10">
    <fb>3872.8</fb>
    <v>20</v>
  </rv>
  <rv s="10">
    <fb>3862</fb>
    <v>20</v>
  </rv>
  <rv s="10">
    <fb>3826.2</fb>
    <v>20</v>
  </rv>
  <rv s="10">
    <fb>3864.6</fb>
    <v>20</v>
  </rv>
  <rv s="10">
    <fb>3874.7</fb>
    <v>20</v>
  </rv>
  <rv s="10">
    <fb>3831.05</fb>
    <v>20</v>
  </rv>
  <rv s="10">
    <fb>3870.2</fb>
    <v>20</v>
  </rv>
  <rv s="10">
    <fb>175.2</fb>
    <v>20</v>
  </rv>
  <rv s="10">
    <fb>181.35</fb>
    <v>20</v>
  </rv>
  <rv s="10">
    <fb>201.1</fb>
    <v>20</v>
  </rv>
  <rv s="10">
    <fb>194.6</fb>
    <v>20</v>
  </rv>
  <rv s="10">
    <fb>192.6</fb>
    <v>20</v>
  </rv>
  <rv s="10">
    <fb>193.6</fb>
    <v>20</v>
  </rv>
  <rv s="10">
    <fb>193.9</fb>
    <v>20</v>
  </rv>
  <rv s="10">
    <fb>195.45</fb>
    <v>20</v>
  </rv>
  <rv s="10">
    <fb>199.6</fb>
    <v>20</v>
  </rv>
  <rv s="10">
    <fb>207.4</fb>
    <v>20</v>
  </rv>
  <rv s="10">
    <fb>200.45</fb>
    <v>20</v>
  </rv>
  <rv s="10">
    <fb>216.25</fb>
    <v>20</v>
  </rv>
  <rv s="10">
    <fb>223.65</fb>
    <v>20</v>
  </rv>
  <rv s="10">
    <fb>217.6</fb>
    <v>20</v>
  </rv>
  <rv s="10">
    <fb>217.5</fb>
    <v>20</v>
  </rv>
  <rv s="10">
    <fb>213.85</fb>
    <v>20</v>
  </rv>
  <rv s="10">
    <fb>216.65</fb>
    <v>20</v>
  </rv>
  <rv s="10">
    <fb>210.1</fb>
    <v>20</v>
  </rv>
  <rv s="10">
    <fb>217.55</fb>
    <v>20</v>
  </rv>
  <rv s="10">
    <fb>220.75</fb>
    <v>20</v>
  </rv>
  <rv s="10">
    <fb>225.95</fb>
    <v>20</v>
  </rv>
  <rv s="10">
    <fb>223.2</fb>
    <v>20</v>
  </rv>
  <rv s="10">
    <fb>247.1</fb>
    <v>20</v>
  </rv>
  <rv s="10">
    <fb>241.45</fb>
    <v>20</v>
  </rv>
  <rv s="10">
    <fb>236.35</fb>
    <v>20</v>
  </rv>
  <rv s="10">
    <fb>235.9</fb>
    <v>20</v>
  </rv>
  <rv s="10">
    <fb>243.55</fb>
    <v>20</v>
  </rv>
  <rv s="10">
    <fb>252.3</fb>
    <v>20</v>
  </rv>
  <rv s="10">
    <fb>249.3</fb>
    <v>20</v>
  </rv>
  <rv s="10">
    <fb>249.05</fb>
    <v>20</v>
  </rv>
  <rv s="10">
    <fb>244.7</fb>
    <v>20</v>
  </rv>
  <rv s="10">
    <fb>245.25</fb>
    <v>20</v>
  </rv>
  <rv s="10">
    <fb>249.2</fb>
    <v>20</v>
  </rv>
  <rv s="10">
    <fb>253.7</fb>
    <v>20</v>
  </rv>
  <rv s="10">
    <fb>253.1</fb>
    <v>20</v>
  </rv>
  <rv s="10">
    <fb>255.4</fb>
    <v>20</v>
  </rv>
  <rv s="10">
    <fb>259.8</fb>
    <v>20</v>
  </rv>
  <rv s="10">
    <fb>259.05</fb>
    <v>20</v>
  </rv>
  <rv s="10">
    <fb>259.39999999999998</fb>
    <v>20</v>
  </rv>
  <rv s="10">
    <fb>260.7</fb>
    <v>20</v>
  </rv>
  <rv s="10">
    <fb>262.55</fb>
    <v>20</v>
  </rv>
  <rv s="10">
    <fb>261.60000000000002</fb>
    <v>20</v>
  </rv>
  <rv s="10">
    <fb>262.39999999999998</fb>
    <v>20</v>
  </rv>
  <rv s="10">
    <fb>261.7</fb>
    <v>20</v>
  </rv>
  <rv s="10">
    <fb>255.7</fb>
    <v>20</v>
  </rv>
  <rv s="10">
    <fb>254.7</fb>
    <v>20</v>
  </rv>
  <rv s="10">
    <fb>251.05</fb>
    <v>20</v>
  </rv>
  <rv s="10">
    <fb>249.1</fb>
    <v>20</v>
  </rv>
  <rv s="10">
    <fb>244.85</fb>
    <v>20</v>
  </rv>
  <rv s="10">
    <fb>246.7</fb>
    <v>20</v>
  </rv>
  <rv s="10">
    <fb>254.35</fb>
    <v>20</v>
  </rv>
  <rv s="10">
    <fb>260.3</fb>
    <v>20</v>
  </rv>
  <rv s="10">
    <fb>257.3</fb>
    <v>20</v>
  </rv>
  <rv s="10">
    <fb>254.3</fb>
    <v>20</v>
  </rv>
  <rv s="10">
    <fb>253.6</fb>
    <v>20</v>
  </rv>
  <rv s="10">
    <fb>261.39999999999998</fb>
    <v>20</v>
  </rv>
  <rv s="10">
    <fb>260.60000000000002</fb>
    <v>20</v>
  </rv>
  <rv s="10">
    <fb>261.8</fb>
    <v>20</v>
  </rv>
  <rv s="10">
    <fb>264.25</fb>
    <v>20</v>
  </rv>
  <rv s="10">
    <fb>267.95</fb>
    <v>20</v>
  </rv>
  <rv s="10">
    <fb>283.75</fb>
    <v>20</v>
  </rv>
  <rv s="10">
    <fb>276.45</fb>
    <v>20</v>
  </rv>
  <rv s="10">
    <fb>275.64999999999998</fb>
    <v>20</v>
  </rv>
  <rv s="10">
    <fb>273.60000000000002</fb>
    <v>20</v>
  </rv>
  <rv s="10">
    <fb>263.5</fb>
    <v>20</v>
  </rv>
  <rv s="10">
    <fb>252.65</fb>
    <v>20</v>
  </rv>
  <rv s="10">
    <fb>243.3</fb>
    <v>20</v>
  </rv>
  <rv s="10">
    <fb>243.85</fb>
    <v>20</v>
  </rv>
  <rv s="10">
    <fb>247.65</fb>
    <v>20</v>
  </rv>
  <rv s="10">
    <fb>250.5</fb>
    <v>20</v>
  </rv>
  <rv s="10">
    <fb>252.35</fb>
    <v>20</v>
  </rv>
  <rv s="10">
    <fb>257.89999999999998</fb>
    <v>20</v>
  </rv>
  <rv s="10">
    <fb>264.55</fb>
    <v>20</v>
  </rv>
  <rv s="10">
    <fb>252.2</fb>
    <v>20</v>
  </rv>
  <rv s="10">
    <fb>254.9</fb>
    <v>20</v>
  </rv>
  <rv s="10">
    <fb>254.85</fb>
    <v>20</v>
  </rv>
  <rv s="10">
    <fb>264.89999999999998</fb>
    <v>20</v>
  </rv>
  <rv s="10">
    <fb>254.55</fb>
    <v>20</v>
  </rv>
  <rv s="10">
    <fb>249.85</fb>
    <v>20</v>
  </rv>
  <rv s="10">
    <fb>250.85</fb>
    <v>20</v>
  </rv>
  <rv s="10">
    <fb>252.1</fb>
    <v>20</v>
  </rv>
  <rv s="10">
    <fb>252.6</fb>
    <v>20</v>
  </rv>
  <rv s="10">
    <fb>242.45</fb>
    <v>20</v>
  </rv>
  <rv s="10">
    <fb>230.95</fb>
    <v>20</v>
  </rv>
  <rv s="10">
    <fb>236</fb>
    <v>20</v>
  </rv>
  <rv s="10">
    <fb>244.3</fb>
    <v>20</v>
  </rv>
  <rv s="10">
    <fb>242.2</fb>
    <v>20</v>
  </rv>
  <rv s="10">
    <fb>242.75</fb>
    <v>20</v>
  </rv>
  <rv s="10">
    <fb>249.4</fb>
    <v>20</v>
  </rv>
  <rv s="10">
    <fb>257.95</fb>
    <v>20</v>
  </rv>
  <rv s="10">
    <fb>272.25</fb>
    <v>20</v>
  </rv>
  <rv s="10">
    <fb>263.35000000000002</fb>
    <v>20</v>
  </rv>
  <rv s="10">
    <fb>271.55</fb>
    <v>20</v>
  </rv>
  <rv s="10">
    <fb>279.3</fb>
    <v>20</v>
  </rv>
  <rv s="10">
    <fb>275.60000000000002</fb>
    <v>20</v>
  </rv>
  <rv s="10">
    <fb>267.60000000000002</fb>
    <v>20</v>
  </rv>
  <rv s="10">
    <fb>276.7</fb>
    <v>20</v>
  </rv>
  <rv s="10">
    <fb>278.64999999999998</fb>
    <v>20</v>
  </rv>
  <rv s="10">
    <fb>280.89999999999998</fb>
    <v>20</v>
  </rv>
  <rv s="10">
    <fb>283.05</fb>
    <v>20</v>
  </rv>
  <rv s="10">
    <fb>278.14999999999998</fb>
    <v>20</v>
  </rv>
  <rv s="10">
    <fb>281.05</fb>
    <v>20</v>
  </rv>
  <rv s="10">
    <fb>276.5</fb>
    <v>20</v>
  </rv>
  <rv s="10">
    <fb>277.5</fb>
    <v>20</v>
  </rv>
  <rv s="10">
    <fb>271.7</fb>
    <v>20</v>
  </rv>
  <rv s="10">
    <fb>265.35000000000002</fb>
    <v>20</v>
  </rv>
  <rv s="10">
    <fb>269.5</fb>
    <v>20</v>
  </rv>
  <rv s="10">
    <fb>267.8</fb>
    <v>20</v>
  </rv>
  <rv s="10">
    <fb>268.8</fb>
    <v>20</v>
  </rv>
  <rv s="10">
    <fb>295.10000000000002</fb>
    <v>20</v>
  </rv>
  <rv s="10">
    <fb>290.7</fb>
    <v>20</v>
  </rv>
  <rv s="10">
    <fb>288.89999999999998</fb>
    <v>20</v>
  </rv>
  <rv s="10">
    <fb>271.5</fb>
    <v>20</v>
  </rv>
  <rv s="10">
    <fb>267.85000000000002</fb>
    <v>20</v>
  </rv>
  <rv s="10">
    <fb>267.55</fb>
    <v>20</v>
  </rv>
  <rv s="10">
    <fb>266</fb>
    <v>20</v>
  </rv>
  <rv s="10">
    <fb>261.64999999999998</fb>
    <v>20</v>
  </rv>
  <rv s="10">
    <fb>266.60000000000002</fb>
    <v>20</v>
  </rv>
  <rv s="10">
    <fb>267.64999999999998</fb>
    <v>20</v>
  </rv>
  <rv s="10">
    <fb>275.95</fb>
    <v>20</v>
  </rv>
  <rv s="10">
    <fb>283.35000000000002</fb>
    <v>20</v>
  </rv>
  <rv s="10">
    <fb>278.75</fb>
    <v>20</v>
  </rv>
  <rv s="10">
    <fb>282.55</fb>
    <v>20</v>
  </rv>
  <rv s="10">
    <fb>284.39999999999998</fb>
    <v>20</v>
  </rv>
  <rv s="10">
    <fb>286.39999999999998</fb>
    <v>20</v>
  </rv>
  <rv s="10">
    <fb>283.45</fb>
    <v>20</v>
  </rv>
  <rv s="10">
    <fb>279.60000000000002</fb>
    <v>20</v>
  </rv>
  <rv s="10">
    <fb>274.89999999999998</fb>
    <v>20</v>
  </rv>
  <rv s="10">
    <fb>266.7</fb>
    <v>20</v>
  </rv>
  <rv s="10">
    <fb>270.05</fb>
    <v>20</v>
  </rv>
  <rv s="10">
    <fb>277.89999999999998</fb>
    <v>20</v>
  </rv>
  <rv s="10">
    <fb>273.89999999999998</fb>
    <v>20</v>
  </rv>
  <rv s="10">
    <fb>272.45</fb>
    <v>20</v>
  </rv>
  <rv s="10">
    <fb>275.7</fb>
    <v>20</v>
  </rv>
  <rv s="10">
    <fb>271.39999999999998</fb>
    <v>20</v>
  </rv>
  <rv s="10">
    <fb>278.3</fb>
    <v>20</v>
  </rv>
  <rv s="10">
    <fb>291.85000000000002</fb>
    <v>20</v>
  </rv>
  <rv s="10">
    <fb>302.39999999999998</fb>
    <v>20</v>
  </rv>
  <rv s="10">
    <fb>299.89999999999998</fb>
    <v>20</v>
  </rv>
  <rv s="10">
    <fb>284.45</fb>
    <v>20</v>
  </rv>
  <rv s="10">
    <fb>291.7</fb>
    <v>20</v>
  </rv>
  <rv s="10">
    <fb>291.10000000000002</fb>
    <v>20</v>
  </rv>
  <rv s="10">
    <fb>290.85000000000002</fb>
    <v>20</v>
  </rv>
  <rv s="10">
    <fb>283.14999999999998</fb>
    <v>20</v>
  </rv>
  <rv s="10">
    <fb>268.05</fb>
    <v>20</v>
  </rv>
  <rv s="10">
    <fb>284.95</fb>
    <v>20</v>
  </rv>
  <rv s="10">
    <fb>279.2</fb>
    <v>20</v>
  </rv>
  <rv s="10">
    <fb>277.35000000000002</fb>
    <v>20</v>
  </rv>
  <rv s="10">
    <fb>274.45</fb>
    <v>20</v>
  </rv>
  <rv s="10">
    <fb>272.05</fb>
    <v>20</v>
  </rv>
  <rv s="10">
    <fb>268</fb>
    <v>20</v>
  </rv>
  <rv s="10">
    <fb>285.10000000000002</fb>
    <v>20</v>
  </rv>
  <rv s="10">
    <fb>301.25</fb>
    <v>20</v>
  </rv>
  <rv s="10">
    <fb>293.35000000000002</fb>
    <v>20</v>
  </rv>
  <rv s="10">
    <fb>293.7</fb>
    <v>20</v>
  </rv>
  <rv s="10">
    <fb>298.3</fb>
    <v>20</v>
  </rv>
  <rv s="10">
    <fb>295.39999999999998</fb>
    <v>20</v>
  </rv>
  <rv s="10">
    <fb>329</fb>
    <v>20</v>
  </rv>
  <rv s="10">
    <fb>317.85000000000002</fb>
    <v>20</v>
  </rv>
  <rv s="10">
    <fb>304.95</fb>
    <v>20</v>
  </rv>
  <rv s="10">
    <fb>264.75</fb>
    <v>20</v>
  </rv>
  <rv s="10">
    <fb>270.60000000000002</fb>
    <v>20</v>
  </rv>
  <rv s="10">
    <fb>266.10000000000002</fb>
    <v>20</v>
  </rv>
  <rv s="10">
    <fb>267.14999999999998</fb>
    <v>20</v>
  </rv>
  <rv s="10">
    <fb>272.35000000000002</fb>
    <v>20</v>
  </rv>
  <rv s="10">
    <fb>272.3</fb>
    <v>20</v>
  </rv>
  <rv s="10">
    <fb>281.2</fb>
    <v>20</v>
  </rv>
  <rv s="10">
    <fb>304.75</fb>
    <v>20</v>
  </rv>
  <rv s="10">
    <fb>296.7</fb>
    <v>20</v>
  </rv>
  <rv s="10">
    <fb>306.89999999999998</fb>
    <v>20</v>
  </rv>
  <rv s="10">
    <fb>306.45</fb>
    <v>20</v>
  </rv>
  <rv s="10">
    <fb>306</fb>
    <v>20</v>
  </rv>
  <rv s="10">
    <fb>305</fb>
    <v>20</v>
  </rv>
  <rv s="10">
    <fb>302.75</fb>
    <v>20</v>
  </rv>
  <rv s="10">
    <fb>295.7</fb>
    <v>20</v>
  </rv>
  <rv s="10">
    <fb>291.5</fb>
    <v>20</v>
  </rv>
  <rv s="10">
    <fb>289.95</fb>
    <v>20</v>
  </rv>
  <rv s="10">
    <fb>290.25</fb>
    <v>20</v>
  </rv>
  <rv s="10">
    <fb>292.05</fb>
    <v>20</v>
  </rv>
  <rv s="10">
    <fb>326.8</fb>
    <v>20</v>
  </rv>
  <rv s="10">
    <fb>340.15</fb>
    <v>20</v>
  </rv>
  <rv s="10">
    <fb>342.85</fb>
    <v>20</v>
  </rv>
  <rv s="10">
    <fb>345.1</fb>
    <v>20</v>
  </rv>
  <rv s="10">
    <fb>350.05</fb>
    <v>20</v>
  </rv>
  <rv s="10">
    <fb>348.2</fb>
    <v>20</v>
  </rv>
  <rv s="10">
    <fb>2663.85</fb>
    <v>20</v>
  </rv>
  <rv s="10">
    <fb>2654.05</fb>
    <v>20</v>
  </rv>
  <rv s="10">
    <fb>2670.4</fb>
    <v>20</v>
  </rv>
  <rv s="10">
    <fb>2751.25</fb>
    <v>20</v>
  </rv>
  <rv s="10">
    <fb>2748.4</fb>
    <v>20</v>
  </rv>
  <rv s="10">
    <fb>2745.45</fb>
    <v>20</v>
  </rv>
  <rv s="10">
    <fb>2757.85</fb>
    <v>20</v>
  </rv>
  <rv s="10">
    <fb>2773.2</fb>
    <v>20</v>
  </rv>
  <rv s="10">
    <fb>2779.55</fb>
    <v>20</v>
  </rv>
  <rv s="10">
    <fb>2790.25</fb>
    <v>20</v>
  </rv>
  <rv s="10">
    <fb>2762.4</fb>
    <v>20</v>
  </rv>
  <rv s="10">
    <fb>2721.85</fb>
    <v>20</v>
  </rv>
  <rv s="10">
    <fb>2701.65</fb>
    <v>20</v>
  </rv>
  <rv s="10">
    <fb>2712.55</fb>
    <v>20</v>
  </rv>
  <rv s="10">
    <fb>2683.45</fb>
    <v>20</v>
  </rv>
  <rv s="10">
    <fb>2707.25</fb>
    <v>20</v>
  </rv>
  <rv s="10">
    <fb>2707.95</fb>
    <v>20</v>
  </rv>
  <rv s="10">
    <fb>2742.15</fb>
    <v>20</v>
  </rv>
  <rv s="10">
    <fb>2812.25</fb>
    <v>20</v>
  </rv>
  <rv s="10">
    <fb>2802.5</fb>
    <v>20</v>
  </rv>
  <rv s="10">
    <fb>2823.25</fb>
    <v>20</v>
  </rv>
  <rv s="10">
    <fb>2827.25</fb>
    <v>20</v>
  </rv>
  <rv s="10">
    <fb>2861.65</fb>
    <v>20</v>
  </rv>
  <rv s="10">
    <fb>2855.7</fb>
    <v>20</v>
  </rv>
  <rv s="10">
    <fb>2881.45</fb>
    <v>20</v>
  </rv>
  <rv s="10">
    <fb>2906.95</fb>
    <v>20</v>
  </rv>
  <rv s="10">
    <fb>2877</fb>
    <v>20</v>
  </rv>
  <rv s="10">
    <fb>2876.25</fb>
    <v>20</v>
  </rv>
  <rv s="10">
    <fb>2852.6</fb>
    <v>20</v>
  </rv>
  <rv s="10">
    <fb>2912.5</fb>
    <v>20</v>
  </rv>
  <rv s="10">
    <fb>2907.05</fb>
    <v>20</v>
  </rv>
  <rv s="10">
    <fb>2908</fb>
    <v>20</v>
  </rv>
  <rv s="10">
    <fb>2954.3</fb>
    <v>20</v>
  </rv>
  <rv s="10">
    <fb>2968.6</fb>
    <v>20</v>
  </rv>
  <rv s="10">
    <fb>2974</fb>
    <v>20</v>
  </rv>
  <rv s="10">
    <fb>2971.1</fb>
    <v>20</v>
  </rv>
  <rv s="10">
    <fb>2970.25</fb>
    <v>20</v>
  </rv>
  <rv s="10">
    <fb>2939.15</fb>
    <v>20</v>
  </rv>
  <rv s="10">
    <fb>2972.6</fb>
    <v>20</v>
  </rv>
  <rv s="10">
    <fb>2975.7</fb>
    <v>20</v>
  </rv>
  <rv s="10">
    <fb>3028.1</fb>
    <v>20</v>
  </rv>
  <rv s="10">
    <fb>3047.65</fb>
    <v>20</v>
  </rv>
  <rv s="10">
    <fb>3038.3</fb>
    <v>20</v>
  </rv>
  <rv s="10">
    <fb>3074.65</fb>
    <v>20</v>
  </rv>
  <rv s="10">
    <fb>3099.85</fb>
    <v>20</v>
  </rv>
  <rv s="10">
    <fb>3106.4</fb>
    <v>20</v>
  </rv>
  <rv s="10">
    <fb>3144</fb>
    <v>20</v>
  </rv>
  <rv s="10">
    <fb>3045.55</fb>
    <v>20</v>
  </rv>
  <rv s="10">
    <fb>3087.6</fb>
    <v>20</v>
  </rv>
  <rv s="10">
    <fb>3096.5</fb>
    <v>20</v>
  </rv>
  <rv s="10">
    <fb>3084.75</fb>
    <v>20</v>
  </rv>
  <rv s="10">
    <fb>3055.55</fb>
    <v>20</v>
  </rv>
  <rv s="10">
    <fb>3033.45</fb>
    <v>20</v>
  </rv>
  <rv s="10">
    <fb>2996.45</fb>
    <v>20</v>
  </rv>
  <rv s="10">
    <fb>2995.65</fb>
    <v>20</v>
  </rv>
  <rv s="10">
    <fb>2989.3</fb>
    <v>20</v>
  </rv>
  <rv s="10">
    <fb>2976.3</fb>
    <v>20</v>
  </rv>
  <rv s="10">
    <fb>2979.2</fb>
    <v>20</v>
  </rv>
  <rv s="10">
    <fb>3029</fb>
    <v>20</v>
  </rv>
  <rv s="10">
    <fb>3008.35</fb>
    <v>20</v>
  </rv>
  <rv s="10">
    <fb>3002.1</fb>
    <v>20</v>
  </rv>
  <rv s="10">
    <fb>2987</fb>
    <v>20</v>
  </rv>
  <rv s="10">
    <fb>3004.05</fb>
    <v>20</v>
  </rv>
  <rv s="10">
    <fb>3001.9</fb>
    <v>20</v>
  </rv>
  <rv s="10">
    <fb>2977.15</fb>
    <v>20</v>
  </rv>
  <rv s="10">
    <fb>2902.1</fb>
    <v>20</v>
  </rv>
  <rv s="10">
    <fb>2904.4</fb>
    <v>20</v>
  </rv>
  <rv s="10">
    <fb>2904.6</fb>
    <v>20</v>
  </rv>
  <rv s="10">
    <fb>2921.25</fb>
    <v>20</v>
  </rv>
  <rv s="10">
    <fb>2955.9</fb>
    <v>20</v>
  </rv>
  <rv s="10">
    <fb>2988.55</fb>
    <v>20</v>
  </rv>
  <rv s="10">
    <fb>3017.25</fb>
    <v>20</v>
  </rv>
  <rv s="10">
    <fb>3010.65</fb>
    <v>20</v>
  </rv>
  <rv s="10">
    <fb>3011.1</fb>
    <v>20</v>
  </rv>
  <rv s="10">
    <fb>3071.75</fb>
    <v>20</v>
  </rv>
  <rv s="10">
    <fb>3050.45</fb>
    <v>20</v>
  </rv>
  <rv s="10">
    <fb>3078.3</fb>
    <v>20</v>
  </rv>
  <rv s="10">
    <fb>3075.6</fb>
    <v>20</v>
  </rv>
  <rv s="10">
    <fb>3070</fb>
    <v>20</v>
  </rv>
  <rv s="10">
    <fb>3061.2</fb>
    <v>20</v>
  </rv>
  <rv s="10">
    <fb>3067.2</fb>
    <v>20</v>
  </rv>
  <rv s="10">
    <fb>3048.55</fb>
    <v>20</v>
  </rv>
  <rv s="10">
    <fb>3079.4</fb>
    <v>20</v>
  </rv>
  <rv s="10">
    <fb>3082.2</fb>
    <v>20</v>
  </rv>
  <rv s="10">
    <fb>3104.45</fb>
    <v>20</v>
  </rv>
  <rv s="10">
    <fb>3116.8</fb>
    <v>20</v>
  </rv>
  <rv s="10">
    <fb>3100.3</fb>
    <v>20</v>
  </rv>
  <rv s="10">
    <fb>3176.05</fb>
    <v>20</v>
  </rv>
  <rv s="10">
    <fb>3172.8</fb>
    <v>20</v>
  </rv>
  <rv s="10">
    <fb>3199.1</fb>
    <v>20</v>
  </rv>
  <rv s="10">
    <fb>3213.3</fb>
    <v>20</v>
  </rv>
  <rv s="10">
    <fb>3185.8</fb>
    <v>20</v>
  </rv>
  <rv s="10">
    <fb>3263.2</fb>
    <v>20</v>
  </rv>
  <rv s="10">
    <fb>3261.35</fb>
    <v>20</v>
  </rv>
  <rv s="10">
    <fb>3248.6</fb>
    <v>20</v>
  </rv>
  <rv s="10">
    <fb>3339.5</fb>
    <v>20</v>
  </rv>
  <rv s="10">
    <fb>3306.65</fb>
    <v>20</v>
  </rv>
  <rv s="10">
    <fb>3304.5</fb>
    <v>20</v>
  </rv>
  <rv s="10">
    <fb>3274.5</fb>
    <v>20</v>
  </rv>
  <rv s="10">
    <fb>3283.95</fb>
    <v>20</v>
  </rv>
  <rv s="10">
    <fb>3262.6</fb>
    <v>20</v>
  </rv>
  <rv s="10">
    <fb>3214.55</fb>
    <v>20</v>
  </rv>
  <rv s="10">
    <fb>3157.25</fb>
    <v>20</v>
  </rv>
  <rv s="10">
    <fb>3196.25</fb>
    <v>20</v>
  </rv>
  <rv s="10">
    <fb>3166.65</fb>
    <v>20</v>
  </rv>
  <rv s="10">
    <fb>3216.5</fb>
    <v>20</v>
  </rv>
  <rv s="10">
    <fb>3269.2</fb>
    <v>20</v>
  </rv>
  <rv s="10">
    <fb>3280.5</fb>
    <v>20</v>
  </rv>
  <rv s="10">
    <fb>3285</fb>
    <v>20</v>
  </rv>
  <rv s="10">
    <fb>3283.75</fb>
    <v>20</v>
  </rv>
  <rv s="10">
    <fb>3301.4</fb>
    <v>20</v>
  </rv>
  <rv s="10">
    <fb>3308.45</fb>
    <v>20</v>
  </rv>
  <rv s="10">
    <fb>3282.75</fb>
    <v>20</v>
  </rv>
  <rv s="10">
    <fb>3284.65</fb>
    <v>20</v>
  </rv>
  <rv s="10">
    <fb>3266.2</fb>
    <v>20</v>
  </rv>
  <rv s="10">
    <fb>3219.75</fb>
    <v>20</v>
  </rv>
  <rv s="10">
    <fb>3187.85</fb>
    <v>20</v>
  </rv>
  <rv s="10">
    <fb>3100.8</fb>
    <v>20</v>
  </rv>
  <rv s="10">
    <fb>3120.7</fb>
    <v>20</v>
  </rv>
  <rv s="10">
    <fb>3116.45</fb>
    <v>20</v>
  </rv>
  <rv s="10">
    <fb>3201.5</fb>
    <v>20</v>
  </rv>
  <rv s="10">
    <fb>3267.05</fb>
    <v>20</v>
  </rv>
  <rv s="10">
    <fb>3311.85</fb>
    <v>20</v>
  </rv>
  <rv s="10">
    <fb>3256.35</fb>
    <v>20</v>
  </rv>
  <rv s="10">
    <fb>3280.6</fb>
    <v>20</v>
  </rv>
  <rv s="10">
    <fb>3264.75</fb>
    <v>20</v>
  </rv>
  <rv s="10">
    <fb>3295.95</fb>
    <v>20</v>
  </rv>
  <rv s="10">
    <fb>3335.95</fb>
    <v>20</v>
  </rv>
  <rv s="10">
    <fb>3338.85</fb>
    <v>20</v>
  </rv>
  <rv s="10">
    <fb>3345.85</fb>
    <v>20</v>
  </rv>
  <rv s="10">
    <fb>3394.45</fb>
    <v>20</v>
  </rv>
  <rv s="10">
    <fb>3429.85</fb>
    <v>20</v>
  </rv>
  <rv s="10">
    <fb>3408.4</fb>
    <v>20</v>
  </rv>
  <rv s="10">
    <fb>3396.95</fb>
    <v>20</v>
  </rv>
  <rv s="10">
    <fb>3429.3</fb>
    <v>20</v>
  </rv>
  <rv s="10">
    <fb>3490.6</fb>
    <v>20</v>
  </rv>
  <rv s="10">
    <fb>3489.5</fb>
    <v>20</v>
  </rv>
  <rv s="10">
    <fb>3488.4</fb>
    <v>20</v>
  </rv>
  <rv s="10">
    <fb>3545.3</fb>
    <v>20</v>
  </rv>
  <rv s="10">
    <fb>3546.9</fb>
    <v>20</v>
  </rv>
  <rv s="10">
    <fb>3585.4</fb>
    <v>20</v>
  </rv>
  <rv s="10">
    <fb>3634.65</fb>
    <v>20</v>
  </rv>
  <rv s="10">
    <fb>3630.5</fb>
    <v>20</v>
  </rv>
  <rv s="10">
    <fb>3571.4</fb>
    <v>20</v>
  </rv>
  <rv s="10">
    <fb>3602.35</fb>
    <v>20</v>
  </rv>
  <rv s="10">
    <fb>3591.4</fb>
    <v>20</v>
  </rv>
  <rv s="10">
    <fb>3600.55</fb>
    <v>20</v>
  </rv>
  <rv s="10">
    <fb>3619.6</fb>
    <v>20</v>
  </rv>
  <rv s="10">
    <fb>3554.1</fb>
    <v>20</v>
  </rv>
  <rv s="10">
    <fb>3580</fb>
    <v>20</v>
  </rv>
  <rv s="10">
    <fb>3627.35</fb>
    <v>20</v>
  </rv>
  <rv s="10">
    <fb>3656.7</fb>
    <v>20</v>
  </rv>
  <rv s="10">
    <fb>3689.25</fb>
    <v>20</v>
  </rv>
  <rv s="10">
    <fb>3715.1</fb>
    <v>20</v>
  </rv>
  <rv s="10">
    <fb>3675.45</fb>
    <v>20</v>
  </rv>
  <rv s="10">
    <fb>3677.15</fb>
    <v>20</v>
  </rv>
  <rv s="10">
    <fb>3698.25</fb>
    <v>20</v>
  </rv>
  <rv s="10">
    <fb>3693.05</fb>
    <v>20</v>
  </rv>
  <rv s="10">
    <fb>3719.7</fb>
    <v>20</v>
  </rv>
  <rv s="10">
    <fb>3712.55</fb>
    <v>20</v>
  </rv>
  <rv s="10">
    <fb>3706.05</fb>
    <v>20</v>
  </rv>
  <rv s="10">
    <fb>3694</fb>
    <v>20</v>
  </rv>
  <rv s="10">
    <fb>3714.45</fb>
    <v>20</v>
  </rv>
  <rv s="10">
    <fb>3698.6</fb>
    <v>20</v>
  </rv>
  <rv s="10">
    <fb>3726</fb>
    <v>20</v>
  </rv>
  <rv s="10">
    <fb>3758.85</fb>
    <v>20</v>
  </rv>
  <rv s="10">
    <fb>3820.3</fb>
    <v>20</v>
  </rv>
  <rv s="10">
    <fb>3830.05</fb>
    <v>20</v>
  </rv>
  <rv s="10">
    <fb>3734.7</fb>
    <v>20</v>
  </rv>
  <rv s="10">
    <fb>3810.6</fb>
    <v>20</v>
  </rv>
  <rv s="10">
    <fb>3784.7</fb>
    <v>20</v>
  </rv>
  <rv s="10">
    <fb>3739.65</fb>
    <v>20</v>
  </rv>
  <rv s="10">
    <fb>3767.85</fb>
    <v>20</v>
  </rv>
  <rv s="10">
    <fb>3770.2</fb>
    <v>20</v>
  </rv>
  <rv s="10">
    <fb>3866.65</fb>
    <v>20</v>
  </rv>
  <rv s="10">
    <fb>3735.75</fb>
    <v>20</v>
  </rv>
  <rv s="10">
    <fb>3697.55</fb>
    <v>20</v>
  </rv>
  <rv s="10">
    <fb>3627.45</fb>
    <v>20</v>
  </rv>
  <rv s="10">
    <fb>3612.4</fb>
    <v>20</v>
  </rv>
  <rv s="10">
    <fb>3552.05</fb>
    <v>20</v>
  </rv>
  <rv s="10">
    <fb>3559.15</fb>
    <v>20</v>
  </rv>
  <rv s="10">
    <fb>3576.5</fb>
    <v>20</v>
  </rv>
  <rv s="10">
    <fb>3549.1</fb>
    <v>20</v>
  </rv>
  <rv s="10">
    <fb>3591.6</fb>
    <v>20</v>
  </rv>
  <rv s="10">
    <fb>3585.25</fb>
    <v>20</v>
  </rv>
  <rv s="10">
    <fb>3559.95</fb>
    <v>20</v>
  </rv>
  <rv s="10">
    <fb>3585.55</fb>
    <v>20</v>
  </rv>
  <rv s="10">
    <fb>3622.05</fb>
    <v>20</v>
  </rv>
  <rv s="10">
    <fb>3655.4</fb>
    <v>20</v>
  </rv>
  <rv s="10">
    <fb>3695.05</fb>
    <v>20</v>
  </rv>
  <rv s="10">
    <fb>3686.7</fb>
    <v>20</v>
  </rv>
  <rv s="10">
    <fb>3656.35</fb>
    <v>20</v>
  </rv>
  <rv s="10">
    <fb>3652.05</fb>
    <v>20</v>
  </rv>
  <rv s="10">
    <fb>3691.95</fb>
    <v>20</v>
  </rv>
  <rv s="10">
    <fb>3622.5</fb>
    <v>20</v>
  </rv>
  <rv s="10">
    <fb>3653.85</fb>
    <v>20</v>
  </rv>
  <rv s="10">
    <fb>3594.7</fb>
    <v>20</v>
  </rv>
  <rv s="10">
    <fb>3624.4</fb>
    <v>20</v>
  </rv>
  <rv s="10">
    <fb>3765.9</fb>
    <v>20</v>
  </rv>
  <rv s="10">
    <fb>3764.1</fb>
    <v>20</v>
  </rv>
  <rv s="10">
    <fb>3732.4</fb>
    <v>20</v>
  </rv>
  <rv s="10">
    <fb>3750.75</fb>
    <v>20</v>
  </rv>
  <rv s="10">
    <fb>3786.9</fb>
    <v>20</v>
  </rv>
  <rv s="10">
    <fb>3750.15</fb>
    <v>20</v>
  </rv>
  <rv s="10">
    <fb>3748.8</fb>
    <v>20</v>
  </rv>
  <rv s="10">
    <fb>3625.7</fb>
    <v>20</v>
  </rv>
  <rv s="10">
    <fb>3640.15</fb>
    <v>20</v>
  </rv>
  <rv s="10">
    <fb>3633.2</fb>
    <v>20</v>
  </rv>
  <rv s="10">
    <fb>3579.7</fb>
    <v>20</v>
  </rv>
  <rv s="10">
    <fb>3583.4</fb>
    <v>20</v>
  </rv>
  <rv s="10">
    <fb>3590.5</fb>
    <v>20</v>
  </rv>
  <rv s="10">
    <fb>3627.55</fb>
    <v>20</v>
  </rv>
  <rv s="10">
    <fb>3706.7</fb>
    <v>20</v>
  </rv>
  <rv s="10">
    <fb>3698.2</fb>
    <v>20</v>
  </rv>
  <rv s="10">
    <fb>3759.4</fb>
    <v>20</v>
  </rv>
  <rv s="10">
    <fb>3801.8</fb>
    <v>20</v>
  </rv>
  <rv s="10">
    <fb>3738.4</fb>
    <v>20</v>
  </rv>
  <rv s="10">
    <fb>3755.95</fb>
    <v>20</v>
  </rv>
  <rv s="10">
    <fb>3712.5</fb>
    <v>20</v>
  </rv>
  <rv s="10">
    <fb>3782.75</fb>
    <v>20</v>
  </rv>
  <rv s="10">
    <fb>3754.45</fb>
    <v>20</v>
  </rv>
  <rv s="10">
    <fb>3748.9</fb>
    <v>20</v>
  </rv>
  <rv s="10">
    <fb>3679.35</fb>
    <v>20</v>
  </rv>
  <rv s="10">
    <fb>3711.2</fb>
    <v>20</v>
  </rv>
  <rv s="10">
    <fb>3619.3</fb>
    <v>20</v>
  </rv>
  <rv s="10">
    <fb>3600.6</fb>
    <v>20</v>
  </rv>
  <rv s="10">
    <fb>3645.9</fb>
    <v>20</v>
  </rv>
  <rv s="10">
    <fb>3525.1</fb>
    <v>20</v>
  </rv>
  <rv s="10">
    <fb>3563.05</fb>
    <v>20</v>
  </rv>
  <rv s="10">
    <fb>3596.75</fb>
    <v>20</v>
  </rv>
  <rv s="10">
    <fb>3633</fb>
    <v>20</v>
  </rv>
  <rv s="10">
    <fb>3609.75</fb>
    <v>20</v>
  </rv>
  <rv s="10">
    <fb>3571.1</fb>
    <v>20</v>
  </rv>
  <rv s="10">
    <fb>3584.8</fb>
    <v>20</v>
  </rv>
  <rv s="10">
    <fb>3604.85</fb>
    <v>20</v>
  </rv>
  <rv s="10">
    <fb>801.55</fb>
    <v>20</v>
  </rv>
  <rv s="10">
    <fb>809.9</fb>
    <v>20</v>
  </rv>
  <rv s="10">
    <fb>801.9</fb>
    <v>20</v>
  </rv>
  <rv s="10">
    <fb>798.45</fb>
    <v>20</v>
  </rv>
  <rv s="10">
    <fb>803.35</fb>
    <v>20</v>
  </rv>
  <rv s="10">
    <fb>803.75</fb>
    <v>20</v>
  </rv>
  <rv s="10">
    <fb>807.45</fb>
    <v>20</v>
  </rv>
  <rv s="10">
    <fb>813.6</fb>
    <v>20</v>
  </rv>
  <rv s="10">
    <fb>809.05</fb>
    <v>20</v>
  </rv>
  <rv s="10">
    <fb>810.35</fb>
    <v>20</v>
  </rv>
  <rv s="10">
    <fb>804.55</fb>
    <v>20</v>
  </rv>
  <rv s="10">
    <fb>803</fb>
    <v>20</v>
  </rv>
  <rv s="10">
    <fb>797.55</fb>
    <v>20</v>
  </rv>
  <rv s="10">
    <fb>809.7</fb>
    <v>20</v>
  </rv>
  <rv s="10">
    <fb>805.8</fb>
    <v>20</v>
  </rv>
  <rv s="10">
    <fb>803.45</fb>
    <v>20</v>
  </rv>
  <rv s="10">
    <fb>812.25</fb>
    <v>20</v>
  </rv>
  <rv s="10">
    <fb>814.55</fb>
    <v>20</v>
  </rv>
  <rv s="10">
    <fb>825.75</fb>
    <v>20</v>
  </rv>
  <rv s="10">
    <fb>821.85</fb>
    <v>20</v>
  </rv>
  <rv s="10">
    <fb>821.35</fb>
    <v>20</v>
  </rv>
  <rv s="10">
    <fb>825.4</fb>
    <v>20</v>
  </rv>
  <rv s="10">
    <fb>823.25</fb>
    <v>20</v>
  </rv>
  <rv s="10">
    <fb>803.3</fb>
    <v>20</v>
  </rv>
  <rv s="10">
    <fb>806.1</fb>
    <v>20</v>
  </rv>
  <rv s="10">
    <fb>804.95</fb>
    <v>20</v>
  </rv>
  <rv s="10">
    <fb>790.65</fb>
    <v>20</v>
  </rv>
  <rv s="10">
    <fb>806.4</fb>
    <v>20</v>
  </rv>
  <rv s="10">
    <fb>815.25</fb>
    <v>20</v>
  </rv>
  <rv s="10">
    <fb>800.9</fb>
    <v>20</v>
  </rv>
  <rv s="10">
    <fb>796.2</fb>
    <v>20</v>
  </rv>
  <rv s="10">
    <fb>790.15</fb>
    <v>20</v>
  </rv>
  <rv s="10">
    <fb>789.25</fb>
    <v>20</v>
  </rv>
  <rv s="10">
    <fb>786.9</fb>
    <v>20</v>
  </rv>
  <rv s="10">
    <fb>782.1</fb>
    <v>20</v>
  </rv>
  <rv s="10">
    <fb>750.5</fb>
    <v>20</v>
  </rv>
  <rv s="10">
    <fb>757.65</fb>
    <v>20</v>
  </rv>
  <rv s="10">
    <fb>761.1</fb>
    <v>20</v>
  </rv>
  <rv s="10">
    <fb>762.7</fb>
    <v>20</v>
  </rv>
  <rv s="10">
    <fb>759.75</fb>
    <v>20</v>
  </rv>
  <rv s="10">
    <fb>762.6</fb>
    <v>20</v>
  </rv>
  <rv s="10">
    <fb>759.05</fb>
    <v>20</v>
  </rv>
  <rv s="10">
    <fb>766.65</fb>
    <v>20</v>
  </rv>
  <rv s="10">
    <fb>768.85</fb>
    <v>20</v>
  </rv>
  <rv s="10">
    <fb>760.25</fb>
    <v>20</v>
  </rv>
  <rv s="10">
    <fb>758.05</fb>
    <v>20</v>
  </rv>
  <rv s="10">
    <fb>759.3</fb>
    <v>20</v>
  </rv>
  <rv s="10">
    <fb>762.35</fb>
    <v>20</v>
  </rv>
  <rv s="10">
    <fb>748.85</fb>
    <v>20</v>
  </rv>
  <rv s="10">
    <fb>754.7</fb>
    <v>20</v>
  </rv>
  <rv s="10">
    <fb>763.95</fb>
    <v>20</v>
  </rv>
  <rv s="10">
    <fb>765.75</fb>
    <v>20</v>
  </rv>
  <rv s="10">
    <fb>764.35</fb>
    <v>20</v>
  </rv>
  <rv s="10">
    <fb>765.65</fb>
    <v>20</v>
  </rv>
  <rv s="10">
    <fb>767.15</fb>
    <v>20</v>
  </rv>
  <rv s="10">
    <fb>765</fb>
    <v>20</v>
  </rv>
  <rv s="10">
    <fb>758.55</fb>
    <v>20</v>
  </rv>
  <rv s="10">
    <fb>763.05</fb>
    <v>20</v>
  </rv>
  <rv s="10">
    <fb>780.1</fb>
    <v>20</v>
  </rv>
  <rv s="10">
    <fb>797.4</fb>
    <v>20</v>
  </rv>
  <rv s="10">
    <fb>801.15</fb>
    <v>20</v>
  </rv>
  <rv s="10">
    <fb>799.55</fb>
    <v>20</v>
  </rv>
  <rv s="10">
    <fb>826.4</fb>
    <v>20</v>
  </rv>
  <rv s="10">
    <fb>816.1</fb>
    <v>20</v>
  </rv>
  <rv s="10">
    <fb>849.45</fb>
    <v>20</v>
  </rv>
  <rv s="10">
    <fb>828.55</fb>
    <v>20</v>
  </rv>
  <rv s="10">
    <fb>826.5</fb>
    <v>20</v>
  </rv>
  <rv s="10">
    <fb>809.95</fb>
    <v>20</v>
  </rv>
  <rv s="10">
    <fb>808.05</fb>
    <v>20</v>
  </rv>
  <rv s="10">
    <fb>823</fb>
    <v>20</v>
  </rv>
  <rv s="10">
    <fb>836.35</fb>
    <v>20</v>
  </rv>
  <rv s="10">
    <fb>833.35</fb>
    <v>20</v>
  </rv>
  <rv s="10">
    <fb>824.9</fb>
    <v>20</v>
  </rv>
  <rv s="10">
    <fb>855.45</fb>
    <v>20</v>
  </rv>
  <rv s="10">
    <fb>869.9</fb>
    <v>20</v>
  </rv>
  <rv s="10">
    <fb>870.05</fb>
    <v>20</v>
  </rv>
  <rv s="10">
    <fb>866.25</fb>
    <v>20</v>
  </rv>
  <rv s="10">
    <fb>866.7</fb>
    <v>20</v>
  </rv>
  <rv s="10">
    <fb>896.1</fb>
    <v>20</v>
  </rv>
  <rv s="10">
    <fb>904.95</fb>
    <v>20</v>
  </rv>
  <rv s="10">
    <fb>875.35</fb>
    <v>20</v>
  </rv>
  <rv s="10">
    <fb>887.45</fb>
    <v>20</v>
  </rv>
  <rv s="10">
    <fb>886.65</fb>
    <v>20</v>
  </rv>
  <rv s="10">
    <fb>893.95</fb>
    <v>20</v>
  </rv>
  <rv s="10">
    <fb>871.75</fb>
    <v>20</v>
  </rv>
  <rv s="10">
    <fb>865.55</fb>
    <v>20</v>
  </rv>
  <rv s="10">
    <fb>875.75</fb>
    <v>20</v>
  </rv>
  <rv s="10">
    <fb>860.85</fb>
    <v>20</v>
  </rv>
  <rv s="10">
    <fb>863.3</fb>
    <v>20</v>
  </rv>
  <rv s="10">
    <fb>874.05</fb>
    <v>20</v>
  </rv>
  <rv s="10">
    <fb>872.55</fb>
    <v>20</v>
  </rv>
  <rv s="10">
    <fb>880.1</fb>
    <v>20</v>
  </rv>
  <rv s="10">
    <fb>885.1</fb>
    <v>20</v>
  </rv>
  <rv s="10">
    <fb>852.9</fb>
    <v>20</v>
  </rv>
  <rv s="10">
    <fb>855.3</fb>
    <v>20</v>
  </rv>
  <rv s="10">
    <fb>856.95</fb>
    <v>20</v>
  </rv>
  <rv s="10">
    <fb>845.45</fb>
    <v>20</v>
  </rv>
  <rv s="10">
    <fb>852.4</fb>
    <v>20</v>
  </rv>
  <rv s="10">
    <fb>850.95</fb>
    <v>20</v>
  </rv>
  <rv s="10">
    <fb>834.3</fb>
    <v>20</v>
  </rv>
  <rv s="10">
    <fb>818.6</fb>
    <v>20</v>
  </rv>
  <rv s="10">
    <fb>821.3</fb>
    <v>20</v>
  </rv>
  <rv s="10">
    <fb>828.9</fb>
    <v>20</v>
  </rv>
  <rv s="10">
    <fb>834.9</fb>
    <v>20</v>
  </rv>
  <rv s="10">
    <fb>834.55</fb>
    <v>20</v>
  </rv>
  <rv s="10">
    <fb>830.25</fb>
    <v>20</v>
  </rv>
  <rv s="10">
    <fb>835.65</fb>
    <v>20</v>
  </rv>
  <rv s="10">
    <fb>813.4</fb>
    <v>20</v>
  </rv>
  <rv s="10">
    <fb>827.7</fb>
    <v>20</v>
  </rv>
  <rv s="10">
    <fb>829.3</fb>
    <v>20</v>
  </rv>
  <rv s="10">
    <fb>824.45</fb>
    <v>20</v>
  </rv>
  <rv s="10">
    <fb>821.2</fb>
    <v>20</v>
  </rv>
  <rv s="10">
    <fb>824.95</fb>
    <v>20</v>
  </rv>
  <rv s="10">
    <fb>828.35</fb>
    <v>20</v>
  </rv>
  <rv s="10">
    <fb>843.65</fb>
    <v>20</v>
  </rv>
  <rv s="10">
    <fb>835</fb>
    <v>20</v>
  </rv>
  <rv s="10">
    <fb>825</fb>
    <v>20</v>
  </rv>
  <rv s="10">
    <fb>820.45</fb>
    <v>20</v>
  </rv>
  <rv s="10">
    <fb>820.4</fb>
    <v>20</v>
  </rv>
  <rv s="10">
    <fb>827.95</fb>
    <v>20</v>
  </rv>
  <rv s="10">
    <fb>835.5</fb>
    <v>20</v>
  </rv>
  <rv s="10">
    <fb>837.85</fb>
    <v>20</v>
  </rv>
  <rv s="10">
    <fb>832.5</fb>
    <v>20</v>
  </rv>
  <rv s="10">
    <fb>866.05</fb>
    <v>20</v>
  </rv>
  <rv s="10">
    <fb>852.65</fb>
    <v>20</v>
  </rv>
  <rv s="10">
    <fb>851.25</fb>
    <v>20</v>
  </rv>
  <rv s="10">
    <fb>859.85</fb>
    <v>20</v>
  </rv>
  <rv s="10">
    <fb>868.75</fb>
    <v>20</v>
  </rv>
  <rv s="10">
    <fb>897.1</fb>
    <v>20</v>
  </rv>
  <rv s="10">
    <fb>928.05</fb>
    <v>20</v>
  </rv>
  <rv s="10">
    <fb>942.65</fb>
    <v>20</v>
  </rv>
  <rv s="10">
    <fb>947.6</fb>
    <v>20</v>
  </rv>
  <rv s="10">
    <fb>966</fb>
    <v>20</v>
  </rv>
  <rv s="10">
    <fb>971.55</fb>
    <v>20</v>
  </rv>
  <rv s="10">
    <fb>978.35</fb>
    <v>20</v>
  </rv>
  <rv s="10">
    <fb>986.9</fb>
    <v>20</v>
  </rv>
  <rv s="10">
    <fb>1014.1</fb>
    <v>20</v>
  </rv>
  <rv s="10">
    <fb>1009.2</fb>
    <v>20</v>
  </rv>
  <rv s="10">
    <fb>993.4</fb>
    <v>20</v>
  </rv>
  <rv s="10">
    <fb>1012.15</fb>
    <v>20</v>
  </rv>
  <rv s="10">
    <fb>1055.7</fb>
    <v>20</v>
  </rv>
  <rv s="10">
    <fb>1056.9000000000001</fb>
    <v>20</v>
  </rv>
  <rv s="10">
    <fb>1051.4000000000001</fb>
    <v>20</v>
  </rv>
  <rv s="10">
    <fb>1052.7</fb>
    <v>20</v>
  </rv>
  <rv s="10">
    <fb>1036.25</fb>
    <v>20</v>
  </rv>
  <rv s="10">
    <fb>1024.55</fb>
    <v>20</v>
  </rv>
  <rv s="10">
    <fb>1007.25</fb>
    <v>20</v>
  </rv>
  <rv s="10">
    <fb>1016.9</fb>
    <v>20</v>
  </rv>
  <rv s="10">
    <fb>1048.75</fb>
    <v>20</v>
  </rv>
  <rv s="10">
    <fb>1058.4000000000001</fb>
    <v>20</v>
  </rv>
  <rv s="10">
    <fb>1023.1</fb>
    <v>20</v>
  </rv>
  <rv s="10">
    <fb>1028.45</fb>
    <v>20</v>
  </rv>
  <rv s="10">
    <fb>1038.9000000000001</fb>
    <v>20</v>
  </rv>
  <rv s="10">
    <fb>1064.6500000000001</fb>
    <v>20</v>
  </rv>
  <rv s="10">
    <fb>1057.3</fb>
    <v>20</v>
  </rv>
  <rv s="10">
    <fb>1100.1500000000001</fb>
    <v>20</v>
  </rv>
  <rv s="10">
    <fb>1086.0999999999999</fb>
    <v>20</v>
  </rv>
  <rv s="10">
    <fb>1086.8499999999999</fb>
    <v>20</v>
  </rv>
  <rv s="10">
    <fb>1075.0999999999999</fb>
    <v>20</v>
  </rv>
  <rv s="10">
    <fb>1097.25</fb>
    <v>20</v>
  </rv>
  <rv s="10">
    <fb>1098.45</fb>
    <v>20</v>
  </rv>
  <rv s="10">
    <fb>1095.05</fb>
    <v>20</v>
  </rv>
  <rv s="10">
    <fb>1110.6500000000001</fb>
    <v>20</v>
  </rv>
  <rv s="10">
    <fb>1109.0999999999999</fb>
    <v>20</v>
  </rv>
  <rv s="10">
    <fb>1085.3499999999999</fb>
    <v>20</v>
  </rv>
  <rv s="10">
    <fb>1109.8499999999999</fb>
    <v>20</v>
  </rv>
  <rv s="10">
    <fb>1110.8499999999999</fb>
    <v>20</v>
  </rv>
  <rv s="10">
    <fb>1071.3499999999999</fb>
    <v>20</v>
  </rv>
  <rv s="10">
    <fb>1082.0999999999999</fb>
    <v>20</v>
  </rv>
  <rv s="10">
    <fb>1053.95</fb>
    <v>20</v>
  </rv>
  <rv s="10">
    <fb>1065.3499999999999</fb>
    <v>20</v>
  </rv>
  <rv s="10">
    <fb>1046.25</fb>
    <v>20</v>
  </rv>
  <rv s="10">
    <fb>1047.8499999999999</fb>
    <v>20</v>
  </rv>
  <rv s="10">
    <fb>1083.95</fb>
    <v>20</v>
  </rv>
  <rv s="10">
    <fb>1064.95</fb>
    <v>20</v>
  </rv>
  <rv s="10">
    <fb>1101.0999999999999</fb>
    <v>20</v>
  </rv>
  <rv s="10">
    <fb>1092.8499999999999</fb>
    <v>20</v>
  </rv>
  <rv s="10">
    <fb>1151.5999999999999</fb>
    <v>20</v>
  </rv>
  <rv s="10">
    <fb>1190.4000000000001</fb>
    <v>20</v>
  </rv>
  <rv s="10">
    <fb>1219.95</fb>
    <v>20</v>
  </rv>
  <rv s="10">
    <fb>1217.95</fb>
    <v>20</v>
  </rv>
  <rv s="10">
    <fb>1232.3</fb>
    <v>20</v>
  </rv>
  <rv s="10">
    <fb>1306.8499999999999</fb>
    <v>20</v>
  </rv>
  <rv s="10">
    <fb>1314.1</fb>
    <v>20</v>
  </rv>
  <rv s="10">
    <fb>1342.75</fb>
    <v>20</v>
  </rv>
  <rv s="10">
    <fb>1309.3499999999999</fb>
    <v>20</v>
  </rv>
  <rv s="10">
    <fb>1283.9000000000001</fb>
    <v>20</v>
  </rv>
  <rv s="10">
    <fb>1291.7</fb>
    <v>20</v>
  </rv>
  <rv s="10">
    <fb>1300.55</fb>
    <v>20</v>
  </rv>
  <rv s="10">
    <fb>1383.15</fb>
    <v>20</v>
  </rv>
  <rv s="10">
    <fb>1395.65</fb>
    <v>20</v>
  </rv>
  <rv s="10">
    <fb>1414.15</fb>
    <v>20</v>
  </rv>
  <rv s="10">
    <fb>1427.4</fb>
    <v>20</v>
  </rv>
  <rv s="10">
    <fb>1454.75</fb>
    <v>20</v>
  </rv>
  <rv s="10">
    <fb>1467.65</fb>
    <v>20</v>
  </rv>
  <rv s="10">
    <fb>7682597</fb>
    <v>25</v>
  </rv>
  <rv s="10">
    <fb>111.9</fb>
    <v>20</v>
  </rv>
  <rv s="10">
    <fb>113.45</fb>
    <v>20</v>
  </rv>
  <rv s="10">
    <fb>5620387</fb>
    <v>25</v>
  </rv>
  <rv s="10">
    <fb>113.3</fb>
    <v>20</v>
  </rv>
  <rv s="10">
    <fb>115.65</fb>
    <v>20</v>
  </rv>
  <rv s="10">
    <fb>2923769</fb>
    <v>25</v>
  </rv>
  <rv s="10">
    <fb>114</fb>
    <v>20</v>
  </rv>
  <rv s="10">
    <fb>4017310</fb>
    <v>25</v>
  </rv>
  <rv s="10">
    <fb>3509083</fb>
    <v>25</v>
  </rv>
  <rv s="10">
    <fb>11248342</fb>
    <v>25</v>
  </rv>
  <rv s="10">
    <fb>118.65</fb>
    <v>20</v>
  </rv>
  <rv s="10">
    <fb>4225726</fb>
    <v>25</v>
  </rv>
  <rv s="10">
    <fb>121.6</fb>
    <v>20</v>
  </rv>
  <rv s="10">
    <fb>119.85</fb>
    <v>20</v>
  </rv>
  <rv s="10">
    <fb>10167428</fb>
    <v>25</v>
  </rv>
  <rv s="10">
    <fb>124.9</fb>
    <v>20</v>
  </rv>
  <rv s="10">
    <fb>5909245</fb>
    <v>25</v>
  </rv>
  <rv s="10">
    <fb>124.5</fb>
    <v>20</v>
  </rv>
  <rv s="10">
    <fb>123.3</fb>
    <v>20</v>
  </rv>
  <rv s="10">
    <fb>5154055</fb>
    <v>25</v>
  </rv>
  <rv s="10">
    <fb>3760380</fb>
    <v>25</v>
  </rv>
  <rv s="10">
    <fb>5246681</fb>
    <v>25</v>
  </rv>
  <rv s="10">
    <fb>121.4</fb>
    <v>20</v>
  </rv>
  <rv s="10">
    <fb>5396738</fb>
    <v>25</v>
  </rv>
  <rv s="10">
    <fb>3861316</fb>
    <v>25</v>
  </rv>
  <rv s="10">
    <fb>122.95</fb>
    <v>20</v>
  </rv>
  <rv s="10">
    <fb>4222729</fb>
    <v>25</v>
  </rv>
  <rv s="10">
    <fb>124.75</fb>
    <v>20</v>
  </rv>
  <rv s="10">
    <fb>125.45</fb>
    <v>20</v>
  </rv>
  <rv s="10">
    <fb>124.1</fb>
    <v>20</v>
  </rv>
  <rv s="10">
    <fb>2622393</fb>
    <v>25</v>
  </rv>
  <rv s="10">
    <fb>3124993</fb>
    <v>25</v>
  </rv>
  <rv s="10">
    <fb>12870973</fb>
    <v>25</v>
  </rv>
  <rv s="10">
    <fb>17493125</fb>
    <v>25</v>
  </rv>
  <rv s="10">
    <fb>123</fb>
    <v>20</v>
  </rv>
  <rv s="12">
    <v>26</v>
    <v>ahj4rw</v>
    <v>Daily</v>
    <v>45046</v>
    <v>45411</v>
    <v>0</v>
    <v>1</v>
    <v>638499456000000000,638500003199225969,0</v>
    <v>0</v>
    <v>ahj4rw</v>
    <v>XNSE:NAVINFLUOR</v>
    <v>1</v>
  </rv>
  <rv s="12">
    <v>26</v>
    <v>bsg5qh</v>
    <v>Daily</v>
    <v>45320</v>
    <v>45411</v>
    <v>0</v>
    <v>1</v>
    <v>638499456000000000,638500003199451848,0</v>
    <v>2</v>
    <v>bsg5qh</v>
    <v>XNSE:IRCTC</v>
    <v>3</v>
  </rv>
  <rv s="12">
    <v>26</v>
    <v>bsg5qh</v>
    <v>Daily</v>
    <v>45046</v>
    <v>45411</v>
    <v>0</v>
    <v>1</v>
    <v>638499456000000000,638500003199252721,0</v>
    <v>0</v>
    <v>bsg5qh</v>
    <v>XNSE:IRCTC</v>
    <v>4</v>
  </rv>
  <rv s="12">
    <v>26</v>
    <v>ahkdxm</v>
    <v>Daily</v>
    <v>45046</v>
    <v>45411</v>
    <v>0</v>
    <v>1</v>
    <v>638499456000000000,638500003199482057,0</v>
    <v>0</v>
    <v>ahkdxm</v>
    <v>XNSE:TITAN</v>
    <v>5</v>
  </rv>
  <rv s="12">
    <v>26</v>
    <v>bvtgbh</v>
    <v>Daily</v>
    <v>45046</v>
    <v>45411</v>
    <v>0</v>
    <v>1</v>
    <v>638499456000000000,638500003199462147,0</v>
    <v>0</v>
    <v>bvtgbh</v>
    <v>XNSE:HAPPSTMNDS</v>
    <v>6</v>
  </rv>
  <rv s="12">
    <v>26</v>
    <v>ca7g5r</v>
    <v>Daily</v>
    <v>45046</v>
    <v>45411</v>
    <v>0</v>
    <v>1</v>
    <v>638499456000000000,638500003199784161,0</v>
    <v>7</v>
    <v>ca7g5r</v>
    <v>XNSE:GENSOL</v>
    <v>8</v>
  </rv>
  <rv s="12">
    <v>26</v>
    <v>ahgqim</v>
    <v>Daily</v>
    <v>45046</v>
    <v>45411</v>
    <v>0</v>
    <v>1</v>
    <v>638499456000000000,638500003199217734,0</v>
    <v>0</v>
    <v>ahgqim</v>
    <v>XNSE:ABCAPITAL</v>
    <v>9</v>
  </rv>
  <rv s="12">
    <v>26</v>
    <v>br7hhw</v>
    <v>Daily</v>
    <v>45046</v>
    <v>45411</v>
    <v>0</v>
    <v>1</v>
    <v>638499456000000000,638500003199461573,0</v>
    <v>0</v>
    <v>br7hhw</v>
    <v>XNSE:AFFLE</v>
    <v>10</v>
  </rv>
  <rv s="12">
    <v>26</v>
    <v>ahgz6h</v>
    <v>Daily</v>
    <v>45046</v>
    <v>45411</v>
    <v>0</v>
    <v>1</v>
    <v>638499456000000000,638500003199180481,0</v>
    <v>0</v>
    <v>ahgz6h</v>
    <v>XNSE:ASIANPAINT</v>
    <v>11</v>
  </rv>
  <rv s="12">
    <v>26</v>
    <v>ahjo52</v>
    <v>Daily</v>
    <v>45320</v>
    <v>45411</v>
    <v>0</v>
    <v>1</v>
    <v>638499456000000000,638500003199465565,0</v>
    <v>2</v>
    <v>ahjo52</v>
    <v>XNSE:RELIANCE</v>
    <v>12</v>
  </rv>
  <rv s="12">
    <v>26</v>
    <v>ahjo52</v>
    <v>Daily</v>
    <v>45046</v>
    <v>45411</v>
    <v>0</v>
    <v>1</v>
    <v>638499456000000000,638500003199186785,0</v>
    <v>0</v>
    <v>ahjo52</v>
    <v>XNSE:RELIANCE</v>
    <v>13</v>
  </rv>
  <rv s="12">
    <v>26</v>
    <v>ahjhr7</v>
    <v>Daily</v>
    <v>45046</v>
    <v>45411</v>
    <v>0</v>
    <v>1</v>
    <v>638499456000000000,638500003199210333,0</v>
    <v>0</v>
    <v>ahjhr7</v>
    <v>XNSE:PRAJIND</v>
    <v>14</v>
  </rv>
  <rv s="12">
    <v>26</v>
    <v>ahhhk2</v>
    <v>Daily</v>
    <v>45046</v>
    <v>45411</v>
    <v>0</v>
    <v>1</v>
    <v>638499456000000000,638500003199186150,0</v>
    <v>0</v>
    <v>ahhhk2</v>
    <v>XNSE:DABUR</v>
    <v>15</v>
  </rv>
  <rv s="12">
    <v>26</v>
    <v>ahhnlh</v>
    <v>Daily</v>
    <v>45046</v>
    <v>45411</v>
    <v>0</v>
    <v>1</v>
    <v>638499456000000000,638500003199230261,0</v>
    <v>0</v>
    <v>ahhnlh</v>
    <v>XNSE:ELECON</v>
    <v>16</v>
  </rv>
  <rv s="12">
    <v>26</v>
    <v>ahi3dm</v>
    <v>Daily</v>
    <v>45046</v>
    <v>45411</v>
    <v>0</v>
    <v>1</v>
    <v>638499456000000000,638500003199229441,0</v>
    <v>0</v>
    <v>ahi3dm</v>
    <v>XNSE:HCLTECH</v>
    <v>17</v>
  </rv>
  <rv s="12">
    <v>26</v>
    <v>ahi7ar</v>
    <v>Daily</v>
    <v>45046</v>
    <v>45411</v>
    <v>0</v>
    <v>1</v>
    <v>638499456000000000,638500003199183353,0</v>
    <v>0</v>
    <v>ahi7ar</v>
    <v>XNSE:HPL</v>
    <v>18</v>
  </rv>
  <rv s="12">
    <v>26</v>
    <v>ahhiur</v>
    <v>Daily</v>
    <v>45046</v>
    <v>45411</v>
    <v>0</v>
    <v>1</v>
    <v>638499456000000000,638500003199190433,0</v>
    <v>0</v>
    <v>ahhiur</v>
    <v>XNSE:DEEPAKNTR</v>
    <v>19</v>
  </rv>
  <rv s="12">
    <v>26</v>
    <v>ahi3jc</v>
    <v>Daily</v>
    <v>45046</v>
    <v>45411</v>
    <v>0</v>
    <v>1</v>
    <v>638499456000000000,638500003199262672,0</v>
    <v>0</v>
    <v>ahi3jc</v>
    <v>XNSE:HDFCBANK</v>
    <v>20</v>
  </rv>
  <rv s="12">
    <v>26</v>
    <v>ahjfbh</v>
    <v>Daily</v>
    <v>45046</v>
    <v>45411</v>
    <v>0</v>
    <v>1</v>
    <v>638499456000000000,638500003199754295,0</v>
    <v>0</v>
    <v>ahjfbh</v>
    <v>XNSE:PIDILITIND</v>
    <v>21</v>
  </rv>
  <rv s="12">
    <v>26</v>
    <v>ahi8ww</v>
    <v>Daily</v>
    <v>45046</v>
    <v>45411</v>
    <v>0</v>
    <v>1</v>
    <v>638499456000000000,638500003199465565,0</v>
    <v>0</v>
    <v>ahi8ww</v>
    <v>XNSE:IDFC</v>
    <v>22</v>
  </rv>
  <rv s="13">
    <v>27</v>
    <v>ahi8ww</v>
    <v>Daily</v>
    <v>45381</v>
    <v>45411</v>
    <v>0</v>
    <v>1</v>
    <v>638499456000000000,638500003199465565,0</v>
    <v>23</v>
    <v>ahi8ww</v>
    <v>XNSE:IDFC</v>
    <v>24</v>
    <v>25</v>
    <v>26</v>
    <v>27</v>
    <v>28</v>
  </rv>
  <rv s="12">
    <v>26</v>
    <v>ahi8zr</v>
    <v>Daily</v>
    <v>45046</v>
    <v>45411</v>
    <v>0</v>
    <v>1</v>
    <v>638499456000000000,638500003199173068,0</v>
    <v>0</v>
    <v>ahi8zr</v>
    <v>XNSE:IDFCFIRSTB</v>
    <v>29</v>
  </rv>
  <rv s="12">
    <v>26</v>
    <v>bwd9im</v>
    <v>Daily</v>
    <v>45046</v>
    <v>45411</v>
    <v>0</v>
    <v>1</v>
    <v>638499456000000000,638500003199194502,0</v>
    <v>0</v>
    <v>bwd9im</v>
    <v>XNSE:CAMS</v>
    <v>30</v>
  </rv>
  <rv s="12">
    <v>26</v>
    <v>ahk9xm</v>
    <v>Daily</v>
    <v>45046</v>
    <v>45411</v>
    <v>0</v>
    <v>1</v>
    <v>638499456000000000,638500003199200163,0</v>
    <v>0</v>
    <v>ahk9xm</v>
    <v>XNSE:TATAMOTORS</v>
    <v>31</v>
  </rv>
  <rv s="12">
    <v>26</v>
    <v>ahhkkr</v>
    <v>Daily</v>
    <v>45046</v>
    <v>45411</v>
    <v>0</v>
    <v>1</v>
    <v>638499456000000000,638500003199237655,0</v>
    <v>0</v>
    <v>ahhkkr</v>
    <v>XNSE:DIXON</v>
    <v>32</v>
  </rv>
  <rv s="12">
    <v>26</v>
    <v>ahi4oc</v>
    <v>Daily</v>
    <v>45046</v>
    <v>45411</v>
    <v>0</v>
    <v>1</v>
    <v>638499456000000000,638500003199176187,0</v>
    <v>0</v>
    <v>ahi4oc</v>
    <v>XNSE:HFCL</v>
    <v>33</v>
  </rv>
  <rv s="12">
    <v>26</v>
    <v>ahhcf2</v>
    <v>Daily</v>
    <v>45046</v>
    <v>45411</v>
    <v>0</v>
    <v>1</v>
    <v>638499456000000000,638500003199481509,0</v>
    <v>0</v>
    <v>ahhcf2</v>
    <v>XNSE:CDSL</v>
    <v>34</v>
  </rv>
  <rv s="12">
    <v>26</v>
    <v>ahie2w</v>
    <v>Daily</v>
    <v>45046</v>
    <v>45411</v>
    <v>0</v>
    <v>1</v>
    <v>638499456000000000,638500003199223174,0</v>
    <v>0</v>
    <v>ahie2w</v>
    <v>XNSE:ITC</v>
    <v>35</v>
  </rv>
  <rv s="12">
    <v>26</v>
    <v>c2rtxm</v>
    <v>Daily</v>
    <v>45046</v>
    <v>45411</v>
    <v>0</v>
    <v>1</v>
    <v>638499456000000000,638500003199771090,0</v>
    <v>0</v>
    <v>c2rtxm</v>
    <v>XNSE:CLEAN</v>
    <v>36</v>
  </rv>
  <rv s="12">
    <v>26</v>
    <v>ahhktc</v>
    <v>Daily</v>
    <v>45046</v>
    <v>45411</v>
    <v>0</v>
    <v>1</v>
    <v>638499456000000000,638500003199227349,0</v>
    <v>0</v>
    <v>ahhktc</v>
    <v>XNSE:DMART</v>
    <v>37</v>
  </rv>
  <rv s="12">
    <v>26</v>
    <v>ahi2yc</v>
    <v>Daily</v>
    <v>45046</v>
    <v>45411</v>
    <v>0</v>
    <v>1</v>
    <v>638499456000000000,638500003199201119,0</v>
    <v>0</v>
    <v>ahi2yc</v>
    <v>XNSE:HBLPOWER</v>
    <v>38</v>
  </rv>
  <rv s="12">
    <v>26</v>
    <v>ahi62w</v>
    <v>Daily</v>
    <v>45046</v>
    <v>45411</v>
    <v>0</v>
    <v>1</v>
    <v>638499456000000000,638500003199794120,0</v>
    <v>0</v>
    <v>ahi62w</v>
    <v>XNSE:HINDUNILVR</v>
    <v>39</v>
  </rv>
  <rv s="12">
    <v>26</v>
    <v>camq9c</v>
    <v>Daily</v>
    <v>45046</v>
    <v>45411</v>
    <v>0</v>
    <v>1</v>
    <v>638499456000000000,638500016772194230,0</v>
    <v>40</v>
    <v>camq9c</v>
    <v>XNSE:JIOFIN</v>
    <v>41</v>
  </rv>
  <rv s="12">
    <v>26</v>
    <v>ahiqmw</v>
    <v>Daily</v>
    <v>45046</v>
    <v>45411</v>
    <v>0</v>
    <v>1</v>
    <v>638499456000000000,638500003199482057,0</v>
    <v>0</v>
    <v>ahiqmw</v>
    <v>XNSE:LIBAS</v>
    <v>42</v>
  </rv>
  <rv s="12">
    <v>26</v>
    <v>ahk9dm</v>
    <v>Daily</v>
    <v>45046</v>
    <v>45411</v>
    <v>0</v>
    <v>1</v>
    <v>638499456000000000,638500003199193635,0</v>
    <v>0</v>
    <v>ahk9dm</v>
    <v>XNSE:TATACHEM</v>
    <v>43</v>
  </rv>
  <rv s="12">
    <v>26</v>
    <v>ahkaa2</v>
    <v>Daily</v>
    <v>45046</v>
    <v>45411</v>
    <v>0</v>
    <v>1</v>
    <v>638499456000000000,638500003199782839,0</v>
    <v>0</v>
    <v>ahkaa2</v>
    <v>XNSE:TATASTEEL</v>
    <v>44</v>
  </rv>
  <rv s="12">
    <v>26</v>
    <v>ahk8vh</v>
    <v>Daily</v>
    <v>45046</v>
    <v>45411</v>
    <v>0</v>
    <v>1</v>
    <v>638499456000000000,638500003199764993,0</v>
    <v>0</v>
    <v>ahk8vh</v>
    <v>XNSE:TANLA</v>
    <v>45</v>
  </rv>
  <rv s="12">
    <v>26</v>
    <v>ahkaww</v>
    <v>Daily</v>
    <v>45046</v>
    <v>45411</v>
    <v>0</v>
    <v>1</v>
    <v>638499456000000000,638500003199213221,0</v>
    <v>0</v>
    <v>ahkaww</v>
    <v>XNSE:TDPOWERSYS</v>
    <v>46</v>
  </rv>
  <rv s="12">
    <v>26</v>
    <v>c4jlqh</v>
    <v>Daily</v>
    <v>45046</v>
    <v>45411</v>
    <v>0</v>
    <v>1</v>
    <v>638499456000000000,638500003199232808,0</v>
    <v>0</v>
    <v>c4jlqh</v>
    <v>XNSE:MAPMYINDIA</v>
    <v>47</v>
  </rv>
  <rv s="12">
    <v>26</v>
    <v>ahiiyc</v>
    <v>Daily</v>
    <v>45046</v>
    <v>45411</v>
    <v>0</v>
    <v>1</v>
    <v>638499456000000000,638500003199243088,0</v>
    <v>0</v>
    <v>ahiiyc</v>
    <v>XNSE:JUBLFOOD</v>
    <v>48</v>
  </rv>
  <rv s="12">
    <v>26</v>
    <v>ahjxww</v>
    <v>Daily</v>
    <v>45046</v>
    <v>45411</v>
    <v>0</v>
    <v>1</v>
    <v>638499456000000000,638500003199234323,0</v>
    <v>0</v>
    <v>ahjxww</v>
    <v>XNSE:SHRIPISTON</v>
    <v>49</v>
  </rv>
  <rv s="12">
    <v>26</v>
    <v>ahka4c</v>
    <v>Daily</v>
    <v>45046</v>
    <v>45411</v>
    <v>0</v>
    <v>1</v>
    <v>638499456000000000,638500003199172836,0</v>
    <v>0</v>
    <v>ahka4c</v>
    <v>XNSE:TATAPOWER</v>
    <v>50</v>
  </rv>
  <rv s="12">
    <v>26</v>
    <v>ahk9p2</v>
    <v>Daily</v>
    <v>45046</v>
    <v>45411</v>
    <v>0</v>
    <v>1</v>
    <v>638499456000000000,638500003199193329,0</v>
    <v>0</v>
    <v>ahk9p2</v>
    <v>XNSE:TATACONSUM</v>
    <v>51</v>
  </rv>
  <rv s="12">
    <v>26</v>
    <v>ahkmim</v>
    <v>Daily</v>
    <v>45046</v>
    <v>45411</v>
    <v>0</v>
    <v>1</v>
    <v>638499456000000000,638500003199762026,0</v>
    <v>0</v>
    <v>ahkmim</v>
    <v>XNSE:VOLTAS</v>
    <v>52</v>
  </rv>
  <rv s="12">
    <v>26</v>
    <v>bpucm7</v>
    <v>Daily</v>
    <v>45046</v>
    <v>45411</v>
    <v>0</v>
    <v>1</v>
    <v>638499456000000000,638500003199172836,0</v>
    <v>0</v>
    <v>bpucm7</v>
    <v>XNSE:KPITTECH</v>
    <v>53</v>
  </rv>
  <rv s="12">
    <v>26</v>
    <v>c111oc</v>
    <v>Daily</v>
    <v>45046</v>
    <v>45411</v>
    <v>0</v>
    <v>1</v>
    <v>638499456000000000,638500003199213543,0</v>
    <v>0</v>
    <v>c111oc</v>
    <v>XNSE:MTARTECH</v>
    <v>54</v>
  </rv>
  <rv s="12">
    <v>26</v>
    <v>bzs5r7</v>
    <v>Daily</v>
    <v>45046</v>
    <v>45411</v>
    <v>0</v>
    <v>1</v>
    <v>638499456000000000,638500003199254314,0</v>
    <v>0</v>
    <v>bzs5r7</v>
    <v>XNSE:RAILTEL</v>
    <v>55</v>
  </rv>
  <rv s="12">
    <v>26</v>
    <v>c2jxar</v>
    <v>Daily</v>
    <v>45046</v>
    <v>45411</v>
    <v>0</v>
    <v>1</v>
    <v>638499456000000000,638500003199767772,0</v>
    <v>0</v>
    <v>c2jxar</v>
    <v>XNSE:SONACOMS</v>
    <v>56</v>
  </rv>
  <rv s="12">
    <v>26</v>
    <v>ahipz2</v>
    <v>Daily</v>
    <v>45046</v>
    <v>45411</v>
    <v>0</v>
    <v>1</v>
    <v>638499456000000000,638500003199804078,0</v>
    <v>0</v>
    <v>ahipz2</v>
    <v>XNSE:LAURUSLABS</v>
    <v>57</v>
  </rv>
  <rv s="12">
    <v>26</v>
    <v>ahjnmw</v>
    <v>Daily</v>
    <v>45046</v>
    <v>45411</v>
    <v>0</v>
    <v>1</v>
    <v>638499456000000000,638500003199183692,0</v>
    <v>0</v>
    <v>ahjnmw</v>
    <v>XNSE:RELAXO</v>
    <v>58</v>
  </rv>
  <rv s="12">
    <v>26</v>
    <v>ahk57w</v>
    <v>Daily</v>
    <v>45046</v>
    <v>45411</v>
    <v>0</v>
    <v>1</v>
    <v>638499456000000000,638500003199242528,0</v>
    <v>0</v>
    <v>ahk57w</v>
    <v>XNSE:SUBEXLTD</v>
    <v>59</v>
  </rv>
  <rv s="12">
    <v>26</v>
    <v>ahk9m7</v>
    <v>Daily</v>
    <v>45046</v>
    <v>45411</v>
    <v>0</v>
    <v>1</v>
    <v>638499456000000000,638500003199200387,0</v>
    <v>0</v>
    <v>ahk9m7</v>
    <v>XNSE:TATAELXSI</v>
    <v>60</v>
  </rv>
  <rv s="12">
    <v>26</v>
    <v>ahkau2</v>
    <v>Daily</v>
    <v>45046</v>
    <v>45411</v>
    <v>0</v>
    <v>1</v>
    <v>638499456000000000,638500003199466293,0</v>
    <v>0</v>
    <v>ahkau2</v>
    <v>XNSE:TCS</v>
    <v>61</v>
  </rv>
</rvData>
</file>

<file path=xl/richData/rdrichvaluestructure.xml><?xml version="1.0" encoding="utf-8"?>
<rvStructures xmlns="http://schemas.microsoft.com/office/spreadsheetml/2017/richdata" count="1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ocalImage">
    <k n="_rvRel:LocalImageIdentifier" t="i"/>
    <k n="CalcOrigin" t="i"/>
  </s>
  <s t="_formattednumber">
    <k n="_Format" t="spb"/>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stockhistorycache">
    <k n="_Format" t="spb"/>
    <k n="Symbol" t="s"/>
    <k n="Interval" t="s"/>
    <k n="StartDate" t="i"/>
    <k n="EndDate" t="i"/>
    <k n="f1904" t="b"/>
    <k n="fdcompat" t="b"/>
    <k n="etag" t="s"/>
    <k n="Date" t="a"/>
    <k n="EntityId" t="s"/>
    <k n="Instrument" t="s"/>
    <k n="Close" t="a"/>
  </s>
  <s t="_stockhistorycache">
    <k n="_Format" t="spb"/>
    <k n="Symbol" t="s"/>
    <k n="Interval" t="s"/>
    <k n="StartDate" t="i"/>
    <k n="EndDate" t="i"/>
    <k n="f1904" t="b"/>
    <k n="fdcompat" t="b"/>
    <k n="etag" t="s"/>
    <k n="Date" t="a"/>
    <k n="EntityId" t="s"/>
    <k n="Instrument" t="s"/>
    <k n="Close" t="a"/>
    <k n="Open" t="a"/>
    <k n="High" t="a"/>
    <k n="Low" t="a"/>
    <k n="Volume" t="a"/>
  </s>
</rvStructures>
</file>

<file path=xl/richData/rdsupportingpropertybag.xml><?xml version="1.0" encoding="utf-8"?>
<supportingPropertyBags xmlns="http://schemas.microsoft.com/office/spreadsheetml/2017/richdata2">
  <spbArrays count="8">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32">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_Flags</v>
      <v t="s">Last update time</v>
      <v t="s">Last trade time</v>
      <v t="s">Instrument type</v>
      <v t="s">Currency</v>
      <v t="s">UniqueName</v>
      <v t="s">_DisplayString</v>
      <v t="s">LearnMoreOnLink</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28">
    <spb s="0">
      <v>0</v>
      <v>Name</v>
      <v>LearnMoreOnLink</v>
    </spb>
    <spb s="1">
      <v>0</v>
      <v>0</v>
      <v>0</v>
    </spb>
    <spb s="2">
      <v>1</v>
      <v>1</v>
      <v>1</v>
      <v>1</v>
    </spb>
    <spb s="3">
      <v>1</v>
      <v>2</v>
      <v>2</v>
      <v>1</v>
      <v>3</v>
      <v>1</v>
      <v>1</v>
      <v>1</v>
      <v>4</v>
      <v>4</v>
      <v>5</v>
      <v>6</v>
      <v>1</v>
      <v>1</v>
      <v>1</v>
      <v>4</v>
      <v>7</v>
      <v>8</v>
      <v>9</v>
      <v>4</v>
    </spb>
    <spb s="4">
      <v>Delayed 5 minutes</v>
      <v>from previous close</v>
      <v>from previous close</v>
      <v>GMT</v>
    </spb>
    <spb s="5">
      <v>1</v>
      <v>Name</v>
    </spb>
    <spb s="6">
      <v>1</v>
      <v>1</v>
      <v>1</v>
    </spb>
    <spb s="7">
      <v>1</v>
      <v>2</v>
      <v>1</v>
      <v>3</v>
      <v>1</v>
      <v>1</v>
      <v>1</v>
      <v>4</v>
      <v>5</v>
      <v>6</v>
      <v>1</v>
      <v>1</v>
      <v>1</v>
      <v>4</v>
      <v>7</v>
      <v>8</v>
      <v>9</v>
      <v>4</v>
    </spb>
    <spb s="5">
      <v>2</v>
      <v>Name</v>
    </spb>
    <spb s="8">
      <v>1</v>
      <v>2</v>
      <v>2</v>
      <v>1</v>
      <v>3</v>
      <v>1</v>
      <v>1</v>
      <v>1</v>
      <v>4</v>
      <v>5</v>
      <v>6</v>
      <v>1</v>
      <v>1</v>
      <v>1</v>
      <v>4</v>
      <v>7</v>
      <v>8</v>
      <v>9</v>
      <v>4</v>
    </spb>
    <spb s="0">
      <v>3</v>
      <v>Name</v>
      <v>LearnMoreOnLink</v>
    </spb>
    <spb s="0">
      <v>4</v>
      <v>Name</v>
      <v>LearnMoreOnLink</v>
    </spb>
    <spb s="9">
      <v>1</v>
      <v>2</v>
      <v>1</v>
      <v>3</v>
      <v>1</v>
      <v>1</v>
      <v>1</v>
      <v>4</v>
      <v>4</v>
      <v>5</v>
      <v>6</v>
      <v>1</v>
      <v>1</v>
      <v>1</v>
      <v>4</v>
      <v>7</v>
      <v>8</v>
      <v>9</v>
      <v>4</v>
    </spb>
    <spb s="0">
      <v>5</v>
      <v>Name</v>
      <v>LearnMoreOnLink</v>
    </spb>
    <spb s="10">
      <v>1</v>
      <v>1</v>
      <v>1</v>
      <v>1</v>
    </spb>
    <spb s="11">
      <v>3</v>
      <v>1</v>
      <v>1</v>
      <v>4</v>
      <v>5</v>
      <v>5</v>
      <v>5</v>
      <v>5</v>
      <v>5</v>
      <v>5</v>
      <v>5</v>
      <v>5</v>
      <v>5</v>
      <v>1</v>
      <v>10</v>
      <v>7</v>
      <v>9</v>
    </spb>
    <spb s="12">
      <v>from previous close</v>
      <v>from previous close</v>
      <v>GMT</v>
      <v>GMT</v>
    </spb>
    <spb s="0">
      <v>6</v>
      <v>Name</v>
      <v>LearnMoreOnLink</v>
    </spb>
    <spb s="13">
      <v>3</v>
      <v>1</v>
      <v>1</v>
      <v>4</v>
      <v>5</v>
      <v>6</v>
      <v>5</v>
      <v>5</v>
      <v>5</v>
      <v>5</v>
      <v>5</v>
      <v>5</v>
      <v>5</v>
      <v>5</v>
      <v>1</v>
      <v>10</v>
      <v>7</v>
      <v>9</v>
    </spb>
    <spb s="14">
      <v>10</v>
    </spb>
    <spb s="14">
      <v>1</v>
    </spb>
    <spb s="5">
      <v>7</v>
      <v>Name</v>
    </spb>
    <spb s="15">
      <v>1</v>
      <v>1</v>
    </spb>
    <spb s="16">
      <v>1</v>
      <v>1</v>
      <v>3</v>
      <v>1</v>
      <v>1</v>
      <v>1</v>
      <v>5</v>
      <v>1</v>
      <v>1</v>
      <v>1</v>
      <v>7</v>
      <v>9</v>
    </spb>
    <spb s="17">
      <v>GMT</v>
    </spb>
    <spb s="14">
      <v>4</v>
    </spb>
    <spb s="18">
      <v>10</v>
      <v>1</v>
    </spb>
    <spb s="19">
      <v>1</v>
      <v>10</v>
      <v>1</v>
      <v>1</v>
      <v>1</v>
      <v>4</v>
    </spb>
  </spbData>
</supportingPropertyBags>
</file>

<file path=xl/richData/rdsupportingpropertybagstructure.xml><?xml version="1.0" encoding="utf-8"?>
<spbStructures xmlns="http://schemas.microsoft.com/office/spreadsheetml/2017/richdata2" count="2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Order" t="spba"/>
    <k n="TitleProperty" t="s"/>
  </s>
  <s>
    <k n="ExchangeID" t="spb"/>
    <k n="UniqueName" t="spb"/>
    <k n="`%ProviderInfo" t="spb"/>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k n="LearnMoreOnLink" t="spb"/>
    <k n="Last update time" t="spb"/>
  </s>
  <s>
    <k n="Name" t="i"/>
    <k n="Price" t="i"/>
    <k n="Change" t="i"/>
    <k n="Rating" t="i"/>
    <k n="Change (%)" t="i"/>
    <k n="Return (1m)" t="i"/>
    <k n="Return (1w)" t="i"/>
    <k n="Return (1y)" t="i"/>
    <k n="Return (3m)" t="i"/>
    <k n="Return (3y)" t="i"/>
    <k n="Return (5y)" t="i"/>
    <k n="Return (YTD)" t="i"/>
    <k n="Expense ratio" t="i"/>
    <k n="Previous close" t="i"/>
    <k n="Last trade time" t="i"/>
    <k n="Last update time" t="i"/>
    <k n="`%EntityServiceId" t="i"/>
  </s>
  <s>
    <k n="Change" t="s"/>
    <k n="Change (%)" t="s"/>
    <k n="Last trade time" t="s"/>
    <k n="Last update time" t="s"/>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_Self" t="i"/>
  </s>
  <s>
    <k n="UniqueName" t="spb"/>
    <k n="`%ProviderInfo" t="spb"/>
  </s>
  <s>
    <k n="Low" t="i"/>
    <k n="High" t="i"/>
    <k n="Name" t="i"/>
    <k n="Open" t="i"/>
    <k n="Price" t="i"/>
    <k n="Change" t="i"/>
    <k n="Change (%)" t="i"/>
    <k n="52 week low" t="i"/>
    <k n="52 week high" t="i"/>
    <k n="Previous close" t="i"/>
    <k n="Last trade time" t="i"/>
    <k n="`%EntityServiceId" t="i"/>
  </s>
  <s>
    <k n="Last trade time" t="s"/>
  </s>
  <s>
    <k n="Date" t="i"/>
    <k n="Close" t="i"/>
  </s>
  <s>
    <k n="Low" t="i"/>
    <k n="Date" t="i"/>
    <k n="High" t="i"/>
    <k n="Open" t="i"/>
    <k n="Close" t="i"/>
    <k n="Volu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 h:mm"/>
    </x:dxf>
    <x:dxf>
      <x:numFmt numFmtId="14" formatCode="0.00%"/>
    </x:dxf>
    <x:dxf>
      <x:numFmt numFmtId="3" formatCode="#,##0"/>
    </x:dxf>
    <x:dxf>
      <x:numFmt numFmtId="4" formatCode="#,##0.00"/>
    </x:dxf>
    <x:dxf>
      <x:numFmt numFmtId="1" formatCode="0"/>
    </x:dxf>
    <x:dxf>
      <x:numFmt numFmtId="19" formatCode="dd/mm/yy"/>
    </x:dxf>
  </dxfs>
  <richProperties>
    <rPr n="NumberFormat" t="s"/>
    <rPr n="IsTitleField" t="b"/>
  </richProperties>
  <richStyles>
    <rSty dxfid="1">
      <rpv i="0" xml:space="preserve">_ [$₹-as-IN] * #,##0.00_ ;_ [$₹-as-IN] * -#,##0.00_ ;_ [$₹-as-IN] * "-"??_ ;_ @_ </rpv>
    </rSty>
    <rSty dxfid="5">
      <rpv i="0">#,##0.00</rpv>
    </rSty>
    <rSty>
      <rpv i="1">1</rpv>
    </rSty>
    <rSty dxfid="4">
      <rpv i="0">#,##0</rpv>
    </rSty>
    <rSty dxfid="3"/>
    <rSty dxfid="1">
      <rpv i="0" xml:space="preserve">_ [$₹-as-IN] * #,##0_ ;_ [$₹-as-IN] * -#,##0_ ;_ [$₹-as-IN] * "-"_ ;_ @_ </rpv>
    </rSty>
    <rSty dxfid="2"/>
    <rSty dxfid="6">
      <rpv i="0">0</rpv>
    </rSty>
    <rSty dxfid="0">
      <rpv i="0">0.00</rpv>
    </rSty>
    <rSty dxfid="7"/>
  </richStyles>
</richStyleSheet>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ock_Purchase" displayName="Stock_Purchase" ref="B6:K56" dataDxfId="32">
  <autoFilter ref="B6:K56" xr:uid="{00000000-0009-0000-0100-000001000000}"/>
  <tableColumns count="10">
    <tableColumn id="1" xr3:uid="{00000000-0010-0000-0000-000001000000}" name="Instrument" totalsRowLabel="Total" dataDxfId="31"/>
    <tableColumn id="2" xr3:uid="{00000000-0010-0000-0000-000002000000}" name="Qty." totalsRowFunction="sum" dataDxfId="30"/>
    <tableColumn id="3" xr3:uid="{00000000-0010-0000-0000-000003000000}" name="Buy Value" dataDxfId="29" totalsRowDxfId="28"/>
    <tableColumn id="8" xr3:uid="{7A46C4C6-1005-4C70-B376-3BD8497EF3F5}" name="Symbol" dataDxfId="27" totalsRowDxfId="26">
      <calculatedColumnFormula>_FV(Stock_Purchase[[#This Row],[Instrument]],"Ticker symbol",TRUE)</calculatedColumnFormula>
    </tableColumn>
    <tableColumn id="7" xr3:uid="{AC4E5A00-F143-4A4B-BA4E-5D1FA6B8BD85}" name="Percentage" dataDxfId="25" totalsRowDxfId="24">
      <calculatedColumnFormula>(Stock_Purchase[[#This Row],[Cur. val]]-Stock_Purchase[[#This Row],[Total Invt]])/Stock_Purchase[[#This Row],[Total Invt]]</calculatedColumnFormula>
    </tableColumn>
    <tableColumn id="4" xr3:uid="{00000000-0010-0000-0000-000004000000}" name="LTP" dataDxfId="23" totalsRowDxfId="22">
      <calculatedColumnFormula array="1">_FV(Stock_Purchase[[#This Row],[Instrument]],"Price")</calculatedColumnFormula>
    </tableColumn>
    <tableColumn id="10" xr3:uid="{00000000-0010-0000-0000-00000A000000}" name="Total Invt" dataDxfId="21" totalsRowDxfId="20">
      <calculatedColumnFormula>Stock_Purchase[[#This Row],[Qty.]]*Stock_Purchase[[#This Row],[Buy Value]]</calculatedColumnFormula>
    </tableColumn>
    <tableColumn id="5" xr3:uid="{00000000-0010-0000-0000-000005000000}" name="Cur. val" dataDxfId="19">
      <calculatedColumnFormula>Stock_Purchase[[#This Row],[LTP]]*Stock_Purchase[[#This Row],[Qty.]]</calculatedColumnFormula>
    </tableColumn>
    <tableColumn id="6" xr3:uid="{00000000-0010-0000-0000-000006000000}" name="P&amp;L" dataDxfId="18" totalsRowDxfId="17">
      <calculatedColumnFormula>Stock_Purchase[[#This Row],[Cur. val]]-Stock_Purchase[[#This Row],[Total Invt]]</calculatedColumnFormula>
    </tableColumn>
    <tableColumn id="9" xr3:uid="{00000000-0010-0000-0000-000009000000}" name="Market Cap" totalsRowFunction="count" dataDxfId="16" totalsRowDxfId="15">
      <calculatedColumnFormula array="1">_xlfn.IFS(_FV(Stock_Purchase[[#This Row],[Instrument]],"Market cap",TRUE) &gt;= 20000000000, "Largecap",_FV( Stock_Purchase[[#This Row],[Instrument]],"Market cap",TRUE) &gt;= 5000000000, "Midcap",_FV( Stock_Purchase[[#This Row],[Instrument]],"Market cap",TRUE) &lt; 5000000000, "Smallcap")</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238272-7F2B-49F2-82BB-8A9E8F47447F}" name="Mutual_Fund" displayName="Mutual_Fund" ref="B6:I11" totalsRowShown="0" headerRowDxfId="14" headerRowBorderDxfId="13" tableBorderDxfId="12" totalsRowBorderDxfId="11">
  <autoFilter ref="B6:I11" xr:uid="{22238272-7F2B-49F2-82BB-8A9E8F47447F}"/>
  <tableColumns count="8">
    <tableColumn id="1" xr3:uid="{BA79ED13-3209-49A8-AD65-74AA3F464715}" name="Instrument" dataDxfId="10"/>
    <tableColumn id="2" xr3:uid="{7CA04650-644C-4603-8475-BAA70A550AFE}" name="Qty." dataDxfId="9"/>
    <tableColumn id="3" xr3:uid="{EEC0DBFB-450C-4A47-B63B-5337AED6D78E}" name="Buy Value" dataDxfId="8"/>
    <tableColumn id="4" xr3:uid="{5DD462D7-2B27-4E69-9BC6-287924DD30AF}" name="LTP" dataDxfId="7"/>
    <tableColumn id="5" xr3:uid="{43CEDFC5-506A-458E-BD78-24F41A291CE1}" name="Total Invt"/>
    <tableColumn id="6" xr3:uid="{1D0DB451-82EC-4B68-B438-1B83757A909D}" name="Cur. val"/>
    <tableColumn id="7" xr3:uid="{A0C9B9A1-04E9-4419-B341-A4355FEA7542}" name="P&amp;L"/>
    <tableColumn id="8" xr3:uid="{EC3DB2AE-F266-441F-B92A-11A1149A694D}" name="Percentage" dataDxfId="6">
      <calculatedColumnFormula>(Mutual_Fund[[#This Row],[Cur. val]]-Mutual_Fund[[#This Row],[Total Invt]])/Mutual_Fund[[#This Row],[Total Invt]]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youtube.com/channel/UCfpu_Mq1dV25IKMjYUfd0pA"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3C969-B581-4CA9-B4ED-BE1475FD4F9F}">
  <sheetPr codeName="Sheet1">
    <pageSetUpPr fitToPage="1"/>
  </sheetPr>
  <dimension ref="A1:L148"/>
  <sheetViews>
    <sheetView showGridLines="0" tabSelected="1" zoomScale="95" zoomScaleNormal="95" workbookViewId="0">
      <selection activeCell="O5" sqref="O5"/>
    </sheetView>
  </sheetViews>
  <sheetFormatPr defaultRowHeight="14.5" x14ac:dyDescent="0.35"/>
  <cols>
    <col min="1" max="1" width="6.26953125" customWidth="1"/>
    <col min="2" max="2" width="12.453125" customWidth="1"/>
    <col min="3" max="3" width="59.1796875" customWidth="1"/>
    <col min="4" max="4" width="11.7265625" bestFit="1" customWidth="1"/>
    <col min="5" max="5" width="8.453125" bestFit="1" customWidth="1"/>
    <col min="6" max="6" width="13.36328125" bestFit="1" customWidth="1"/>
    <col min="7" max="7" width="14.26953125" bestFit="1" customWidth="1"/>
    <col min="8" max="8" width="15.81640625" customWidth="1"/>
    <col min="9" max="9" width="16.36328125" customWidth="1"/>
    <col min="10" max="11" width="15.81640625" customWidth="1"/>
    <col min="12" max="12" width="25.36328125" customWidth="1"/>
    <col min="13" max="13" width="8.7265625" customWidth="1"/>
    <col min="14" max="14" width="3.6328125" customWidth="1"/>
    <col min="15" max="15" width="19.7265625" customWidth="1"/>
    <col min="16" max="16" width="6.81640625" customWidth="1"/>
    <col min="17" max="17" width="2.7265625" customWidth="1"/>
    <col min="18" max="18" width="2.36328125" customWidth="1"/>
    <col min="19" max="19" width="8.453125" customWidth="1"/>
  </cols>
  <sheetData>
    <row r="1" spans="1:12" s="15" customFormat="1" ht="52.5" customHeight="1" x14ac:dyDescent="0.35">
      <c r="A1" s="23"/>
      <c r="C1" s="16" t="s">
        <v>17</v>
      </c>
      <c r="D1" s="16"/>
    </row>
    <row r="3" spans="1:12" ht="68" customHeight="1" x14ac:dyDescent="0.35"/>
    <row r="6" spans="1:12" x14ac:dyDescent="0.35">
      <c r="C6" s="17"/>
      <c r="D6" s="17"/>
      <c r="E6" s="17"/>
      <c r="F6" s="18"/>
      <c r="G6" s="18"/>
      <c r="H6" s="18"/>
      <c r="I6" s="18"/>
      <c r="J6" s="18"/>
      <c r="K6" s="18"/>
      <c r="L6" s="19"/>
    </row>
    <row r="7" spans="1:12" x14ac:dyDescent="0.35">
      <c r="C7" s="25" t="s">
        <v>0</v>
      </c>
      <c r="D7" s="25" t="s">
        <v>23</v>
      </c>
      <c r="E7" s="25" t="s">
        <v>18</v>
      </c>
      <c r="F7" s="25" t="s">
        <v>14</v>
      </c>
      <c r="G7" s="25" t="s">
        <v>15</v>
      </c>
      <c r="H7" s="25" t="s">
        <v>16</v>
      </c>
      <c r="I7" s="25" t="s">
        <v>22</v>
      </c>
      <c r="J7" s="25" t="s">
        <v>34</v>
      </c>
      <c r="K7" s="25" t="s">
        <v>33</v>
      </c>
      <c r="L7" s="25" t="s">
        <v>35</v>
      </c>
    </row>
    <row r="8" spans="1:12" s="39" customFormat="1" x14ac:dyDescent="0.35">
      <c r="C8" s="52" t="e" cm="1" vm="1">
        <f t="array" ref="C8:C57" xml:space="preserve"> _xlfn.UNIQUE(Stock_Purchase[Instrument])</f>
        <v>#VALUE!</v>
      </c>
      <c r="D8" s="52" t="str" cm="1">
        <f t="array" ref="D8:D57">_FV(_xlfn.ANCHORARRAY(C8),"Ticker symbol",TRUE)</f>
        <v>ABCAPITAL</v>
      </c>
      <c r="E8" s="52" cm="1">
        <f t="array" ref="E8:E57">SUMIFS(Stock_Purchase[Qty.],Stock_Purchase[Instrument],_xlfn.ANCHORARRAY(C8))</f>
        <v>100</v>
      </c>
      <c r="F8" s="40" cm="1">
        <f t="array" ref="F8:F57">SUMIFS(Stock_Purchase[Total Invt],Stock_Purchase[Instrument],_xlfn.ANCHORARRAY(C8))</f>
        <v>10000</v>
      </c>
      <c r="G8" s="40" cm="1">
        <f t="array" ref="G8:G57">_xlfn.ANCHORARRAY(E8)*_FV(_xlfn.ANCHORARRAY(C8),"Price")</f>
        <v>24065</v>
      </c>
      <c r="H8" s="41" cm="1">
        <f t="array" ref="H8:H57">_xlfn.ANCHORARRAY(G8)-_xlfn.ANCHORARRAY(F8)</f>
        <v>14065</v>
      </c>
      <c r="I8" s="41" cm="1">
        <f t="array" ref="I8:I57">(_FV(_xlfn.ANCHORARRAY(C8),"Price",TRUE)-_FV(_xlfn.ANCHORARRAY(C8),"Previous close",TRUE))*_xlfn.ANCHORARRAY(E8)</f>
        <v>934.99999999999943</v>
      </c>
      <c r="J8" s="42" cm="1">
        <f t="array" ref="J8:J57">_xlfn.ANCHORARRAY(I8)/(_xlfn.ANCHORARRAY(G8)-_xlfn.ANCHORARRAY(I8))</f>
        <v>4.0423692174664912E-2</v>
      </c>
      <c r="K8" s="42" cm="1">
        <f t="array" ref="K8:K57">_xlfn.ANCHORARRAY(H8)/_xlfn.ANCHORARRAY(F8)</f>
        <v>1.4065000000000001</v>
      </c>
      <c r="L8" s="52"/>
    </row>
    <row r="9" spans="1:12" s="39" customFormat="1" x14ac:dyDescent="0.35">
      <c r="C9" s="52" t="e" vm="2">
        <v>#VALUE!</v>
      </c>
      <c r="D9" s="52" t="str">
        <v>AFFLE</v>
      </c>
      <c r="E9" s="52">
        <v>100</v>
      </c>
      <c r="F9" s="40">
        <v>100000</v>
      </c>
      <c r="G9" s="40">
        <v>110575</v>
      </c>
      <c r="H9" s="41">
        <v>10575</v>
      </c>
      <c r="I9" s="41">
        <v>34.999999999990905</v>
      </c>
      <c r="J9" s="42">
        <v>3.1662746517089653E-4</v>
      </c>
      <c r="K9" s="42">
        <v>0.10575</v>
      </c>
      <c r="L9" s="52"/>
    </row>
    <row r="10" spans="1:12" s="39" customFormat="1" x14ac:dyDescent="0.35">
      <c r="C10" s="52" t="e" vm="3">
        <v>#VALUE!</v>
      </c>
      <c r="D10" s="52" t="str">
        <v>ASIANPAINT</v>
      </c>
      <c r="E10" s="52">
        <v>100</v>
      </c>
      <c r="F10" s="40">
        <v>250000</v>
      </c>
      <c r="G10" s="40">
        <v>286820</v>
      </c>
      <c r="H10" s="40">
        <v>36820</v>
      </c>
      <c r="I10" s="40">
        <v>2404.9999999999727</v>
      </c>
      <c r="J10" s="42">
        <v>8.4559534483060767E-3</v>
      </c>
      <c r="K10" s="42">
        <v>0.14727999999999999</v>
      </c>
      <c r="L10" s="52"/>
    </row>
    <row r="11" spans="1:12" s="39" customFormat="1" x14ac:dyDescent="0.35">
      <c r="C11" s="52" t="e" vm="4">
        <v>#VALUE!</v>
      </c>
      <c r="D11" s="52" t="str">
        <v>CAMS</v>
      </c>
      <c r="E11" s="52">
        <v>24</v>
      </c>
      <c r="F11" s="40">
        <v>55200</v>
      </c>
      <c r="G11" s="40">
        <v>78999.600000000006</v>
      </c>
      <c r="H11" s="40">
        <v>23799.600000000006</v>
      </c>
      <c r="I11" s="40">
        <v>2043.6000000000022</v>
      </c>
      <c r="J11" s="42">
        <v>2.65554342741307E-2</v>
      </c>
      <c r="K11" s="42">
        <v>0.43115217391304356</v>
      </c>
      <c r="L11" s="52"/>
    </row>
    <row r="12" spans="1:12" s="39" customFormat="1" x14ac:dyDescent="0.35">
      <c r="C12" s="52" t="e" vm="5">
        <v>#VALUE!</v>
      </c>
      <c r="D12" s="52" t="str">
        <v>CDSL</v>
      </c>
      <c r="E12" s="52">
        <v>100</v>
      </c>
      <c r="F12" s="40">
        <v>100000</v>
      </c>
      <c r="G12" s="40">
        <v>210975</v>
      </c>
      <c r="H12" s="40">
        <v>110975</v>
      </c>
      <c r="I12" s="40">
        <v>-975</v>
      </c>
      <c r="J12" s="42">
        <v>-4.6001415428167025E-3</v>
      </c>
      <c r="K12" s="42">
        <v>1.10975</v>
      </c>
      <c r="L12" s="52"/>
    </row>
    <row r="13" spans="1:12" s="39" customFormat="1" x14ac:dyDescent="0.35">
      <c r="C13" s="52" t="e" vm="6">
        <v>#VALUE!</v>
      </c>
      <c r="D13" s="52" t="str">
        <v>CLEAN</v>
      </c>
      <c r="E13" s="52">
        <v>80</v>
      </c>
      <c r="F13" s="40">
        <v>72000</v>
      </c>
      <c r="G13" s="40">
        <v>105852</v>
      </c>
      <c r="H13" s="40">
        <v>33852</v>
      </c>
      <c r="I13" s="40">
        <v>816.00000000000364</v>
      </c>
      <c r="J13" s="42">
        <v>7.7687649948589401E-3</v>
      </c>
      <c r="K13" s="42">
        <v>0.47016666666666668</v>
      </c>
      <c r="L13" s="52"/>
    </row>
    <row r="14" spans="1:12" s="39" customFormat="1" x14ac:dyDescent="0.35">
      <c r="C14" s="52" t="e" vm="7">
        <v>#VALUE!</v>
      </c>
      <c r="D14" s="52" t="str">
        <v>DABUR</v>
      </c>
      <c r="E14" s="52">
        <v>140</v>
      </c>
      <c r="F14" s="40">
        <v>56000</v>
      </c>
      <c r="G14" s="40">
        <v>70938</v>
      </c>
      <c r="H14" s="40">
        <v>14938</v>
      </c>
      <c r="I14" s="40">
        <v>-322.00000000000159</v>
      </c>
      <c r="J14" s="42">
        <v>-4.5186640471512997E-3</v>
      </c>
      <c r="K14" s="42">
        <v>0.26674999999999999</v>
      </c>
      <c r="L14" s="52"/>
    </row>
    <row r="15" spans="1:12" s="39" customFormat="1" x14ac:dyDescent="0.35">
      <c r="C15" s="52" t="e" vm="8">
        <v>#VALUE!</v>
      </c>
      <c r="D15" s="52" t="str">
        <v>DEEPAKNTR</v>
      </c>
      <c r="E15" s="52">
        <v>30</v>
      </c>
      <c r="F15" s="40">
        <v>45000</v>
      </c>
      <c r="G15" s="40">
        <v>73315.5</v>
      </c>
      <c r="H15" s="40">
        <v>28315.5</v>
      </c>
      <c r="I15" s="40">
        <v>-996.00000000000819</v>
      </c>
      <c r="J15" s="42">
        <v>-1.340303990634031E-2</v>
      </c>
      <c r="K15" s="42">
        <v>0.62923333333333331</v>
      </c>
      <c r="L15" s="52"/>
    </row>
    <row r="16" spans="1:12" s="39" customFormat="1" x14ac:dyDescent="0.35">
      <c r="C16" s="52" t="e" vm="9">
        <v>#VALUE!</v>
      </c>
      <c r="D16" s="52" t="str">
        <v>DIXON</v>
      </c>
      <c r="E16" s="52">
        <v>60</v>
      </c>
      <c r="F16" s="40">
        <v>210000</v>
      </c>
      <c r="G16" s="40">
        <v>508232.99999999994</v>
      </c>
      <c r="H16" s="40">
        <v>298232.99999999994</v>
      </c>
      <c r="I16" s="40">
        <v>-6576.0000000000218</v>
      </c>
      <c r="J16" s="42">
        <v>-1.2773669457993202E-2</v>
      </c>
      <c r="K16" s="42">
        <v>1.4201571428571427</v>
      </c>
      <c r="L16" s="52"/>
    </row>
    <row r="17" spans="3:12" s="39" customFormat="1" x14ac:dyDescent="0.35">
      <c r="C17" s="52" t="e" vm="10">
        <v>#VALUE!</v>
      </c>
      <c r="D17" s="52" t="str">
        <v>DMART</v>
      </c>
      <c r="E17" s="52">
        <v>70</v>
      </c>
      <c r="F17" s="40">
        <v>224000</v>
      </c>
      <c r="G17" s="40">
        <v>313866</v>
      </c>
      <c r="H17" s="40">
        <v>89866</v>
      </c>
      <c r="I17" s="40">
        <v>-4854.4999999999618</v>
      </c>
      <c r="J17" s="42">
        <v>-1.5231213555450505E-2</v>
      </c>
      <c r="K17" s="42">
        <v>0.40118749999999997</v>
      </c>
      <c r="L17" s="52"/>
    </row>
    <row r="18" spans="3:12" s="39" customFormat="1" x14ac:dyDescent="0.35">
      <c r="C18" s="52" t="e" vm="11">
        <v>#VALUE!</v>
      </c>
      <c r="D18" s="52" t="str">
        <v>ELECON</v>
      </c>
      <c r="E18" s="52">
        <v>100</v>
      </c>
      <c r="F18" s="40">
        <v>70000</v>
      </c>
      <c r="G18" s="40">
        <v>115875</v>
      </c>
      <c r="H18" s="40">
        <v>45875</v>
      </c>
      <c r="I18" s="40">
        <v>3254.9999999999955</v>
      </c>
      <c r="J18" s="42">
        <v>2.8902503995737839E-2</v>
      </c>
      <c r="K18" s="42">
        <v>0.65535714285714286</v>
      </c>
      <c r="L18" s="52"/>
    </row>
    <row r="19" spans="3:12" s="39" customFormat="1" x14ac:dyDescent="0.35">
      <c r="C19" s="52" t="e" vm="12">
        <v>#VALUE!</v>
      </c>
      <c r="D19" s="52" t="str">
        <v>GENSOL</v>
      </c>
      <c r="E19" s="52">
        <v>80</v>
      </c>
      <c r="F19" s="40">
        <v>64000</v>
      </c>
      <c r="G19" s="40">
        <v>73680</v>
      </c>
      <c r="H19" s="40">
        <v>9680</v>
      </c>
      <c r="I19" s="40">
        <v>-1763.9999999999964</v>
      </c>
      <c r="J19" s="42">
        <v>-2.3381581040241722E-2</v>
      </c>
      <c r="K19" s="42">
        <v>0.15125</v>
      </c>
      <c r="L19" s="52"/>
    </row>
    <row r="20" spans="3:12" s="39" customFormat="1" x14ac:dyDescent="0.35">
      <c r="C20" s="52" t="e" vm="13">
        <v>#VALUE!</v>
      </c>
      <c r="D20" s="52" t="str">
        <v>HAPPSTMNDS</v>
      </c>
      <c r="E20" s="52">
        <v>60</v>
      </c>
      <c r="F20" s="40">
        <v>48000</v>
      </c>
      <c r="G20" s="40">
        <v>48858</v>
      </c>
      <c r="H20" s="40">
        <v>858</v>
      </c>
      <c r="I20" s="40">
        <v>-189.00000000000546</v>
      </c>
      <c r="J20" s="42">
        <v>-3.8534466939875106E-3</v>
      </c>
      <c r="K20" s="42">
        <v>1.7874999999999999E-2</v>
      </c>
      <c r="L20" s="52"/>
    </row>
    <row r="21" spans="3:12" s="39" customFormat="1" x14ac:dyDescent="0.35">
      <c r="C21" s="52" t="e" vm="14">
        <v>#VALUE!</v>
      </c>
      <c r="D21" s="52" t="str">
        <v>HBLPOWER</v>
      </c>
      <c r="E21" s="52">
        <v>380</v>
      </c>
      <c r="F21" s="40">
        <v>38000</v>
      </c>
      <c r="G21" s="40">
        <v>194009</v>
      </c>
      <c r="H21" s="40">
        <v>156009</v>
      </c>
      <c r="I21" s="40">
        <v>-3192.0000000000127</v>
      </c>
      <c r="J21" s="42">
        <v>-1.6186530494267336E-2</v>
      </c>
      <c r="K21" s="42">
        <v>4.1055000000000001</v>
      </c>
      <c r="L21" s="52"/>
    </row>
    <row r="22" spans="3:12" s="39" customFormat="1" x14ac:dyDescent="0.35">
      <c r="C22" s="52" t="e" vm="15">
        <v>#VALUE!</v>
      </c>
      <c r="D22" s="52" t="str">
        <v>HCLTECH</v>
      </c>
      <c r="E22" s="52">
        <v>100</v>
      </c>
      <c r="F22" s="40">
        <v>80000</v>
      </c>
      <c r="G22" s="40">
        <v>138740</v>
      </c>
      <c r="H22" s="40">
        <v>58740</v>
      </c>
      <c r="I22" s="40">
        <v>-8644.9999999999818</v>
      </c>
      <c r="J22" s="42">
        <v>-5.8655901211113637E-2</v>
      </c>
      <c r="K22" s="42">
        <v>0.73424999999999996</v>
      </c>
      <c r="L22" s="52"/>
    </row>
    <row r="23" spans="3:12" s="39" customFormat="1" x14ac:dyDescent="0.35">
      <c r="C23" s="52" t="e" vm="16">
        <v>#VALUE!</v>
      </c>
      <c r="D23" s="52" t="str">
        <v>HDFCBANK</v>
      </c>
      <c r="E23" s="52">
        <v>100</v>
      </c>
      <c r="F23" s="40">
        <v>90000</v>
      </c>
      <c r="G23" s="40">
        <v>152950</v>
      </c>
      <c r="H23" s="41">
        <v>62950</v>
      </c>
      <c r="I23" s="41">
        <v>1970.0000000000045</v>
      </c>
      <c r="J23" s="42">
        <v>1.3048085839184029E-2</v>
      </c>
      <c r="K23" s="42">
        <v>0.69944444444444442</v>
      </c>
      <c r="L23" s="52"/>
    </row>
    <row r="24" spans="3:12" s="39" customFormat="1" x14ac:dyDescent="0.35">
      <c r="C24" s="52" t="e" vm="17">
        <v>#VALUE!</v>
      </c>
      <c r="D24" s="52" t="str">
        <v>HFCL</v>
      </c>
      <c r="E24" s="52">
        <v>250</v>
      </c>
      <c r="F24" s="40">
        <v>17500</v>
      </c>
      <c r="G24" s="40">
        <v>24487.5</v>
      </c>
      <c r="H24" s="41">
        <v>6987.5</v>
      </c>
      <c r="I24" s="41">
        <v>537.50000000000136</v>
      </c>
      <c r="J24" s="42">
        <v>2.2442588726513626E-2</v>
      </c>
      <c r="K24" s="42">
        <v>0.3992857142857143</v>
      </c>
      <c r="L24" s="52"/>
    </row>
    <row r="25" spans="3:12" s="39" customFormat="1" x14ac:dyDescent="0.35">
      <c r="C25" s="52" t="e" vm="18">
        <v>#VALUE!</v>
      </c>
      <c r="D25" s="52" t="str">
        <v>HINDUNILVR</v>
      </c>
      <c r="E25" s="52">
        <v>230</v>
      </c>
      <c r="F25" s="40">
        <v>460000</v>
      </c>
      <c r="G25" s="40">
        <v>512003</v>
      </c>
      <c r="H25" s="40">
        <v>52003</v>
      </c>
      <c r="I25" s="40">
        <v>793.49999999995816</v>
      </c>
      <c r="J25" s="42">
        <v>1.5522012012686738E-3</v>
      </c>
      <c r="K25" s="42">
        <v>0.11305</v>
      </c>
      <c r="L25" s="52"/>
    </row>
    <row r="26" spans="3:12" s="39" customFormat="1" x14ac:dyDescent="0.35">
      <c r="C26" s="52" t="e" vm="19">
        <v>#VALUE!</v>
      </c>
      <c r="D26" s="52" t="str">
        <v>HPL</v>
      </c>
      <c r="E26" s="52">
        <v>320</v>
      </c>
      <c r="F26" s="40">
        <v>92800</v>
      </c>
      <c r="G26" s="40">
        <v>115296</v>
      </c>
      <c r="H26" s="40">
        <v>22496</v>
      </c>
      <c r="I26" s="40">
        <v>-1776.0000000000036</v>
      </c>
      <c r="J26" s="42">
        <v>-1.5170151701517046E-2</v>
      </c>
      <c r="K26" s="42">
        <v>0.24241379310344827</v>
      </c>
      <c r="L26" s="52"/>
    </row>
    <row r="27" spans="3:12" s="39" customFormat="1" x14ac:dyDescent="0.35">
      <c r="C27" s="52" t="e" vm="20">
        <v>#VALUE!</v>
      </c>
      <c r="D27" s="52" t="str">
        <v>IDFC</v>
      </c>
      <c r="E27" s="52">
        <v>100</v>
      </c>
      <c r="F27" s="40">
        <v>8000</v>
      </c>
      <c r="G27" s="40">
        <v>12165</v>
      </c>
      <c r="H27" s="40">
        <v>4165</v>
      </c>
      <c r="I27" s="40">
        <v>-559.99999999999943</v>
      </c>
      <c r="J27" s="42">
        <v>-4.4007858546168913E-2</v>
      </c>
      <c r="K27" s="42">
        <v>0.520625</v>
      </c>
      <c r="L27" s="52"/>
    </row>
    <row r="28" spans="3:12" s="39" customFormat="1" x14ac:dyDescent="0.35">
      <c r="C28" s="52" t="e" vm="21">
        <v>#VALUE!</v>
      </c>
      <c r="D28" s="52" t="str">
        <v>IDFCFIRSTB</v>
      </c>
      <c r="E28" s="52">
        <v>900</v>
      </c>
      <c r="F28" s="40">
        <v>36000</v>
      </c>
      <c r="G28" s="40">
        <v>73485</v>
      </c>
      <c r="H28" s="40">
        <v>37485</v>
      </c>
      <c r="I28" s="40">
        <v>-2834.9999999999923</v>
      </c>
      <c r="J28" s="42">
        <v>-3.7146226415094248E-2</v>
      </c>
      <c r="K28" s="42">
        <v>1.04125</v>
      </c>
      <c r="L28" s="52"/>
    </row>
    <row r="29" spans="3:12" s="39" customFormat="1" x14ac:dyDescent="0.35">
      <c r="C29" s="52" t="e" vm="22">
        <v>#VALUE!</v>
      </c>
      <c r="D29" s="52" t="str">
        <v>IRCTC</v>
      </c>
      <c r="E29" s="52">
        <v>90</v>
      </c>
      <c r="F29" s="40">
        <v>54000</v>
      </c>
      <c r="G29" s="40">
        <v>94072.5</v>
      </c>
      <c r="H29" s="40">
        <v>40072.5</v>
      </c>
      <c r="I29" s="40">
        <v>71.999999999995907</v>
      </c>
      <c r="J29" s="42">
        <v>7.6595337258840012E-4</v>
      </c>
      <c r="K29" s="42">
        <v>0.74208333333333332</v>
      </c>
      <c r="L29" s="52"/>
    </row>
    <row r="30" spans="3:12" s="39" customFormat="1" x14ac:dyDescent="0.35">
      <c r="C30" s="52" t="e" vm="23">
        <v>#VALUE!</v>
      </c>
      <c r="D30" s="52" t="str">
        <v>ITC</v>
      </c>
      <c r="E30" s="52">
        <v>200</v>
      </c>
      <c r="F30" s="40">
        <v>44000</v>
      </c>
      <c r="G30" s="40">
        <v>87640</v>
      </c>
      <c r="H30" s="40">
        <v>43640</v>
      </c>
      <c r="I30" s="40">
        <v>-360.00000000000227</v>
      </c>
      <c r="J30" s="42">
        <v>-4.0909090909091164E-3</v>
      </c>
      <c r="K30" s="42">
        <v>0.99181818181818182</v>
      </c>
      <c r="L30" s="52"/>
    </row>
    <row r="31" spans="3:12" s="39" customFormat="1" x14ac:dyDescent="0.35">
      <c r="C31" s="52" t="e" vm="24">
        <v>#VALUE!</v>
      </c>
      <c r="D31" s="52" t="str">
        <v>JIOFIN</v>
      </c>
      <c r="E31" s="52">
        <v>100</v>
      </c>
      <c r="F31" s="40">
        <v>21000</v>
      </c>
      <c r="G31" s="40">
        <v>38050</v>
      </c>
      <c r="H31" s="40">
        <v>17050</v>
      </c>
      <c r="I31" s="40">
        <v>-125</v>
      </c>
      <c r="J31" s="42">
        <v>-3.2743942370661427E-3</v>
      </c>
      <c r="K31" s="42">
        <v>0.81190476190476191</v>
      </c>
      <c r="L31" s="52"/>
    </row>
    <row r="32" spans="3:12" s="39" customFormat="1" x14ac:dyDescent="0.35">
      <c r="C32" s="52" t="e" vm="25">
        <v>#VALUE!</v>
      </c>
      <c r="D32" s="52" t="str">
        <v>JUBLFOOD</v>
      </c>
      <c r="E32" s="52">
        <v>100</v>
      </c>
      <c r="F32" s="40">
        <v>40000</v>
      </c>
      <c r="G32" s="40">
        <v>43905</v>
      </c>
      <c r="H32" s="40">
        <v>3905</v>
      </c>
      <c r="I32" s="40">
        <v>169.99999999999886</v>
      </c>
      <c r="J32" s="42">
        <v>3.8870469875385586E-3</v>
      </c>
      <c r="K32" s="42">
        <v>9.7625000000000003E-2</v>
      </c>
      <c r="L32" s="52"/>
    </row>
    <row r="33" spans="3:12" s="39" customFormat="1" x14ac:dyDescent="0.35">
      <c r="C33" s="52" t="e" vm="26">
        <v>#VALUE!</v>
      </c>
      <c r="D33" s="52" t="str">
        <v>KPITTECH</v>
      </c>
      <c r="E33" s="52">
        <v>100</v>
      </c>
      <c r="F33" s="40">
        <v>100000</v>
      </c>
      <c r="G33" s="40">
        <v>150850</v>
      </c>
      <c r="H33" s="40">
        <v>50850</v>
      </c>
      <c r="I33" s="40">
        <v>9204.9999999999964</v>
      </c>
      <c r="J33" s="42">
        <v>6.4986409686187269E-2</v>
      </c>
      <c r="K33" s="42">
        <v>0.50849999999999995</v>
      </c>
      <c r="L33" s="52"/>
    </row>
    <row r="34" spans="3:12" s="39" customFormat="1" x14ac:dyDescent="0.35">
      <c r="C34" s="52" t="e" vm="27">
        <v>#VALUE!</v>
      </c>
      <c r="D34" s="52" t="str">
        <v>LAURUSLABS</v>
      </c>
      <c r="E34" s="52">
        <v>140</v>
      </c>
      <c r="F34" s="40">
        <v>56000</v>
      </c>
      <c r="G34" s="40">
        <v>62125</v>
      </c>
      <c r="H34" s="40">
        <v>6125</v>
      </c>
      <c r="I34" s="40">
        <v>952.00000000000159</v>
      </c>
      <c r="J34" s="42">
        <v>1.5562421329671613E-2</v>
      </c>
      <c r="K34" s="42">
        <v>0.109375</v>
      </c>
      <c r="L34" s="52"/>
    </row>
    <row r="35" spans="3:12" s="39" customFormat="1" x14ac:dyDescent="0.35">
      <c r="C35" s="52" t="e" vm="28">
        <v>#VALUE!</v>
      </c>
      <c r="D35" s="52" t="str">
        <v>LIBAS</v>
      </c>
      <c r="E35" s="52">
        <v>1000</v>
      </c>
      <c r="F35" s="40">
        <v>18000</v>
      </c>
      <c r="G35" s="40">
        <v>21150</v>
      </c>
      <c r="H35" s="40">
        <v>3150</v>
      </c>
      <c r="I35" s="40">
        <v>-150.00000000000213</v>
      </c>
      <c r="J35" s="42">
        <v>-7.0422535211268596E-3</v>
      </c>
      <c r="K35" s="42">
        <v>0.17499999999999999</v>
      </c>
      <c r="L35" s="52"/>
    </row>
    <row r="36" spans="3:12" s="39" customFormat="1" x14ac:dyDescent="0.35">
      <c r="C36" s="52" t="e" vm="29">
        <v>#VALUE!</v>
      </c>
      <c r="D36" s="52" t="str">
        <v>MAPMYINDIA</v>
      </c>
      <c r="E36" s="52">
        <v>100</v>
      </c>
      <c r="F36" s="40">
        <v>100000</v>
      </c>
      <c r="G36" s="40">
        <v>203375</v>
      </c>
      <c r="H36" s="40">
        <v>103375</v>
      </c>
      <c r="I36" s="40">
        <v>3520.0000000000045</v>
      </c>
      <c r="J36" s="42">
        <v>1.7612769257711863E-2</v>
      </c>
      <c r="K36" s="42">
        <v>1.0337499999999999</v>
      </c>
      <c r="L36" s="52"/>
    </row>
    <row r="37" spans="3:12" s="39" customFormat="1" x14ac:dyDescent="0.35">
      <c r="C37" s="52" t="e" vm="30">
        <v>#VALUE!</v>
      </c>
      <c r="D37" s="52" t="str">
        <v>MTARTECH</v>
      </c>
      <c r="E37" s="52">
        <v>100</v>
      </c>
      <c r="F37" s="40">
        <v>180000</v>
      </c>
      <c r="G37" s="40">
        <v>190880</v>
      </c>
      <c r="H37" s="40">
        <v>10880</v>
      </c>
      <c r="I37" s="40">
        <v>2475</v>
      </c>
      <c r="J37" s="42">
        <v>1.313659403943632E-2</v>
      </c>
      <c r="K37" s="42">
        <v>6.0444444444444446E-2</v>
      </c>
      <c r="L37" s="52"/>
    </row>
    <row r="38" spans="3:12" s="39" customFormat="1" x14ac:dyDescent="0.35">
      <c r="C38" s="52" t="e" vm="31">
        <v>#VALUE!</v>
      </c>
      <c r="D38" s="52" t="str">
        <v>NAVINFLUOR</v>
      </c>
      <c r="E38" s="52">
        <v>200</v>
      </c>
      <c r="F38" s="40">
        <v>560000</v>
      </c>
      <c r="G38" s="40">
        <v>684970</v>
      </c>
      <c r="H38" s="41">
        <v>124970</v>
      </c>
      <c r="I38" s="41">
        <v>23019.999999999982</v>
      </c>
      <c r="J38" s="42">
        <v>3.4776040486441548E-2</v>
      </c>
      <c r="K38" s="42">
        <v>0.2231607142857143</v>
      </c>
      <c r="L38" s="52"/>
    </row>
    <row r="39" spans="3:12" s="39" customFormat="1" x14ac:dyDescent="0.35">
      <c r="C39" s="52" t="e" vm="32">
        <v>#VALUE!</v>
      </c>
      <c r="D39" s="52" t="str">
        <v>PIDILITIND</v>
      </c>
      <c r="E39" s="52">
        <v>310</v>
      </c>
      <c r="F39" s="40">
        <v>620000</v>
      </c>
      <c r="G39" s="40">
        <v>936541</v>
      </c>
      <c r="H39" s="41">
        <v>316541</v>
      </c>
      <c r="I39" s="41">
        <v>11965.999999999971</v>
      </c>
      <c r="J39" s="42">
        <v>1.2942162615255626E-2</v>
      </c>
      <c r="K39" s="42">
        <v>0.51054999999999995</v>
      </c>
      <c r="L39" s="52"/>
    </row>
    <row r="40" spans="3:12" s="39" customFormat="1" x14ac:dyDescent="0.35">
      <c r="C40" s="52" t="e" vm="33">
        <v>#VALUE!</v>
      </c>
      <c r="D40" s="52" t="str">
        <v>PRAJIND</v>
      </c>
      <c r="E40" s="52">
        <v>900</v>
      </c>
      <c r="F40" s="40">
        <v>360000</v>
      </c>
      <c r="G40" s="40">
        <v>492525</v>
      </c>
      <c r="H40" s="40">
        <v>132525</v>
      </c>
      <c r="I40" s="40">
        <v>22005.00000000004</v>
      </c>
      <c r="J40" s="42">
        <v>4.6767406273909809E-2</v>
      </c>
      <c r="K40" s="42">
        <v>0.36812499999999998</v>
      </c>
      <c r="L40" s="52"/>
    </row>
    <row r="41" spans="3:12" s="39" customFormat="1" x14ac:dyDescent="0.35">
      <c r="C41" s="52" t="e" vm="34">
        <v>#VALUE!</v>
      </c>
      <c r="D41" s="52" t="str">
        <v>RAILTEL</v>
      </c>
      <c r="E41" s="52">
        <v>260</v>
      </c>
      <c r="F41" s="40">
        <v>78000</v>
      </c>
      <c r="G41" s="40">
        <v>103779</v>
      </c>
      <c r="H41" s="40">
        <v>25779</v>
      </c>
      <c r="I41" s="40">
        <v>-1157.0000000000118</v>
      </c>
      <c r="J41" s="42">
        <v>-1.1025768087215176E-2</v>
      </c>
      <c r="K41" s="42">
        <v>0.33050000000000002</v>
      </c>
      <c r="L41" s="52"/>
    </row>
    <row r="42" spans="3:12" s="39" customFormat="1" x14ac:dyDescent="0.35">
      <c r="C42" s="52" t="e" vm="35">
        <v>#VALUE!</v>
      </c>
      <c r="D42" s="52" t="str">
        <v>RELAXO</v>
      </c>
      <c r="E42" s="52">
        <v>60</v>
      </c>
      <c r="F42" s="40">
        <v>42000</v>
      </c>
      <c r="G42" s="40">
        <v>49935</v>
      </c>
      <c r="H42" s="40">
        <v>7935</v>
      </c>
      <c r="I42" s="40">
        <v>60</v>
      </c>
      <c r="J42" s="42">
        <v>1.2030075187969924E-3</v>
      </c>
      <c r="K42" s="42">
        <v>0.18892857142857142</v>
      </c>
      <c r="L42" s="52"/>
    </row>
    <row r="43" spans="3:12" s="39" customFormat="1" x14ac:dyDescent="0.35">
      <c r="C43" s="52" t="e" vm="36">
        <v>#VALUE!</v>
      </c>
      <c r="D43" s="52" t="str">
        <v>RELIANCE</v>
      </c>
      <c r="E43" s="52">
        <v>240</v>
      </c>
      <c r="F43" s="40">
        <v>432000</v>
      </c>
      <c r="G43" s="40">
        <v>703212</v>
      </c>
      <c r="H43" s="40">
        <v>271212</v>
      </c>
      <c r="I43" s="40">
        <v>5988.0000000000655</v>
      </c>
      <c r="J43" s="42">
        <v>8.5883446352966429E-3</v>
      </c>
      <c r="K43" s="42">
        <v>0.62780555555555551</v>
      </c>
      <c r="L43" s="52"/>
    </row>
    <row r="44" spans="3:12" s="39" customFormat="1" x14ac:dyDescent="0.35">
      <c r="C44" s="52" t="e" vm="37">
        <v>#VALUE!</v>
      </c>
      <c r="D44" s="52" t="str">
        <v>SHRIPISTON</v>
      </c>
      <c r="E44" s="52">
        <v>60</v>
      </c>
      <c r="F44" s="40">
        <v>96000</v>
      </c>
      <c r="G44" s="40">
        <v>123581.99999999999</v>
      </c>
      <c r="H44" s="40">
        <v>27581.999999999985</v>
      </c>
      <c r="I44" s="40">
        <v>-1812.0000000000164</v>
      </c>
      <c r="J44" s="42">
        <v>-1.4450452174745334E-2</v>
      </c>
      <c r="K44" s="42">
        <v>0.28731249999999986</v>
      </c>
      <c r="L44" s="52"/>
    </row>
    <row r="45" spans="3:12" s="39" customFormat="1" x14ac:dyDescent="0.35">
      <c r="C45" s="52" t="e" vm="38">
        <v>#VALUE!</v>
      </c>
      <c r="D45" s="52" t="str">
        <v>SONACOMS</v>
      </c>
      <c r="E45" s="52">
        <v>12</v>
      </c>
      <c r="F45" s="40">
        <v>7200</v>
      </c>
      <c r="G45" s="40">
        <v>7642.2000000000007</v>
      </c>
      <c r="H45" s="40">
        <v>442.20000000000073</v>
      </c>
      <c r="I45" s="40">
        <v>-130.20000000000027</v>
      </c>
      <c r="J45" s="42">
        <v>-1.675158252277292E-2</v>
      </c>
      <c r="K45" s="42">
        <v>6.1416666666666765E-2</v>
      </c>
      <c r="L45" s="52"/>
    </row>
    <row r="46" spans="3:12" s="39" customFormat="1" x14ac:dyDescent="0.35">
      <c r="C46" s="52" t="e" vm="39">
        <v>#VALUE!</v>
      </c>
      <c r="D46" s="52" t="str">
        <v>SUBEXLTD</v>
      </c>
      <c r="E46" s="52">
        <v>1000</v>
      </c>
      <c r="F46" s="40">
        <v>40000</v>
      </c>
      <c r="G46" s="40">
        <v>31200</v>
      </c>
      <c r="H46" s="40">
        <v>-8800</v>
      </c>
      <c r="I46" s="40">
        <v>-100.00000000000142</v>
      </c>
      <c r="J46" s="42">
        <v>-3.1948881789137834E-3</v>
      </c>
      <c r="K46" s="42">
        <v>-0.22</v>
      </c>
      <c r="L46" s="52"/>
    </row>
    <row r="47" spans="3:12" s="39" customFormat="1" x14ac:dyDescent="0.35">
      <c r="C47" s="52" t="e" vm="40">
        <v>#VALUE!</v>
      </c>
      <c r="D47" s="52" t="str">
        <v>TANLA</v>
      </c>
      <c r="E47" s="52">
        <v>400</v>
      </c>
      <c r="F47" s="40">
        <v>380000</v>
      </c>
      <c r="G47" s="40">
        <v>366320</v>
      </c>
      <c r="H47" s="40">
        <v>-13680</v>
      </c>
      <c r="I47" s="40">
        <v>-7560.0000000000364</v>
      </c>
      <c r="J47" s="42">
        <v>-2.0220391569487631E-2</v>
      </c>
      <c r="K47" s="42">
        <v>-3.5999999999999997E-2</v>
      </c>
      <c r="L47" s="52"/>
    </row>
    <row r="48" spans="3:12" s="39" customFormat="1" x14ac:dyDescent="0.35">
      <c r="C48" s="52" t="e" vm="41">
        <v>#VALUE!</v>
      </c>
      <c r="D48" s="52" t="str">
        <v>TATACHEM</v>
      </c>
      <c r="E48" s="52">
        <v>310</v>
      </c>
      <c r="F48" s="40">
        <v>248000</v>
      </c>
      <c r="G48" s="40">
        <v>340845</v>
      </c>
      <c r="H48" s="40">
        <v>92845</v>
      </c>
      <c r="I48" s="40">
        <v>-6975</v>
      </c>
      <c r="J48" s="42">
        <v>-2.0053475935828877E-2</v>
      </c>
      <c r="K48" s="42">
        <v>0.37437500000000001</v>
      </c>
      <c r="L48" s="52"/>
    </row>
    <row r="49" spans="3:12" s="39" customFormat="1" x14ac:dyDescent="0.35">
      <c r="C49" s="52" t="e" vm="42">
        <v>#VALUE!</v>
      </c>
      <c r="D49" s="52" t="str">
        <v>TATACONSUM</v>
      </c>
      <c r="E49" s="52">
        <v>580</v>
      </c>
      <c r="F49" s="40">
        <v>406000</v>
      </c>
      <c r="G49" s="40">
        <v>637130</v>
      </c>
      <c r="H49" s="40">
        <v>231130</v>
      </c>
      <c r="I49" s="40">
        <v>-2407.0000000000528</v>
      </c>
      <c r="J49" s="42">
        <v>-3.7636602729788156E-3</v>
      </c>
      <c r="K49" s="42">
        <v>0.56928571428571428</v>
      </c>
      <c r="L49" s="52"/>
    </row>
    <row r="50" spans="3:12" s="39" customFormat="1" x14ac:dyDescent="0.35">
      <c r="C50" s="52" t="e" vm="43">
        <v>#VALUE!</v>
      </c>
      <c r="D50" s="52" t="str">
        <v>TATAELXSI</v>
      </c>
      <c r="E50" s="52">
        <v>100</v>
      </c>
      <c r="F50" s="40">
        <v>700000</v>
      </c>
      <c r="G50" s="40">
        <v>710260</v>
      </c>
      <c r="H50" s="40">
        <v>10260</v>
      </c>
      <c r="I50" s="40">
        <v>-109.99999999994543</v>
      </c>
      <c r="J50" s="42">
        <v>-1.5484888156868312E-4</v>
      </c>
      <c r="K50" s="42">
        <v>1.4657142857142856E-2</v>
      </c>
      <c r="L50" s="52"/>
    </row>
    <row r="51" spans="3:12" s="39" customFormat="1" x14ac:dyDescent="0.35">
      <c r="C51" s="52" t="e" vm="44">
        <v>#VALUE!</v>
      </c>
      <c r="D51" s="52" t="str">
        <v>TATAMOTORS</v>
      </c>
      <c r="E51" s="52">
        <v>280</v>
      </c>
      <c r="F51" s="40">
        <v>112000</v>
      </c>
      <c r="G51" s="40">
        <v>280168</v>
      </c>
      <c r="H51" s="40">
        <v>168168</v>
      </c>
      <c r="I51" s="40">
        <v>308.00000000000637</v>
      </c>
      <c r="J51" s="42">
        <v>1.1005502751375916E-3</v>
      </c>
      <c r="K51" s="42">
        <v>1.5015000000000001</v>
      </c>
      <c r="L51" s="52"/>
    </row>
    <row r="52" spans="3:12" s="39" customFormat="1" x14ac:dyDescent="0.35">
      <c r="C52" s="52" t="e" vm="45">
        <v>#VALUE!</v>
      </c>
      <c r="D52" s="52" t="str">
        <v>TATAPOWER</v>
      </c>
      <c r="E52" s="52">
        <v>900</v>
      </c>
      <c r="F52" s="40">
        <v>180000</v>
      </c>
      <c r="G52" s="40">
        <v>403200</v>
      </c>
      <c r="H52" s="40">
        <v>223200</v>
      </c>
      <c r="I52" s="40">
        <v>9990.00000000002</v>
      </c>
      <c r="J52" s="42">
        <v>2.5406271457999594E-2</v>
      </c>
      <c r="K52" s="42">
        <v>1.24</v>
      </c>
      <c r="L52" s="52"/>
    </row>
    <row r="53" spans="3:12" s="39" customFormat="1" x14ac:dyDescent="0.35">
      <c r="C53" s="52" t="e" vm="46">
        <v>#VALUE!</v>
      </c>
      <c r="D53" s="52" t="str">
        <v>TATASTEEL</v>
      </c>
      <c r="E53" s="52">
        <v>350</v>
      </c>
      <c r="F53" s="40">
        <v>35000</v>
      </c>
      <c r="G53" s="40">
        <v>58590</v>
      </c>
      <c r="H53" s="41">
        <v>23590</v>
      </c>
      <c r="I53" s="41">
        <v>559.99999999999795</v>
      </c>
      <c r="J53" s="42">
        <v>9.6501809408926064E-3</v>
      </c>
      <c r="K53" s="42">
        <v>0.67400000000000004</v>
      </c>
      <c r="L53" s="52"/>
    </row>
    <row r="54" spans="3:12" s="39" customFormat="1" x14ac:dyDescent="0.35">
      <c r="C54" s="52" t="e" vm="47">
        <v>#VALUE!</v>
      </c>
      <c r="D54" s="52" t="str">
        <v>TCS</v>
      </c>
      <c r="E54" s="52">
        <v>100</v>
      </c>
      <c r="F54" s="40">
        <v>320000</v>
      </c>
      <c r="G54" s="40">
        <v>387020</v>
      </c>
      <c r="H54" s="41">
        <v>67020</v>
      </c>
      <c r="I54" s="41">
        <v>4884.9999999999909</v>
      </c>
      <c r="J54" s="42">
        <v>1.2783440407185919E-2</v>
      </c>
      <c r="K54" s="42">
        <v>0.2094375</v>
      </c>
      <c r="L54" s="52"/>
    </row>
    <row r="55" spans="3:12" s="39" customFormat="1" x14ac:dyDescent="0.35">
      <c r="C55" s="52" t="e" vm="48">
        <v>#VALUE!</v>
      </c>
      <c r="D55" s="52" t="str">
        <v>TDPOWERSYS</v>
      </c>
      <c r="E55" s="52">
        <v>400</v>
      </c>
      <c r="F55" s="40">
        <v>80000</v>
      </c>
      <c r="G55" s="40">
        <v>139280</v>
      </c>
      <c r="H55" s="40">
        <v>59280</v>
      </c>
      <c r="I55" s="40">
        <v>-740.00000000000909</v>
      </c>
      <c r="J55" s="42">
        <v>-5.2849592915298468E-3</v>
      </c>
      <c r="K55" s="42">
        <v>0.74099999999999999</v>
      </c>
      <c r="L55" s="52"/>
    </row>
    <row r="56" spans="3:12" s="39" customFormat="1" x14ac:dyDescent="0.35">
      <c r="C56" s="52" t="e" vm="49">
        <v>#VALUE!</v>
      </c>
      <c r="D56" s="52" t="str">
        <v>TITAN</v>
      </c>
      <c r="E56" s="52">
        <v>50</v>
      </c>
      <c r="F56" s="40">
        <v>120000</v>
      </c>
      <c r="G56" s="40">
        <v>180242.5</v>
      </c>
      <c r="H56" s="40">
        <v>60242.5</v>
      </c>
      <c r="I56" s="40">
        <v>1002.4999999999864</v>
      </c>
      <c r="J56" s="42">
        <v>5.5930595849140053E-3</v>
      </c>
      <c r="K56" s="42">
        <v>0.50202083333333336</v>
      </c>
      <c r="L56" s="52"/>
    </row>
    <row r="57" spans="3:12" s="39" customFormat="1" x14ac:dyDescent="0.35">
      <c r="C57" s="52" t="e" vm="50">
        <v>#VALUE!</v>
      </c>
      <c r="D57" s="52" t="str">
        <v>VOLTAS</v>
      </c>
      <c r="E57" s="52">
        <v>50</v>
      </c>
      <c r="F57" s="40">
        <v>45000</v>
      </c>
      <c r="G57" s="40">
        <v>73382.5</v>
      </c>
      <c r="H57" s="40">
        <v>28382.5</v>
      </c>
      <c r="I57" s="40">
        <v>645.00000000000455</v>
      </c>
      <c r="J57" s="42">
        <v>8.8675030073896485E-3</v>
      </c>
      <c r="K57" s="42">
        <v>0.63072222222222218</v>
      </c>
      <c r="L57" s="52"/>
    </row>
    <row r="58" spans="3:12" s="39" customFormat="1" x14ac:dyDescent="0.35">
      <c r="C58" s="52"/>
      <c r="D58" s="52"/>
      <c r="E58" s="52"/>
      <c r="F58" s="40"/>
      <c r="G58" s="40"/>
      <c r="H58" s="40"/>
      <c r="I58" s="40"/>
      <c r="J58" s="42"/>
      <c r="K58" s="42"/>
      <c r="L58" s="52"/>
    </row>
    <row r="59" spans="3:12" s="39" customFormat="1" x14ac:dyDescent="0.35">
      <c r="C59" s="52"/>
      <c r="D59" s="52"/>
      <c r="E59" s="52"/>
      <c r="F59" s="40"/>
      <c r="G59" s="40"/>
      <c r="H59" s="40"/>
      <c r="I59" s="40"/>
      <c r="J59" s="40"/>
      <c r="K59" s="42"/>
      <c r="L59" s="52"/>
    </row>
    <row r="60" spans="3:12" s="39" customFormat="1" x14ac:dyDescent="0.35">
      <c r="C60" s="52" t="e" cm="1" vm="51">
        <f t="array" ref="C60:C64" xml:space="preserve"> _xlfn.UNIQUE(Mutual_Fund[Instrument])</f>
        <v>#VALUE!</v>
      </c>
      <c r="D60" s="52"/>
      <c r="E60" s="52" cm="1">
        <f t="array" ref="E60:E64">SUMIFS(Mutual_Fund[Qty.],Mutual_Fund[Instrument],_xlfn.ANCHORARRAY(C60))</f>
        <v>1800</v>
      </c>
      <c r="F60" s="40" cm="1">
        <f t="array" ref="F60:F64">SUMIFS(Mutual_Fund[Total Invt],Mutual_Fund[Instrument],_xlfn.ANCHORARRAY(C60))</f>
        <v>36000</v>
      </c>
      <c r="G60" s="40" cm="1">
        <f t="array" ref="G60:G64">SUMIFS(Mutual_Fund[Cur. val],Mutual_Fund[Instrument],_xlfn.ANCHORARRAY(C60))</f>
        <v>68436</v>
      </c>
      <c r="H60" s="40" cm="1">
        <f t="array" ref="H60:H64">_xlfn.ANCHORARRAY(G60)-_xlfn.ANCHORARRAY(F60)</f>
        <v>32436</v>
      </c>
      <c r="I60" s="40" cm="1">
        <f t="array" ref="I60:I64">(_FV(_xlfn.ANCHORARRAY(C60),"Price",TRUE)-_FV(_xlfn.ANCHORARRAY(C60),"Previous close",TRUE))*_xlfn.ANCHORARRAY(E60)</f>
        <v>144.00000000000972</v>
      </c>
      <c r="J60" s="42" cm="1">
        <f t="array" ref="J60:J64">_xlfn.ANCHORARRAY(I60)/(_xlfn.ANCHORARRAY(G60)-_xlfn.ANCHORARRAY(I60))</f>
        <v>2.1085925144967163E-3</v>
      </c>
      <c r="K60" s="42" cm="1">
        <f t="array" ref="K60:K64">_xlfn.ANCHORARRAY(H60)/_xlfn.ANCHORARRAY(F60)</f>
        <v>0.90100000000000002</v>
      </c>
      <c r="L60" s="52"/>
    </row>
    <row r="61" spans="3:12" s="39" customFormat="1" x14ac:dyDescent="0.35">
      <c r="C61" s="52" t="e" vm="52">
        <v>#VALUE!</v>
      </c>
      <c r="D61" s="52"/>
      <c r="E61" s="52">
        <v>2200</v>
      </c>
      <c r="F61" s="40">
        <v>44000</v>
      </c>
      <c r="G61" s="40">
        <v>170320.04</v>
      </c>
      <c r="H61" s="40">
        <v>126320.04000000001</v>
      </c>
      <c r="I61" s="40">
        <v>944.23999999998784</v>
      </c>
      <c r="J61" s="42">
        <v>5.5748223772226482E-3</v>
      </c>
      <c r="K61" s="42">
        <v>2.8709100000000003</v>
      </c>
      <c r="L61" s="52"/>
    </row>
    <row r="62" spans="3:12" s="39" customFormat="1" x14ac:dyDescent="0.35">
      <c r="C62" s="52" t="e" vm="53">
        <v>#VALUE!</v>
      </c>
      <c r="D62" s="52"/>
      <c r="E62" s="52">
        <v>20</v>
      </c>
      <c r="F62" s="40">
        <v>2000</v>
      </c>
      <c r="G62" s="40">
        <v>5395.5940000000001</v>
      </c>
      <c r="H62" s="40">
        <v>3395.5940000000001</v>
      </c>
      <c r="I62" s="40">
        <v>26.105999999999767</v>
      </c>
      <c r="J62" s="42">
        <v>4.8619160709549528E-3</v>
      </c>
      <c r="K62" s="42">
        <v>1.697797</v>
      </c>
      <c r="L62" s="52"/>
    </row>
    <row r="63" spans="3:12" s="39" customFormat="1" x14ac:dyDescent="0.35">
      <c r="C63" s="52" t="e" vm="54">
        <v>#VALUE!</v>
      </c>
      <c r="D63" s="52"/>
      <c r="E63" s="52">
        <v>100</v>
      </c>
      <c r="F63" s="40">
        <v>3000</v>
      </c>
      <c r="G63" s="40">
        <v>6195</v>
      </c>
      <c r="H63" s="40">
        <v>3195</v>
      </c>
      <c r="I63" s="40">
        <v>-60.999999999999943</v>
      </c>
      <c r="J63" s="42">
        <v>-9.7506393861892492E-3</v>
      </c>
      <c r="K63" s="42">
        <v>1.0649999999999999</v>
      </c>
      <c r="L63" s="52"/>
    </row>
    <row r="64" spans="3:12" s="39" customFormat="1" x14ac:dyDescent="0.35">
      <c r="C64" s="52" t="e" vm="55">
        <v>#VALUE!</v>
      </c>
      <c r="D64" s="52"/>
      <c r="E64" s="52">
        <v>120</v>
      </c>
      <c r="F64" s="40">
        <v>14400</v>
      </c>
      <c r="G64" s="40">
        <v>16939.079999999998</v>
      </c>
      <c r="H64" s="40">
        <v>2539.0799999999981</v>
      </c>
      <c r="I64" s="40">
        <v>7.4399999999980082</v>
      </c>
      <c r="J64" s="42">
        <v>4.394140201420541E-4</v>
      </c>
      <c r="K64" s="42">
        <v>0.17632499999999987</v>
      </c>
      <c r="L64" s="52"/>
    </row>
    <row r="65" spans="2:12" s="39" customFormat="1" x14ac:dyDescent="0.35">
      <c r="C65" s="52"/>
      <c r="D65" s="52"/>
      <c r="E65" s="52"/>
      <c r="F65" s="40"/>
      <c r="G65" s="40"/>
      <c r="H65" s="40"/>
      <c r="I65" s="40"/>
      <c r="J65" s="42"/>
      <c r="K65" s="42"/>
      <c r="L65" s="52"/>
    </row>
    <row r="66" spans="2:12" s="39" customFormat="1" x14ac:dyDescent="0.35">
      <c r="C66" s="52"/>
      <c r="D66" s="52"/>
      <c r="E66" s="52"/>
      <c r="F66" s="40"/>
      <c r="G66" s="40"/>
      <c r="H66" s="40"/>
      <c r="I66" s="40"/>
      <c r="J66" s="42"/>
      <c r="K66" s="42"/>
      <c r="L66" s="52"/>
    </row>
    <row r="67" spans="2:12" s="39" customFormat="1" x14ac:dyDescent="0.35">
      <c r="C67" s="52"/>
      <c r="D67" s="52"/>
      <c r="E67" s="52"/>
      <c r="F67" s="40"/>
      <c r="G67" s="40"/>
      <c r="H67" s="40"/>
      <c r="I67" s="40"/>
      <c r="J67" s="42"/>
      <c r="K67" s="42"/>
      <c r="L67" s="52"/>
    </row>
    <row r="68" spans="2:12" s="39" customFormat="1" x14ac:dyDescent="0.35">
      <c r="C68" s="52"/>
      <c r="D68" s="52"/>
      <c r="E68" s="52"/>
      <c r="F68" s="40"/>
      <c r="G68" s="40"/>
      <c r="H68" s="40"/>
      <c r="I68" s="40"/>
      <c r="J68" s="42"/>
      <c r="K68" s="42"/>
      <c r="L68" s="52"/>
    </row>
    <row r="69" spans="2:12" s="39" customFormat="1" x14ac:dyDescent="0.35">
      <c r="C69" s="52"/>
      <c r="D69" s="52"/>
      <c r="E69" s="52"/>
      <c r="F69" s="40"/>
      <c r="G69" s="40"/>
      <c r="H69" s="40"/>
      <c r="I69" s="40"/>
      <c r="J69" s="42"/>
      <c r="K69" s="42"/>
      <c r="L69" s="52"/>
    </row>
    <row r="70" spans="2:12" s="39" customFormat="1" x14ac:dyDescent="0.35">
      <c r="C70" s="37"/>
      <c r="D70" s="37"/>
      <c r="E70" s="37"/>
      <c r="F70" s="40"/>
      <c r="G70" s="40"/>
      <c r="H70" s="40"/>
      <c r="I70" s="40"/>
      <c r="J70" s="40"/>
      <c r="K70" s="42"/>
      <c r="L70" s="37"/>
    </row>
    <row r="71" spans="2:12" x14ac:dyDescent="0.35">
      <c r="C71" s="38" t="str">
        <f>COUNTA(_xlfn.ANCHORARRAY(C8))&amp;" No of Shares and "&amp;COUNTA(_xlfn.ANCHORARRAY(C60))&amp;" No of MF "</f>
        <v xml:space="preserve">50 No of Shares and 5 No of MF </v>
      </c>
      <c r="D71" s="10" t="s">
        <v>31</v>
      </c>
      <c r="E71" s="10"/>
      <c r="F71" s="14">
        <f>SUM(_xlfn.ANCHORARRAY(F8),_xlfn.ANCHORARRAY(F60))</f>
        <v>7700100</v>
      </c>
      <c r="G71" s="14">
        <f>SUM(_xlfn.ANCHORARRAY(G8),_xlfn.ANCHORARRAY(G60))</f>
        <v>11114345.014</v>
      </c>
      <c r="H71" s="14">
        <f>SUM(_xlfn.ANCHORARRAY(H8),_xlfn.ANCHORARRAY(H60))</f>
        <v>3414245.014</v>
      </c>
      <c r="I71" s="14">
        <f>SUM(_xlfn.ANCHORARRAY(I8),I60)</f>
        <v>55447.399999999951</v>
      </c>
      <c r="J71" s="54">
        <f>I71/(H71-I71)</f>
        <v>1.6508109857196043E-2</v>
      </c>
      <c r="K71" s="11">
        <f>H71/F71</f>
        <v>0.44340268490019608</v>
      </c>
      <c r="L71" s="10"/>
    </row>
    <row r="74" spans="2:12" x14ac:dyDescent="0.35">
      <c r="B74" s="43" t="s">
        <v>24</v>
      </c>
      <c r="C74" s="43"/>
      <c r="D74" s="43"/>
      <c r="E74" s="44"/>
      <c r="F74" s="44"/>
      <c r="G74" s="68"/>
      <c r="H74" s="66"/>
      <c r="I74" s="67"/>
      <c r="J74" s="67"/>
    </row>
    <row r="75" spans="2:12" x14ac:dyDescent="0.35">
      <c r="B75" s="39"/>
      <c r="C75" s="39"/>
      <c r="D75" s="39"/>
      <c r="E75" s="39"/>
      <c r="F75" s="39"/>
      <c r="G75" s="39"/>
      <c r="H75" s="39"/>
    </row>
    <row r="76" spans="2:12" x14ac:dyDescent="0.35">
      <c r="B76" s="45" t="s">
        <v>25</v>
      </c>
      <c r="C76" s="46" t="e" vm="36">
        <v>#VALUE!</v>
      </c>
      <c r="D76" s="45" t="s">
        <v>30</v>
      </c>
      <c r="E76" s="46">
        <v>3</v>
      </c>
      <c r="F76" s="45" t="s">
        <v>27</v>
      </c>
    </row>
    <row r="77" spans="2:12" x14ac:dyDescent="0.35">
      <c r="B77" s="39"/>
      <c r="C77" s="39"/>
      <c r="D77" s="39"/>
      <c r="E77" s="39"/>
      <c r="F77" s="39"/>
      <c r="G77" s="39"/>
      <c r="H77" s="39"/>
    </row>
    <row r="78" spans="2:12" x14ac:dyDescent="0.35">
      <c r="B78" s="47" t="str">
        <f>E76&amp;" month trailing closing prices"</f>
        <v>3 month trailing closing prices</v>
      </c>
      <c r="C78" s="47"/>
      <c r="D78" s="47"/>
      <c r="E78" s="48"/>
      <c r="F78" s="48"/>
      <c r="H78" s="53"/>
      <c r="L78" s="39"/>
    </row>
    <row r="79" spans="2:12" x14ac:dyDescent="0.35">
      <c r="B79" s="39"/>
      <c r="C79" s="49"/>
      <c r="D79" s="50"/>
      <c r="E79" s="51"/>
      <c r="F79" s="39"/>
      <c r="G79" s="39"/>
      <c r="H79" s="39"/>
      <c r="L79" s="39"/>
    </row>
    <row r="80" spans="2:12" x14ac:dyDescent="0.35">
      <c r="B80" s="39"/>
      <c r="C80" s="49"/>
      <c r="D80" s="50"/>
      <c r="E80" s="51"/>
      <c r="F80" s="39"/>
      <c r="G80" s="39"/>
      <c r="H80" s="39"/>
      <c r="L80" s="39"/>
    </row>
    <row r="81" spans="2:12" x14ac:dyDescent="0.35">
      <c r="B81" s="39"/>
      <c r="C81" s="39"/>
      <c r="D81" s="39"/>
      <c r="E81" s="39"/>
      <c r="F81" s="39"/>
      <c r="G81" s="39"/>
      <c r="H81" s="39"/>
      <c r="L81" s="39"/>
    </row>
    <row r="82" spans="2:12" x14ac:dyDescent="0.35">
      <c r="B82" s="39"/>
      <c r="C82" s="39"/>
      <c r="D82" s="39"/>
      <c r="E82" s="39"/>
      <c r="F82" s="39"/>
      <c r="G82" s="39"/>
      <c r="H82" s="39"/>
      <c r="L82" s="39"/>
    </row>
    <row r="83" spans="2:12" x14ac:dyDescent="0.35">
      <c r="B83" s="39"/>
      <c r="C83" s="39"/>
      <c r="D83" s="39"/>
      <c r="E83" s="39"/>
      <c r="F83" s="39"/>
      <c r="G83" s="39"/>
      <c r="H83" s="39"/>
      <c r="L83" s="39"/>
    </row>
    <row r="84" spans="2:12" x14ac:dyDescent="0.35">
      <c r="B84" s="39"/>
      <c r="C84" s="39"/>
      <c r="D84" s="39"/>
      <c r="E84" s="39"/>
      <c r="F84" s="39"/>
      <c r="G84" s="39"/>
      <c r="H84" s="39"/>
      <c r="L84" s="39"/>
    </row>
    <row r="85" spans="2:12" x14ac:dyDescent="0.35">
      <c r="B85" s="39"/>
      <c r="C85" s="39"/>
      <c r="D85" s="39"/>
      <c r="E85" s="39"/>
      <c r="F85" s="39"/>
      <c r="G85" s="39"/>
      <c r="H85" s="39"/>
      <c r="L85" s="39"/>
    </row>
    <row r="86" spans="2:12" x14ac:dyDescent="0.35">
      <c r="B86" s="39"/>
      <c r="C86" s="39"/>
      <c r="D86" s="39"/>
      <c r="E86" s="39"/>
      <c r="F86" s="39"/>
      <c r="G86" s="39"/>
      <c r="H86" s="39"/>
      <c r="L86" s="39"/>
    </row>
    <row r="87" spans="2:12" x14ac:dyDescent="0.35">
      <c r="B87" s="39"/>
      <c r="C87" s="39"/>
      <c r="D87" s="39"/>
      <c r="E87" s="39"/>
      <c r="F87" s="39"/>
      <c r="G87" s="39"/>
      <c r="H87" s="39"/>
      <c r="L87" s="39"/>
    </row>
    <row r="88" spans="2:12" x14ac:dyDescent="0.35">
      <c r="B88" s="39"/>
      <c r="C88" s="39"/>
      <c r="D88" s="39"/>
      <c r="E88" s="39"/>
      <c r="F88" s="39"/>
      <c r="G88" s="39"/>
      <c r="H88" s="39"/>
      <c r="L88" s="39"/>
    </row>
    <row r="89" spans="2:12" x14ac:dyDescent="0.35">
      <c r="B89" s="39"/>
      <c r="C89" s="39"/>
      <c r="D89" s="39"/>
      <c r="E89" s="39"/>
      <c r="F89" s="39"/>
      <c r="G89" s="39"/>
      <c r="H89" s="39"/>
      <c r="L89" s="39"/>
    </row>
    <row r="90" spans="2:12" x14ac:dyDescent="0.35">
      <c r="B90" s="39"/>
      <c r="C90" s="39"/>
      <c r="D90" s="39"/>
      <c r="E90" s="39"/>
      <c r="F90" s="39"/>
      <c r="G90" s="39"/>
      <c r="H90" s="39"/>
      <c r="L90" s="39"/>
    </row>
    <row r="91" spans="2:12" x14ac:dyDescent="0.35">
      <c r="B91" s="39"/>
      <c r="C91" s="39"/>
      <c r="D91" s="39"/>
      <c r="E91" s="39"/>
      <c r="F91" s="39"/>
      <c r="G91" s="39"/>
      <c r="H91" s="39"/>
      <c r="L91" s="39"/>
    </row>
    <row r="92" spans="2:12" x14ac:dyDescent="0.35">
      <c r="B92" s="39"/>
      <c r="C92" s="39"/>
      <c r="D92" s="39"/>
      <c r="E92" s="39"/>
      <c r="F92" s="39"/>
      <c r="G92" s="39"/>
      <c r="H92" s="39"/>
      <c r="L92" s="39"/>
    </row>
    <row r="93" spans="2:12" x14ac:dyDescent="0.35">
      <c r="B93" s="43" t="s">
        <v>28</v>
      </c>
      <c r="C93" s="43"/>
      <c r="D93" s="43"/>
      <c r="E93" s="44"/>
      <c r="F93" s="44"/>
      <c r="H93" s="53"/>
      <c r="L93" s="39"/>
    </row>
    <row r="94" spans="2:12" x14ac:dyDescent="0.35">
      <c r="B94" s="39"/>
      <c r="C94" s="39"/>
      <c r="D94" s="39"/>
      <c r="E94" s="39"/>
      <c r="F94" s="39"/>
      <c r="G94" s="39"/>
      <c r="H94" s="39"/>
      <c r="L94" s="39"/>
    </row>
    <row r="95" spans="2:12" x14ac:dyDescent="0.35">
      <c r="B95" s="45" t="s">
        <v>25</v>
      </c>
      <c r="C95" s="70" t="e" vm="22">
        <v>#VALUE!</v>
      </c>
      <c r="D95" s="70"/>
      <c r="E95" s="70"/>
      <c r="F95" s="70"/>
      <c r="G95" s="39"/>
      <c r="H95" s="45"/>
      <c r="L95" s="39"/>
    </row>
    <row r="96" spans="2:12" x14ac:dyDescent="0.35">
      <c r="B96" s="39"/>
      <c r="C96" s="39"/>
      <c r="D96" s="39"/>
      <c r="E96" s="39"/>
      <c r="F96" s="39"/>
      <c r="G96" s="39"/>
      <c r="H96" s="39"/>
      <c r="L96" s="39"/>
    </row>
    <row r="97" spans="2:12" x14ac:dyDescent="0.35">
      <c r="B97" s="47" t="str">
        <f>E76&amp;" month trailing closing prices"</f>
        <v>3 month trailing closing prices</v>
      </c>
      <c r="C97" s="47"/>
      <c r="D97" s="47"/>
      <c r="E97" s="48"/>
      <c r="F97" s="48"/>
      <c r="H97" s="53"/>
      <c r="L97" s="39"/>
    </row>
    <row r="98" spans="2:12" x14ac:dyDescent="0.35">
      <c r="B98" s="39"/>
      <c r="C98" s="39"/>
      <c r="D98" s="39"/>
      <c r="E98" s="39"/>
      <c r="F98" s="39"/>
      <c r="G98" s="39"/>
      <c r="H98" s="39"/>
      <c r="L98" s="39"/>
    </row>
    <row r="99" spans="2:12" x14ac:dyDescent="0.35">
      <c r="B99" s="39"/>
      <c r="C99" s="39"/>
      <c r="D99" s="39"/>
      <c r="E99" s="39"/>
      <c r="F99" s="39"/>
      <c r="G99" s="39"/>
      <c r="H99" s="39"/>
      <c r="L99" s="39"/>
    </row>
    <row r="100" spans="2:12" x14ac:dyDescent="0.35">
      <c r="B100" s="39"/>
      <c r="C100" s="39"/>
      <c r="D100" s="39"/>
      <c r="E100" s="39"/>
      <c r="F100" s="39"/>
      <c r="G100" s="39"/>
      <c r="H100" s="39"/>
      <c r="L100" s="39"/>
    </row>
    <row r="101" spans="2:12" x14ac:dyDescent="0.35">
      <c r="B101" s="39"/>
      <c r="C101" s="39"/>
      <c r="D101" s="39"/>
      <c r="E101" s="39"/>
      <c r="F101" s="39"/>
      <c r="G101" s="39"/>
      <c r="H101" s="39"/>
      <c r="L101" s="39"/>
    </row>
    <row r="102" spans="2:12" x14ac:dyDescent="0.35">
      <c r="B102" s="39"/>
      <c r="C102" s="39"/>
      <c r="D102" s="39"/>
      <c r="E102" s="39"/>
      <c r="F102" s="39"/>
      <c r="G102" s="39"/>
      <c r="H102" s="39"/>
      <c r="L102" s="39"/>
    </row>
    <row r="103" spans="2:12" x14ac:dyDescent="0.35">
      <c r="B103" s="39"/>
      <c r="C103" s="39"/>
      <c r="D103" s="39"/>
      <c r="E103" s="39"/>
      <c r="F103" s="39"/>
      <c r="G103" s="39"/>
      <c r="H103" s="39"/>
      <c r="L103" s="39"/>
    </row>
    <row r="104" spans="2:12" x14ac:dyDescent="0.35">
      <c r="B104" s="39"/>
      <c r="C104" s="39"/>
      <c r="D104" s="39"/>
      <c r="E104" s="39"/>
      <c r="F104" s="39"/>
      <c r="G104" s="39"/>
      <c r="H104" s="39"/>
      <c r="L104" s="39"/>
    </row>
    <row r="105" spans="2:12" x14ac:dyDescent="0.35">
      <c r="B105" s="39"/>
      <c r="C105" s="39"/>
      <c r="D105" s="39"/>
      <c r="E105" s="39"/>
      <c r="F105" s="39"/>
      <c r="G105" s="39"/>
      <c r="H105" s="39"/>
      <c r="L105" s="39"/>
    </row>
    <row r="106" spans="2:12" x14ac:dyDescent="0.35">
      <c r="B106" s="39"/>
      <c r="C106" s="39"/>
      <c r="D106" s="39"/>
      <c r="E106" s="39"/>
      <c r="F106" s="39"/>
      <c r="G106" s="39"/>
      <c r="H106" s="39"/>
      <c r="L106" s="39"/>
    </row>
    <row r="107" spans="2:12" x14ac:dyDescent="0.35">
      <c r="B107" s="39"/>
      <c r="C107" s="39"/>
      <c r="D107" s="39"/>
      <c r="E107" s="39"/>
      <c r="F107" s="39"/>
      <c r="G107" s="39"/>
      <c r="H107" s="39"/>
      <c r="L107" s="39"/>
    </row>
    <row r="108" spans="2:12" x14ac:dyDescent="0.35">
      <c r="B108" s="39"/>
      <c r="C108" s="39"/>
      <c r="D108" s="39"/>
      <c r="E108" s="39"/>
      <c r="F108" s="39"/>
      <c r="G108" s="39"/>
      <c r="H108" s="39"/>
      <c r="L108" s="39"/>
    </row>
    <row r="109" spans="2:12" x14ac:dyDescent="0.35">
      <c r="B109" s="39"/>
      <c r="C109" s="39"/>
      <c r="D109" s="39"/>
      <c r="E109" s="39"/>
      <c r="F109" s="39"/>
      <c r="G109" s="39"/>
      <c r="H109" s="39"/>
      <c r="L109" s="39"/>
    </row>
    <row r="110" spans="2:12" x14ac:dyDescent="0.35">
      <c r="B110" s="39"/>
      <c r="C110" s="39"/>
      <c r="D110" s="39"/>
      <c r="E110" s="39"/>
      <c r="F110" s="39"/>
      <c r="G110" s="39"/>
      <c r="H110" s="39"/>
      <c r="L110" s="39"/>
    </row>
    <row r="111" spans="2:12" x14ac:dyDescent="0.35">
      <c r="B111" s="39"/>
      <c r="C111" s="39"/>
      <c r="D111" s="39"/>
      <c r="E111" s="39"/>
      <c r="F111" s="39"/>
      <c r="G111" s="39"/>
      <c r="H111" s="39"/>
      <c r="L111" s="39"/>
    </row>
    <row r="112" spans="2:12" x14ac:dyDescent="0.35">
      <c r="B112" s="39"/>
      <c r="C112" s="39"/>
      <c r="D112" s="39"/>
      <c r="E112" s="39"/>
      <c r="F112" s="39"/>
      <c r="G112" s="39"/>
      <c r="H112" s="39"/>
      <c r="L112" s="39"/>
    </row>
    <row r="113" spans="2:12" x14ac:dyDescent="0.35">
      <c r="L113" s="39"/>
    </row>
    <row r="114" spans="2:12" x14ac:dyDescent="0.35">
      <c r="L114" s="39"/>
    </row>
    <row r="115" spans="2:12" x14ac:dyDescent="0.35">
      <c r="L115" s="39"/>
    </row>
    <row r="116" spans="2:12" x14ac:dyDescent="0.35">
      <c r="B116" s="43" t="s">
        <v>28</v>
      </c>
      <c r="C116" s="43"/>
      <c r="D116" s="43"/>
      <c r="E116" s="43"/>
      <c r="F116" s="43"/>
      <c r="G116" s="43"/>
      <c r="H116" s="43"/>
      <c r="I116" s="43"/>
      <c r="J116" s="43"/>
      <c r="K116" s="43"/>
      <c r="L116" s="43"/>
    </row>
    <row r="117" spans="2:12" x14ac:dyDescent="0.35">
      <c r="B117" s="39"/>
      <c r="C117" s="39"/>
      <c r="D117" s="39"/>
      <c r="E117" s="39"/>
      <c r="F117" s="39"/>
      <c r="G117" s="39"/>
      <c r="H117" s="39"/>
      <c r="I117" s="39"/>
      <c r="J117" s="39"/>
      <c r="K117" s="39"/>
      <c r="L117" s="39"/>
    </row>
    <row r="118" spans="2:12" x14ac:dyDescent="0.35">
      <c r="B118" s="45" t="s">
        <v>25</v>
      </c>
      <c r="C118" s="70" t="e" vm="20">
        <v>#VALUE!</v>
      </c>
      <c r="D118" s="70"/>
      <c r="E118" s="70"/>
      <c r="F118" s="70"/>
      <c r="G118" s="45" t="s">
        <v>25</v>
      </c>
      <c r="H118" s="69" t="e" vm="20">
        <v>#VALUE!</v>
      </c>
      <c r="I118" s="69"/>
      <c r="J118" s="69"/>
      <c r="K118" s="69"/>
      <c r="L118" s="69"/>
    </row>
    <row r="119" spans="2:12" x14ac:dyDescent="0.35">
      <c r="C119" s="39"/>
      <c r="D119" s="39"/>
      <c r="E119" s="39"/>
      <c r="F119" s="39"/>
      <c r="G119" s="39"/>
      <c r="H119" s="39"/>
      <c r="I119" s="39"/>
      <c r="J119" s="39"/>
      <c r="K119" s="39"/>
      <c r="L119" s="39"/>
    </row>
    <row r="120" spans="2:12" x14ac:dyDescent="0.35">
      <c r="C120" s="39"/>
      <c r="D120" s="39"/>
      <c r="E120" s="39"/>
      <c r="F120" s="39"/>
      <c r="G120" s="39"/>
      <c r="H120" s="39"/>
      <c r="I120" s="39"/>
      <c r="J120" s="39"/>
      <c r="K120" s="39"/>
      <c r="L120" s="39"/>
    </row>
    <row r="121" spans="2:12" x14ac:dyDescent="0.35">
      <c r="L121" s="39"/>
    </row>
    <row r="122" spans="2:12" x14ac:dyDescent="0.35">
      <c r="C122" s="39"/>
      <c r="D122" s="39"/>
      <c r="E122" s="39"/>
      <c r="F122" s="39"/>
      <c r="G122" s="39"/>
      <c r="H122" s="39"/>
      <c r="I122" s="39"/>
      <c r="J122" s="39"/>
      <c r="K122" s="39"/>
      <c r="L122" s="39"/>
    </row>
    <row r="123" spans="2:12" x14ac:dyDescent="0.35">
      <c r="C123" s="39"/>
      <c r="D123" s="39"/>
      <c r="E123" s="39"/>
      <c r="F123" s="39"/>
      <c r="G123" s="39"/>
      <c r="H123" s="39"/>
      <c r="I123" s="39"/>
      <c r="J123" s="39"/>
      <c r="K123" s="39"/>
      <c r="L123" s="39"/>
    </row>
    <row r="124" spans="2:12" x14ac:dyDescent="0.35">
      <c r="C124" s="39"/>
      <c r="D124" s="39"/>
      <c r="E124" s="39"/>
      <c r="F124" s="39"/>
      <c r="G124" s="39"/>
      <c r="H124" s="39"/>
      <c r="I124" s="39"/>
      <c r="J124" s="39"/>
      <c r="K124" s="39"/>
      <c r="L124" s="39"/>
    </row>
    <row r="125" spans="2:12" x14ac:dyDescent="0.35">
      <c r="C125" s="39"/>
      <c r="D125" s="39"/>
      <c r="E125" s="39"/>
      <c r="F125" s="39"/>
      <c r="G125" s="39"/>
      <c r="H125" s="39"/>
      <c r="I125" s="39"/>
      <c r="J125" s="39"/>
      <c r="K125" s="39"/>
      <c r="L125" s="39"/>
    </row>
    <row r="126" spans="2:12" x14ac:dyDescent="0.35">
      <c r="C126" s="39"/>
      <c r="D126" s="39"/>
      <c r="E126" s="39"/>
      <c r="F126" s="39"/>
      <c r="G126" s="39"/>
      <c r="H126" s="39"/>
      <c r="I126" s="39"/>
      <c r="J126" s="39"/>
      <c r="K126" s="39"/>
      <c r="L126" s="39"/>
    </row>
    <row r="127" spans="2:12" x14ac:dyDescent="0.35">
      <c r="C127" s="39"/>
      <c r="D127" s="39"/>
      <c r="E127" s="39"/>
      <c r="F127" s="39"/>
      <c r="G127" s="39"/>
      <c r="H127" s="39"/>
      <c r="I127" s="39"/>
      <c r="J127" s="39"/>
      <c r="K127" s="39"/>
      <c r="L127" s="39"/>
    </row>
    <row r="128" spans="2:12" x14ac:dyDescent="0.35">
      <c r="C128" s="39"/>
      <c r="D128" s="39"/>
      <c r="E128" s="39"/>
      <c r="F128" s="39"/>
      <c r="G128" s="39"/>
      <c r="H128" s="39"/>
      <c r="I128" s="39"/>
      <c r="J128" s="39"/>
      <c r="K128" s="39"/>
      <c r="L128" s="39"/>
    </row>
    <row r="129" spans="3:12" x14ac:dyDescent="0.35">
      <c r="C129" s="39"/>
      <c r="D129" s="39"/>
      <c r="E129" s="39"/>
      <c r="F129" s="39"/>
      <c r="G129" s="39"/>
      <c r="H129" s="39"/>
      <c r="I129" s="39"/>
      <c r="J129" s="39"/>
      <c r="K129" s="39"/>
      <c r="L129" s="39"/>
    </row>
    <row r="130" spans="3:12" x14ac:dyDescent="0.35">
      <c r="C130" s="39"/>
      <c r="D130" s="39"/>
      <c r="E130" s="39"/>
      <c r="F130" s="39"/>
      <c r="G130" s="39"/>
      <c r="H130" s="39"/>
      <c r="I130" s="39"/>
      <c r="J130" s="39"/>
      <c r="K130" s="39"/>
      <c r="L130" s="39"/>
    </row>
    <row r="131" spans="3:12" x14ac:dyDescent="0.35">
      <c r="C131" s="39"/>
      <c r="D131" s="39"/>
      <c r="E131" s="39"/>
      <c r="F131" s="39"/>
      <c r="G131" s="39"/>
      <c r="H131" s="39"/>
      <c r="I131" s="39"/>
      <c r="J131" s="39"/>
      <c r="K131" s="39"/>
      <c r="L131" s="39"/>
    </row>
    <row r="132" spans="3:12" x14ac:dyDescent="0.35">
      <c r="C132" s="39"/>
      <c r="D132" s="39"/>
      <c r="E132" s="39"/>
      <c r="F132" s="39"/>
      <c r="G132" s="39"/>
      <c r="H132" s="39"/>
      <c r="I132" s="39"/>
      <c r="J132" s="39"/>
      <c r="K132" s="39"/>
    </row>
    <row r="133" spans="3:12" x14ac:dyDescent="0.35">
      <c r="C133" s="39"/>
      <c r="D133" s="39"/>
      <c r="E133" s="39"/>
      <c r="F133" s="39"/>
      <c r="G133" s="39"/>
      <c r="H133" s="39"/>
      <c r="I133" s="39"/>
      <c r="J133" s="39"/>
      <c r="K133" s="39"/>
      <c r="L133" s="39"/>
    </row>
    <row r="134" spans="3:12" x14ac:dyDescent="0.35">
      <c r="C134" s="39"/>
      <c r="D134" s="39"/>
      <c r="E134" s="39"/>
      <c r="F134" s="39"/>
      <c r="G134" s="39"/>
      <c r="H134" s="39"/>
      <c r="I134" s="39"/>
      <c r="J134" s="39"/>
      <c r="K134" s="39"/>
      <c r="L134" s="39"/>
    </row>
    <row r="135" spans="3:12" x14ac:dyDescent="0.35">
      <c r="C135" s="39"/>
      <c r="D135" s="39"/>
      <c r="E135" s="39"/>
      <c r="F135" s="39"/>
      <c r="G135" s="39"/>
      <c r="H135" s="39"/>
      <c r="I135" s="39"/>
      <c r="J135" s="39"/>
      <c r="K135" s="39"/>
      <c r="L135" s="39"/>
    </row>
    <row r="136" spans="3:12" x14ac:dyDescent="0.35">
      <c r="C136" s="39"/>
      <c r="D136" s="39"/>
      <c r="E136" s="39"/>
      <c r="F136" s="39"/>
      <c r="G136" s="39"/>
      <c r="H136" s="39"/>
      <c r="I136" s="39"/>
      <c r="J136" s="39"/>
      <c r="K136" s="39"/>
      <c r="L136" s="39"/>
    </row>
    <row r="137" spans="3:12" x14ac:dyDescent="0.35">
      <c r="C137" s="39"/>
      <c r="D137" s="39"/>
      <c r="E137" s="39"/>
      <c r="F137" s="39"/>
      <c r="G137" s="39"/>
      <c r="H137" s="39"/>
      <c r="I137" s="39"/>
      <c r="J137" s="39"/>
      <c r="K137" s="39"/>
      <c r="L137" s="39"/>
    </row>
    <row r="138" spans="3:12" x14ac:dyDescent="0.35">
      <c r="L138" s="39"/>
    </row>
    <row r="139" spans="3:12" x14ac:dyDescent="0.35">
      <c r="L139" s="39"/>
    </row>
    <row r="140" spans="3:12" x14ac:dyDescent="0.35">
      <c r="L140" s="39"/>
    </row>
    <row r="141" spans="3:12" x14ac:dyDescent="0.35">
      <c r="L141" s="39"/>
    </row>
    <row r="142" spans="3:12" x14ac:dyDescent="0.35">
      <c r="L142" s="39"/>
    </row>
    <row r="143" spans="3:12" x14ac:dyDescent="0.35">
      <c r="L143" s="39"/>
    </row>
    <row r="144" spans="3:12" x14ac:dyDescent="0.35">
      <c r="L144" s="39"/>
    </row>
    <row r="145" spans="12:12" x14ac:dyDescent="0.35">
      <c r="L145" s="39"/>
    </row>
    <row r="146" spans="12:12" x14ac:dyDescent="0.35">
      <c r="L146" s="39"/>
    </row>
    <row r="147" spans="12:12" x14ac:dyDescent="0.35">
      <c r="L147" s="39"/>
    </row>
    <row r="148" spans="12:12" x14ac:dyDescent="0.35">
      <c r="L148" s="39"/>
    </row>
  </sheetData>
  <autoFilter ref="C7:L57" xr:uid="{3403C969-B581-4CA9-B4ED-BE1475FD4F9F}"/>
  <mergeCells count="3">
    <mergeCell ref="H118:L118"/>
    <mergeCell ref="C118:F118"/>
    <mergeCell ref="C95:F95"/>
  </mergeCells>
  <conditionalFormatting sqref="C79:E80 C8:L70">
    <cfRule type="expression" dxfId="33" priority="16">
      <formula>AND(MOD(ROW($C8),2)=1,$C8&lt;&gt;"")</formula>
    </cfRule>
  </conditionalFormatting>
  <conditionalFormatting sqref="H8:H58 H60:H69">
    <cfRule type="dataBar" priority="13">
      <dataBar>
        <cfvo type="num" val="-200000"/>
        <cfvo type="num" val="200000"/>
        <color rgb="FF63C384"/>
      </dataBar>
      <extLst>
        <ext xmlns:x14="http://schemas.microsoft.com/office/spreadsheetml/2009/9/main" uri="{B025F937-C7B1-47D3-B67F-A62EFF666E3E}">
          <x14:id>{1A020CD0-8ABC-4B93-BF58-8A89C85533F8}</x14:id>
        </ext>
      </extLst>
    </cfRule>
  </conditionalFormatting>
  <conditionalFormatting sqref="I8:I58">
    <cfRule type="dataBar" priority="7">
      <dataBar>
        <cfvo type="num" val="-30000"/>
        <cfvo type="num" val="30000"/>
        <color rgb="FF63C384"/>
      </dataBar>
      <extLst>
        <ext xmlns:x14="http://schemas.microsoft.com/office/spreadsheetml/2009/9/main" uri="{B025F937-C7B1-47D3-B67F-A62EFF666E3E}">
          <x14:id>{8EF96379-71C6-49F5-AC95-717CF0F40386}</x14:id>
        </ext>
      </extLst>
    </cfRule>
  </conditionalFormatting>
  <conditionalFormatting sqref="I60:I69">
    <cfRule type="dataBar" priority="5">
      <dataBar>
        <cfvo type="num" val="-10000"/>
        <cfvo type="num" val="10000"/>
        <color rgb="FF63C384"/>
      </dataBar>
      <extLst>
        <ext xmlns:x14="http://schemas.microsoft.com/office/spreadsheetml/2009/9/main" uri="{B025F937-C7B1-47D3-B67F-A62EFF666E3E}">
          <x14:id>{D1959047-16EF-41C2-8CAF-CB13D91029AE}</x14:id>
        </ext>
      </extLst>
    </cfRule>
  </conditionalFormatting>
  <dataValidations count="4">
    <dataValidation type="list" allowBlank="1" showInputMessage="1" showErrorMessage="1" sqref="E76" xr:uid="{654F5C7A-DB07-474A-B7C3-FF3731930600}">
      <formula1>"1,3,6,12"</formula1>
    </dataValidation>
    <dataValidation type="list" allowBlank="1" showInputMessage="1" showErrorMessage="1" sqref="C76" xr:uid="{6DB18C8F-9164-47B9-9ADE-C2097BAFAE4B}">
      <formula1>_xlfn.ANCHORARRAY(C8)</formula1>
    </dataValidation>
    <dataValidation type="list" allowBlank="1" showInputMessage="1" showErrorMessage="1" sqref="C95" xr:uid="{083EED83-6EC5-4604-8AEA-4D4E498F17A5}">
      <formula1>_xlfn.ANCHORARRAY(C8)</formula1>
    </dataValidation>
    <dataValidation type="list" allowBlank="1" showInputMessage="1" showErrorMessage="1" sqref="C118 H118" xr:uid="{D4829C89-5D90-480E-A2B4-2311E6F85A6F}">
      <formula1>_xlfn.ANCHORARRAY(C8)</formula1>
    </dataValidation>
  </dataValidations>
  <pageMargins left="0.7" right="0.7" top="0.75" bottom="0.75" header="0.3" footer="0.3"/>
  <pageSetup scale="40" fitToHeight="0" orientation="portrait" r:id="rId1"/>
  <rowBreaks count="1" manualBreakCount="1">
    <brk id="72" max="16383" man="1"/>
  </rowBreaks>
  <drawing r:id="rId2"/>
  <extLst>
    <ext xmlns:x14="http://schemas.microsoft.com/office/spreadsheetml/2009/9/main" uri="{78C0D931-6437-407d-A8EE-F0AAD7539E65}">
      <x14:conditionalFormattings>
        <x14:conditionalFormatting xmlns:xm="http://schemas.microsoft.com/office/excel/2006/main">
          <x14:cfRule type="dataBar" id="{1A020CD0-8ABC-4B93-BF58-8A89C85533F8}">
            <x14:dataBar minLength="0" maxLength="100" gradient="0">
              <x14:cfvo type="num">
                <xm:f>-200000</xm:f>
              </x14:cfvo>
              <x14:cfvo type="num">
                <xm:f>200000</xm:f>
              </x14:cfvo>
              <x14:negativeFillColor rgb="FFFF0000"/>
              <x14:axisColor rgb="FF000000"/>
            </x14:dataBar>
          </x14:cfRule>
          <xm:sqref>H8:H58 H60:H69</xm:sqref>
        </x14:conditionalFormatting>
        <x14:conditionalFormatting xmlns:xm="http://schemas.microsoft.com/office/excel/2006/main">
          <x14:cfRule type="dataBar" id="{8EF96379-71C6-49F5-AC95-717CF0F40386}">
            <x14:dataBar minLength="0" maxLength="100" gradient="0">
              <x14:cfvo type="num">
                <xm:f>-30000</xm:f>
              </x14:cfvo>
              <x14:cfvo type="num">
                <xm:f>30000</xm:f>
              </x14:cfvo>
              <x14:negativeFillColor rgb="FFFF0000"/>
              <x14:axisColor rgb="FF000000"/>
            </x14:dataBar>
          </x14:cfRule>
          <xm:sqref>I8:I58</xm:sqref>
        </x14:conditionalFormatting>
        <x14:conditionalFormatting xmlns:xm="http://schemas.microsoft.com/office/excel/2006/main">
          <x14:cfRule type="dataBar" id="{D1959047-16EF-41C2-8CAF-CB13D91029AE}">
            <x14:dataBar minLength="0" maxLength="100" gradient="0">
              <x14:cfvo type="num">
                <xm:f>-10000</xm:f>
              </x14:cfvo>
              <x14:cfvo type="num">
                <xm:f>10000</xm:f>
              </x14:cfvo>
              <x14:negativeFillColor rgb="FFFF0000"/>
              <x14:axisColor rgb="FF000000"/>
            </x14:dataBar>
          </x14:cfRule>
          <xm:sqref>I60:I69</xm:sqref>
        </x14:conditionalFormatting>
        <x14:conditionalFormatting xmlns:xm="http://schemas.microsoft.com/office/excel/2006/main">
          <x14:cfRule type="iconSet" priority="1" id="{35D0B21E-8625-4F0D-8A3C-F17EBFECCD4A}">
            <x14:iconSet iconSet="3Triangles">
              <x14:cfvo type="percent">
                <xm:f>0</xm:f>
              </x14:cfvo>
              <x14:cfvo type="num">
                <xm:f>0</xm:f>
              </x14:cfvo>
              <x14:cfvo type="num" gte="0">
                <xm:f>0</xm:f>
              </x14:cfvo>
            </x14:iconSet>
          </x14:cfRule>
          <xm:sqref>J71</xm:sqref>
        </x14:conditionalFormatting>
        <x14:conditionalFormatting xmlns:xm="http://schemas.microsoft.com/office/excel/2006/main">
          <x14:cfRule type="iconSet" priority="43" id="{424C5868-D4B0-4CB7-A55F-7F5E977B5D0F}">
            <x14:iconSet iconSet="3Triangles">
              <x14:cfvo type="percent">
                <xm:f>0</xm:f>
              </x14:cfvo>
              <x14:cfvo type="num">
                <xm:f>0</xm:f>
              </x14:cfvo>
              <x14:cfvo type="num" gte="0">
                <xm:f>0</xm:f>
              </x14:cfvo>
            </x14:iconSet>
          </x14:cfRule>
          <xm:sqref>J8:J58</xm:sqref>
        </x14:conditionalFormatting>
        <x14:conditionalFormatting xmlns:xm="http://schemas.microsoft.com/office/excel/2006/main">
          <x14:cfRule type="iconSet" priority="56" id="{9E8A2615-FD78-4BE9-A899-D824AD2EB211}">
            <x14:iconSet iconSet="3Triangles">
              <x14:cfvo type="percent">
                <xm:f>0</xm:f>
              </x14:cfvo>
              <x14:cfvo type="num">
                <xm:f>0</xm:f>
              </x14:cfvo>
              <x14:cfvo type="num" gte="0">
                <xm:f>0</xm:f>
              </x14:cfvo>
            </x14:iconSet>
          </x14:cfRule>
          <xm:sqref>J60:J69</xm:sqref>
        </x14:conditionalFormatting>
        <x14:conditionalFormatting xmlns:xm="http://schemas.microsoft.com/office/excel/2006/main">
          <x14:cfRule type="iconSet" priority="58" id="{00A31DB2-76B4-4EB2-91FF-304329CF5322}">
            <x14:iconSet iconSet="3Triangles">
              <x14:cfvo type="percent">
                <xm:f>0</xm:f>
              </x14:cfvo>
              <x14:cfvo type="num">
                <xm:f>0</xm:f>
              </x14:cfvo>
              <x14:cfvo type="num" gte="0">
                <xm:f>0</xm:f>
              </x14:cfvo>
            </x14:iconSet>
          </x14:cfRule>
          <xm:sqref>K8:K70</xm:sqref>
        </x14:conditionalFormatting>
      </x14:conditionalFormattings>
    </ext>
    <ext xmlns:x14="http://schemas.microsoft.com/office/spreadsheetml/2009/9/main" uri="{05C60535-1F16-4fd2-B633-F4F36F0B64E0}">
      <x14:sparklineGroups xmlns:xm="http://schemas.microsoft.com/office/excel/2006/main">
        <x14:sparklineGroup displayEmptyCellsAs="gap" xr2:uid="{F9CD20EF-D438-41FA-B110-D3A46D7FE9E2}">
          <x14:colorSeries theme="8" tint="-0.499984740745262"/>
          <x14:colorNegative theme="9"/>
          <x14:colorAxis rgb="FF000000"/>
          <x14:colorMarkers theme="8" tint="-0.499984740745262"/>
          <x14:colorFirst theme="8" tint="0.39997558519241921"/>
          <x14:colorLast theme="8" tint="0.39997558519241921"/>
          <x14:colorHigh theme="8"/>
          <x14:colorLow theme="8"/>
          <x14:sparklines>
            <x14:sparkline>
              <xm:f>Analysis!E94:IQ94</xm:f>
              <xm:sqref>L8</xm:sqref>
            </x14:sparkline>
            <x14:sparkline>
              <xm:f>Analysis!E95:IQ95</xm:f>
              <xm:sqref>L9</xm:sqref>
            </x14:sparkline>
            <x14:sparkline>
              <xm:f>Analysis!E96:IQ96</xm:f>
              <xm:sqref>L10</xm:sqref>
            </x14:sparkline>
            <x14:sparkline>
              <xm:f>Analysis!E97:IQ97</xm:f>
              <xm:sqref>L11</xm:sqref>
            </x14:sparkline>
            <x14:sparkline>
              <xm:f>Analysis!E98:IQ98</xm:f>
              <xm:sqref>L12</xm:sqref>
            </x14:sparkline>
            <x14:sparkline>
              <xm:f>Analysis!E99:IQ99</xm:f>
              <xm:sqref>L13</xm:sqref>
            </x14:sparkline>
            <x14:sparkline>
              <xm:f>Analysis!E100:IQ100</xm:f>
              <xm:sqref>L14</xm:sqref>
            </x14:sparkline>
            <x14:sparkline>
              <xm:f>Analysis!E101:IQ101</xm:f>
              <xm:sqref>L15</xm:sqref>
            </x14:sparkline>
            <x14:sparkline>
              <xm:f>Analysis!E102:IQ102</xm:f>
              <xm:sqref>L16</xm:sqref>
            </x14:sparkline>
            <x14:sparkline>
              <xm:f>Analysis!E103:IQ103</xm:f>
              <xm:sqref>L17</xm:sqref>
            </x14:sparkline>
            <x14:sparkline>
              <xm:f>Analysis!E104:IQ104</xm:f>
              <xm:sqref>L18</xm:sqref>
            </x14:sparkline>
            <x14:sparkline>
              <xm:f>Analysis!E105:IQ105</xm:f>
              <xm:sqref>L19</xm:sqref>
            </x14:sparkline>
            <x14:sparkline>
              <xm:f>Analysis!E106:IQ106</xm:f>
              <xm:sqref>L20</xm:sqref>
            </x14:sparkline>
            <x14:sparkline>
              <xm:f>Analysis!E107:IQ107</xm:f>
              <xm:sqref>L21</xm:sqref>
            </x14:sparkline>
            <x14:sparkline>
              <xm:f>Analysis!E108:IQ108</xm:f>
              <xm:sqref>L22</xm:sqref>
            </x14:sparkline>
            <x14:sparkline>
              <xm:f>Analysis!E109:IQ109</xm:f>
              <xm:sqref>L23</xm:sqref>
            </x14:sparkline>
            <x14:sparkline>
              <xm:f>Analysis!E110:IQ110</xm:f>
              <xm:sqref>L24</xm:sqref>
            </x14:sparkline>
            <x14:sparkline>
              <xm:f>Analysis!E111:IQ111</xm:f>
              <xm:sqref>L25</xm:sqref>
            </x14:sparkline>
            <x14:sparkline>
              <xm:f>Analysis!E112:IQ112</xm:f>
              <xm:sqref>L26</xm:sqref>
            </x14:sparkline>
            <x14:sparkline>
              <xm:f>Analysis!E113:IQ113</xm:f>
              <xm:sqref>L27</xm:sqref>
            </x14:sparkline>
            <x14:sparkline>
              <xm:f>Analysis!E114:IQ114</xm:f>
              <xm:sqref>L28</xm:sqref>
            </x14:sparkline>
            <x14:sparkline>
              <xm:f>Analysis!E115:IQ115</xm:f>
              <xm:sqref>L29</xm:sqref>
            </x14:sparkline>
            <x14:sparkline>
              <xm:f>Analysis!E116:IQ116</xm:f>
              <xm:sqref>L30</xm:sqref>
            </x14:sparkline>
            <x14:sparkline>
              <xm:f>Analysis!E117:IQ117</xm:f>
              <xm:sqref>L31</xm:sqref>
            </x14:sparkline>
            <x14:sparkline>
              <xm:f>Analysis!E118:IQ118</xm:f>
              <xm:sqref>L32</xm:sqref>
            </x14:sparkline>
            <x14:sparkline>
              <xm:f>Analysis!E119:IQ119</xm:f>
              <xm:sqref>L33</xm:sqref>
            </x14:sparkline>
            <x14:sparkline>
              <xm:f>Analysis!E120:IQ120</xm:f>
              <xm:sqref>L34</xm:sqref>
            </x14:sparkline>
            <x14:sparkline>
              <xm:f>Analysis!E121:IQ121</xm:f>
              <xm:sqref>L35</xm:sqref>
            </x14:sparkline>
            <x14:sparkline>
              <xm:f>Analysis!E122:IQ122</xm:f>
              <xm:sqref>L36</xm:sqref>
            </x14:sparkline>
            <x14:sparkline>
              <xm:f>Analysis!E123:IQ123</xm:f>
              <xm:sqref>L37</xm:sqref>
            </x14:sparkline>
            <x14:sparkline>
              <xm:f>Analysis!E124:IQ124</xm:f>
              <xm:sqref>L38</xm:sqref>
            </x14:sparkline>
            <x14:sparkline>
              <xm:f>Analysis!E125:IQ125</xm:f>
              <xm:sqref>L39</xm:sqref>
            </x14:sparkline>
            <x14:sparkline>
              <xm:f>Analysis!E126:IQ126</xm:f>
              <xm:sqref>L40</xm:sqref>
            </x14:sparkline>
            <x14:sparkline>
              <xm:f>Analysis!E127:IQ127</xm:f>
              <xm:sqref>L41</xm:sqref>
            </x14:sparkline>
            <x14:sparkline>
              <xm:f>Analysis!E128:IQ128</xm:f>
              <xm:sqref>L42</xm:sqref>
            </x14:sparkline>
            <x14:sparkline>
              <xm:f>Analysis!E129:IQ129</xm:f>
              <xm:sqref>L43</xm:sqref>
            </x14:sparkline>
            <x14:sparkline>
              <xm:f>Analysis!E130:IQ130</xm:f>
              <xm:sqref>L44</xm:sqref>
            </x14:sparkline>
            <x14:sparkline>
              <xm:f>Analysis!E131:IQ131</xm:f>
              <xm:sqref>L45</xm:sqref>
            </x14:sparkline>
            <x14:sparkline>
              <xm:f>Analysis!E132:IQ132</xm:f>
              <xm:sqref>L46</xm:sqref>
            </x14:sparkline>
            <x14:sparkline>
              <xm:f>Analysis!E133:IQ133</xm:f>
              <xm:sqref>L47</xm:sqref>
            </x14:sparkline>
            <x14:sparkline>
              <xm:f>Analysis!E134:IQ134</xm:f>
              <xm:sqref>L48</xm:sqref>
            </x14:sparkline>
            <x14:sparkline>
              <xm:f>Analysis!E135:IQ135</xm:f>
              <xm:sqref>L49</xm:sqref>
            </x14:sparkline>
            <x14:sparkline>
              <xm:f>Analysis!E136:IQ136</xm:f>
              <xm:sqref>L50</xm:sqref>
            </x14:sparkline>
            <x14:sparkline>
              <xm:f>Analysis!E137:IQ137</xm:f>
              <xm:sqref>L51</xm:sqref>
            </x14:sparkline>
            <x14:sparkline>
              <xm:f>Analysis!E138:IQ138</xm:f>
              <xm:sqref>L52</xm:sqref>
            </x14:sparkline>
            <x14:sparkline>
              <xm:f>Analysis!E139:IQ139</xm:f>
              <xm:sqref>L53</xm:sqref>
            </x14:sparkline>
            <x14:sparkline>
              <xm:f>Analysis!E140:IQ140</xm:f>
              <xm:sqref>L54</xm:sqref>
            </x14:sparkline>
            <x14:sparkline>
              <xm:f>Analysis!E141:IQ141</xm:f>
              <xm:sqref>L55</xm:sqref>
            </x14:sparkline>
            <x14:sparkline>
              <xm:f>Analysis!E142:IQ142</xm:f>
              <xm:sqref>L56</xm:sqref>
            </x14:sparkline>
            <x14:sparkline>
              <xm:f>Analysis!E143:IQ143</xm:f>
              <xm:sqref>L57</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124"/>
  <sheetViews>
    <sheetView showGridLines="0" zoomScaleNormal="100" workbookViewId="0"/>
  </sheetViews>
  <sheetFormatPr defaultRowHeight="14.5" x14ac:dyDescent="0.35"/>
  <cols>
    <col min="2" max="2" width="71.36328125" bestFit="1" customWidth="1"/>
    <col min="4" max="4" width="10.7265625" bestFit="1" customWidth="1"/>
    <col min="5" max="5" width="14.81640625" customWidth="1"/>
    <col min="6" max="6" width="11" customWidth="1"/>
    <col min="7" max="7" width="14.81640625" customWidth="1"/>
    <col min="8" max="9" width="12.1796875" bestFit="1" customWidth="1"/>
    <col min="10" max="11" width="14.26953125" bestFit="1" customWidth="1"/>
    <col min="12" max="12" width="12.90625" bestFit="1" customWidth="1"/>
    <col min="13" max="13" width="13.81640625" customWidth="1"/>
    <col min="14" max="14" width="12.54296875" bestFit="1" customWidth="1"/>
    <col min="15" max="15" width="11.1796875" bestFit="1" customWidth="1"/>
    <col min="16" max="16" width="12.453125" customWidth="1"/>
    <col min="17" max="17" width="31.36328125" customWidth="1"/>
    <col min="19" max="19" width="10.1796875" bestFit="1" customWidth="1"/>
  </cols>
  <sheetData>
    <row r="1" spans="1:19" s="15" customFormat="1" ht="52.5" customHeight="1" x14ac:dyDescent="0.35">
      <c r="A1" s="23"/>
      <c r="B1" s="16" t="s">
        <v>46</v>
      </c>
      <c r="D1" s="16"/>
      <c r="K1" s="65" t="e" vm="56">
        <v>#VALUE!</v>
      </c>
    </row>
    <row r="5" spans="1:19" x14ac:dyDescent="0.35">
      <c r="B5" t="s">
        <v>32</v>
      </c>
      <c r="G5">
        <f>COUNTA(_xlfn.UNIQUE(B7:B56))</f>
        <v>50</v>
      </c>
    </row>
    <row r="6" spans="1:19" x14ac:dyDescent="0.35">
      <c r="B6" t="s">
        <v>0</v>
      </c>
      <c r="C6" t="s">
        <v>1</v>
      </c>
      <c r="D6" t="s">
        <v>43</v>
      </c>
      <c r="E6" t="s">
        <v>23</v>
      </c>
      <c r="F6" t="s">
        <v>11</v>
      </c>
      <c r="G6" t="s">
        <v>2</v>
      </c>
      <c r="H6" t="s">
        <v>6</v>
      </c>
      <c r="I6" t="s">
        <v>3</v>
      </c>
      <c r="J6" t="s">
        <v>4</v>
      </c>
      <c r="K6" t="s">
        <v>5</v>
      </c>
      <c r="M6" s="34" t="s">
        <v>26</v>
      </c>
      <c r="N6" s="35"/>
      <c r="O6" s="31"/>
      <c r="P6" s="34" t="s">
        <v>28</v>
      </c>
      <c r="Q6" s="36"/>
      <c r="R6" s="36"/>
      <c r="S6" s="35"/>
    </row>
    <row r="7" spans="1:19" x14ac:dyDescent="0.35">
      <c r="B7" t="e" vm="1">
        <v>#VALUE!</v>
      </c>
      <c r="C7">
        <v>100</v>
      </c>
      <c r="D7" s="1">
        <v>100</v>
      </c>
      <c r="E7" t="str">
        <f>_FV(Stock_Purchase[[#This Row],[Instrument]],"Ticker symbol",TRUE)</f>
        <v>ABCAPITAL</v>
      </c>
      <c r="F7" s="8">
        <f>(Stock_Purchase[[#This Row],[Cur. val]]-Stock_Purchase[[#This Row],[Total Invt]])/Stock_Purchase[[#This Row],[Total Invt]]</f>
        <v>1.4065000000000001</v>
      </c>
      <c r="G7" s="1" cm="1">
        <f t="array" ref="G7">_FV(Stock_Purchase[[#This Row],[Instrument]],"Price")</f>
        <v>240.65</v>
      </c>
      <c r="H7" s="1">
        <f>Stock_Purchase[[#This Row],[Qty.]]*Stock_Purchase[[#This Row],[Buy Value]]</f>
        <v>10000</v>
      </c>
      <c r="I7" s="1">
        <f>Stock_Purchase[[#This Row],[LTP]]*Stock_Purchase[[#This Row],[Qty.]]</f>
        <v>24065</v>
      </c>
      <c r="J7" s="1">
        <f>Stock_Purchase[[#This Row],[Cur. val]]-Stock_Purchase[[#This Row],[Total Invt]]</f>
        <v>14065</v>
      </c>
      <c r="K7" t="str" cm="1">
        <f t="array" ref="K7">_xlfn.IFS(_FV(Stock_Purchase[[#This Row],[Instrument]],"Market cap",TRUE) &gt;= 20000000000, "Largecap",_FV( Stock_Purchase[[#This Row],[Instrument]],"Market cap",TRUE) &gt;= 5000000000, "Midcap",_FV( Stock_Purchase[[#This Row],[Instrument]],"Market cap",TRUE) &lt; 5000000000, "Smallcap")</f>
        <v>Largecap</v>
      </c>
      <c r="M7" s="33"/>
      <c r="N7" s="33"/>
      <c r="O7" s="32"/>
      <c r="P7" s="33"/>
      <c r="Q7" s="33"/>
      <c r="R7" s="33"/>
      <c r="S7" s="33"/>
    </row>
    <row r="8" spans="1:19" x14ac:dyDescent="0.35">
      <c r="B8" t="e" vm="2">
        <v>#VALUE!</v>
      </c>
      <c r="C8">
        <v>100</v>
      </c>
      <c r="D8" s="1">
        <v>1000</v>
      </c>
      <c r="E8" t="str">
        <f>_FV(Stock_Purchase[[#This Row],[Instrument]],"Ticker symbol",TRUE)</f>
        <v>AFFLE</v>
      </c>
      <c r="F8" s="8">
        <f>(Stock_Purchase[[#This Row],[Cur. val]]-Stock_Purchase[[#This Row],[Total Invt]])/Stock_Purchase[[#This Row],[Total Invt]]</f>
        <v>0.10575</v>
      </c>
      <c r="G8" s="1" cm="1">
        <f t="array" ref="G8">_FV(Stock_Purchase[[#This Row],[Instrument]],"Price")</f>
        <v>1105.75</v>
      </c>
      <c r="H8" s="1">
        <f>Stock_Purchase[[#This Row],[Qty.]]*Stock_Purchase[[#This Row],[Buy Value]]</f>
        <v>100000</v>
      </c>
      <c r="I8" s="1">
        <f>Stock_Purchase[[#This Row],[LTP]]*Stock_Purchase[[#This Row],[Qty.]]</f>
        <v>110575</v>
      </c>
      <c r="J8" s="1">
        <f>Stock_Purchase[[#This Row],[Cur. val]]-Stock_Purchase[[#This Row],[Total Invt]]</f>
        <v>10575</v>
      </c>
      <c r="K8" t="str" cm="1">
        <f t="array" ref="K8">_xlfn.IFS(_FV(Stock_Purchase[[#This Row],[Instrument]],"Market cap",TRUE) &gt;= 20000000000, "Largecap",_FV( Stock_Purchase[[#This Row],[Instrument]],"Market cap",TRUE) &gt;= 5000000000, "Midcap",_FV( Stock_Purchase[[#This Row],[Instrument]],"Market cap",TRUE) &lt; 5000000000, "Smallcap")</f>
        <v>Largecap</v>
      </c>
      <c r="M8" s="5" t="s">
        <v>23</v>
      </c>
      <c r="N8" s="27" t="e" vm="36">
        <f>IF(ISBLANK('Portfolio Tracker '!$C$76),"No Value",'Portfolio Tracker '!$C$76)</f>
        <v>#VALUE!</v>
      </c>
      <c r="P8" s="5" t="s">
        <v>29</v>
      </c>
      <c r="Q8" s="28" t="e" vm="22">
        <f>'Portfolio Tracker '!$C$95</f>
        <v>#VALUE!</v>
      </c>
      <c r="R8" s="29"/>
      <c r="S8" s="30"/>
    </row>
    <row r="9" spans="1:19" x14ac:dyDescent="0.35">
      <c r="B9" t="e" vm="3">
        <v>#VALUE!</v>
      </c>
      <c r="C9">
        <v>100</v>
      </c>
      <c r="D9" s="1">
        <v>2500</v>
      </c>
      <c r="E9" t="str">
        <f>_FV(Stock_Purchase[[#This Row],[Instrument]],"Ticker symbol",TRUE)</f>
        <v>ASIANPAINT</v>
      </c>
      <c r="F9" s="8">
        <f>(Stock_Purchase[[#This Row],[Cur. val]]-Stock_Purchase[[#This Row],[Total Invt]])/Stock_Purchase[[#This Row],[Total Invt]]</f>
        <v>0.14727999999999999</v>
      </c>
      <c r="G9" s="1" cm="1">
        <f t="array" ref="G9">_FV(Stock_Purchase[[#This Row],[Instrument]],"Price")</f>
        <v>2868.2</v>
      </c>
      <c r="H9" s="1">
        <f>Stock_Purchase[[#This Row],[Qty.]]*Stock_Purchase[[#This Row],[Buy Value]]</f>
        <v>250000</v>
      </c>
      <c r="I9" s="1">
        <f>Stock_Purchase[[#This Row],[LTP]]*Stock_Purchase[[#This Row],[Qty.]]</f>
        <v>286820</v>
      </c>
      <c r="J9" s="1">
        <f>Stock_Purchase[[#This Row],[Cur. val]]-Stock_Purchase[[#This Row],[Total Invt]]</f>
        <v>36820</v>
      </c>
      <c r="K9" t="str" cm="1">
        <f t="array" ref="K9">_xlfn.IFS(_FV(Stock_Purchase[[#This Row],[Instrument]],"Market cap",TRUE) &gt;= 20000000000, "Largecap",_FV( Stock_Purchase[[#This Row],[Instrument]],"Market cap",TRUE) &gt;= 5000000000, "Midcap",_FV( Stock_Purchase[[#This Row],[Instrument]],"Market cap",TRUE) &lt; 5000000000, "Smallcap")</f>
        <v>Largecap</v>
      </c>
      <c r="M9" s="5" t="s">
        <v>27</v>
      </c>
      <c r="N9" s="27">
        <f>IF(ISBLANK('Portfolio Tracker '!$E$76),"No Value",'Portfolio Tracker '!$E$76)</f>
        <v>3</v>
      </c>
      <c r="P9" s="5" t="s">
        <v>27</v>
      </c>
      <c r="Q9" s="28">
        <f>N9</f>
        <v>3</v>
      </c>
      <c r="R9" s="29"/>
      <c r="S9" s="30"/>
    </row>
    <row r="10" spans="1:19" x14ac:dyDescent="0.35">
      <c r="B10" t="e" vm="4">
        <v>#VALUE!</v>
      </c>
      <c r="C10">
        <v>24</v>
      </c>
      <c r="D10" s="1">
        <v>2300</v>
      </c>
      <c r="E10" t="str">
        <f>_FV(Stock_Purchase[[#This Row],[Instrument]],"Ticker symbol",TRUE)</f>
        <v>CAMS</v>
      </c>
      <c r="F10" s="8">
        <f>(Stock_Purchase[[#This Row],[Cur. val]]-Stock_Purchase[[#This Row],[Total Invt]])/Stock_Purchase[[#This Row],[Total Invt]]</f>
        <v>0.43115217391304356</v>
      </c>
      <c r="G10" s="1" cm="1">
        <f t="array" ref="G10">_FV(Stock_Purchase[[#This Row],[Instrument]],"Price")</f>
        <v>3291.65</v>
      </c>
      <c r="H10" s="1">
        <f>Stock_Purchase[[#This Row],[Qty.]]*Stock_Purchase[[#This Row],[Buy Value]]</f>
        <v>55200</v>
      </c>
      <c r="I10" s="1">
        <f>Stock_Purchase[[#This Row],[LTP]]*Stock_Purchase[[#This Row],[Qty.]]</f>
        <v>78999.600000000006</v>
      </c>
      <c r="J10" s="1">
        <f>Stock_Purchase[[#This Row],[Cur. val]]-Stock_Purchase[[#This Row],[Total Invt]]</f>
        <v>23799.600000000006</v>
      </c>
      <c r="K10" t="str" cm="1">
        <f t="array" ref="K10">_xlfn.IFS(_FV(Stock_Purchase[[#This Row],[Instrument]],"Market cap",TRUE) &gt;= 20000000000, "Largecap",_FV( Stock_Purchase[[#This Row],[Instrument]],"Market cap",TRUE) &gt;= 5000000000, "Midcap",_FV( Stock_Purchase[[#This Row],[Instrument]],"Market cap",TRUE) &lt; 5000000000, "Smallcap")</f>
        <v>Largecap</v>
      </c>
    </row>
    <row r="11" spans="1:19" x14ac:dyDescent="0.35">
      <c r="B11" t="e" vm="5">
        <v>#VALUE!</v>
      </c>
      <c r="C11">
        <v>100</v>
      </c>
      <c r="D11" s="1">
        <v>1000</v>
      </c>
      <c r="E11" t="str">
        <f>_FV(Stock_Purchase[[#This Row],[Instrument]],"Ticker symbol",TRUE)</f>
        <v>CDSL</v>
      </c>
      <c r="F11" s="8">
        <f>(Stock_Purchase[[#This Row],[Cur. val]]-Stock_Purchase[[#This Row],[Total Invt]])/Stock_Purchase[[#This Row],[Total Invt]]</f>
        <v>1.10975</v>
      </c>
      <c r="G11" s="1" cm="1">
        <f t="array" ref="G11">_FV(Stock_Purchase[[#This Row],[Instrument]],"Price")</f>
        <v>2109.75</v>
      </c>
      <c r="H11" s="1">
        <f>Stock_Purchase[[#This Row],[Qty.]]*Stock_Purchase[[#This Row],[Buy Value]]</f>
        <v>100000</v>
      </c>
      <c r="I11" s="1">
        <f>Stock_Purchase[[#This Row],[LTP]]*Stock_Purchase[[#This Row],[Qty.]]</f>
        <v>210975</v>
      </c>
      <c r="J11" s="1">
        <f>Stock_Purchase[[#This Row],[Cur. val]]-Stock_Purchase[[#This Row],[Total Invt]]</f>
        <v>110975</v>
      </c>
      <c r="K11" t="str" cm="1">
        <f t="array" ref="K11">_xlfn.IFS(_FV(Stock_Purchase[[#This Row],[Instrument]],"Market cap",TRUE) &gt;= 20000000000, "Largecap",_FV( Stock_Purchase[[#This Row],[Instrument]],"Market cap",TRUE) &gt;= 5000000000, "Midcap",_FV( Stock_Purchase[[#This Row],[Instrument]],"Market cap",TRUE) &lt; 5000000000, "Smallcap")</f>
        <v>Largecap</v>
      </c>
      <c r="M11" t="str" cm="1">
        <f t="array" aca="1" ref="M11:N73" ca="1">_xlfn.STOCKHISTORY(N8,EDATE(TODAY(),-N9),TODAY())</f>
        <v>Date</v>
      </c>
      <c r="N11" t="str">
        <f ca="1"/>
        <v>Close</v>
      </c>
      <c r="P11" t="str" cm="1">
        <f t="array" aca="1" ref="P11:Q73" ca="1">_xlfn.STOCKHISTORY(Q8,EDATE(TODAY(),-Q9),TODAY())</f>
        <v>Date</v>
      </c>
      <c r="Q11" t="str">
        <f ca="1"/>
        <v>Close</v>
      </c>
    </row>
    <row r="12" spans="1:19" x14ac:dyDescent="0.35">
      <c r="B12" t="e" vm="6">
        <v>#VALUE!</v>
      </c>
      <c r="C12">
        <v>80</v>
      </c>
      <c r="D12" s="1">
        <v>900</v>
      </c>
      <c r="E12" t="str">
        <f>_FV(Stock_Purchase[[#This Row],[Instrument]],"Ticker symbol",TRUE)</f>
        <v>CLEAN</v>
      </c>
      <c r="F12" s="8">
        <f>(Stock_Purchase[[#This Row],[Cur. val]]-Stock_Purchase[[#This Row],[Total Invt]])/Stock_Purchase[[#This Row],[Total Invt]]</f>
        <v>0.47016666666666668</v>
      </c>
      <c r="G12" s="1" cm="1">
        <f t="array" ref="G12">_FV(Stock_Purchase[[#This Row],[Instrument]],"Price")</f>
        <v>1323.15</v>
      </c>
      <c r="H12" s="1">
        <f>Stock_Purchase[[#This Row],[Qty.]]*Stock_Purchase[[#This Row],[Buy Value]]</f>
        <v>72000</v>
      </c>
      <c r="I12" s="1">
        <f>Stock_Purchase[[#This Row],[LTP]]*Stock_Purchase[[#This Row],[Qty.]]</f>
        <v>105852</v>
      </c>
      <c r="J12" s="1">
        <f>Stock_Purchase[[#This Row],[Cur. val]]-Stock_Purchase[[#This Row],[Total Invt]]</f>
        <v>33852</v>
      </c>
      <c r="K12" t="str" cm="1">
        <f t="array" ref="K12">_xlfn.IFS(_FV(Stock_Purchase[[#This Row],[Instrument]],"Market cap",TRUE) &gt;= 20000000000, "Largecap",_FV( Stock_Purchase[[#This Row],[Instrument]],"Market cap",TRUE) &gt;= 5000000000, "Midcap",_FV( Stock_Purchase[[#This Row],[Instrument]],"Market cap",TRUE) &lt; 5000000000, "Smallcap")</f>
        <v>Largecap</v>
      </c>
      <c r="M12" vm="57">
        <f ca="1"/>
        <v>45320</v>
      </c>
      <c r="N12" vm="58">
        <f ca="1"/>
        <v>2896.1</v>
      </c>
      <c r="P12" vm="57">
        <f ca="1"/>
        <v>45320</v>
      </c>
      <c r="Q12" vm="59">
        <f ca="1"/>
        <v>981.8</v>
      </c>
    </row>
    <row r="13" spans="1:19" x14ac:dyDescent="0.35">
      <c r="B13" t="e" vm="7">
        <v>#VALUE!</v>
      </c>
      <c r="C13">
        <v>140</v>
      </c>
      <c r="D13" s="1">
        <v>400</v>
      </c>
      <c r="E13" t="str">
        <f>_FV(Stock_Purchase[[#This Row],[Instrument]],"Ticker symbol",TRUE)</f>
        <v>DABUR</v>
      </c>
      <c r="F13" s="8">
        <f>(Stock_Purchase[[#This Row],[Cur. val]]-Stock_Purchase[[#This Row],[Total Invt]])/Stock_Purchase[[#This Row],[Total Invt]]</f>
        <v>0.26674999999999999</v>
      </c>
      <c r="G13" s="1" cm="1">
        <f t="array" ref="G13">_FV(Stock_Purchase[[#This Row],[Instrument]],"Price")</f>
        <v>506.7</v>
      </c>
      <c r="H13" s="1">
        <f>Stock_Purchase[[#This Row],[Qty.]]*Stock_Purchase[[#This Row],[Buy Value]]</f>
        <v>56000</v>
      </c>
      <c r="I13" s="1">
        <f>Stock_Purchase[[#This Row],[LTP]]*Stock_Purchase[[#This Row],[Qty.]]</f>
        <v>70938</v>
      </c>
      <c r="J13" s="1">
        <f>Stock_Purchase[[#This Row],[Cur. val]]-Stock_Purchase[[#This Row],[Total Invt]]</f>
        <v>14938</v>
      </c>
      <c r="K13" t="str" cm="1">
        <f t="array" ref="K13">_xlfn.IFS(_FV(Stock_Purchase[[#This Row],[Instrument]],"Market cap",TRUE) &gt;= 20000000000, "Largecap",_FV( Stock_Purchase[[#This Row],[Instrument]],"Market cap",TRUE) &gt;= 5000000000, "Midcap",_FV( Stock_Purchase[[#This Row],[Instrument]],"Market cap",TRUE) &lt; 5000000000, "Smallcap")</f>
        <v>Largecap</v>
      </c>
      <c r="M13" vm="60">
        <f ca="1"/>
        <v>45321</v>
      </c>
      <c r="N13" vm="61">
        <f ca="1"/>
        <v>2815.25</v>
      </c>
      <c r="P13" vm="60">
        <f ca="1"/>
        <v>45321</v>
      </c>
      <c r="Q13" vm="62">
        <f ca="1"/>
        <v>964.05</v>
      </c>
    </row>
    <row r="14" spans="1:19" x14ac:dyDescent="0.35">
      <c r="B14" t="e" vm="8">
        <v>#VALUE!</v>
      </c>
      <c r="C14">
        <v>30</v>
      </c>
      <c r="D14" s="1">
        <v>1500</v>
      </c>
      <c r="E14" t="str">
        <f>_FV(Stock_Purchase[[#This Row],[Instrument]],"Ticker symbol",TRUE)</f>
        <v>DEEPAKNTR</v>
      </c>
      <c r="F14" s="8">
        <f>(Stock_Purchase[[#This Row],[Cur. val]]-Stock_Purchase[[#This Row],[Total Invt]])/Stock_Purchase[[#This Row],[Total Invt]]</f>
        <v>0.62923333333333331</v>
      </c>
      <c r="G14" s="1" cm="1">
        <f t="array" ref="G14">_FV(Stock_Purchase[[#This Row],[Instrument]],"Price")</f>
        <v>2443.85</v>
      </c>
      <c r="H14" s="1">
        <f>Stock_Purchase[[#This Row],[Qty.]]*Stock_Purchase[[#This Row],[Buy Value]]</f>
        <v>45000</v>
      </c>
      <c r="I14" s="1">
        <f>Stock_Purchase[[#This Row],[LTP]]*Stock_Purchase[[#This Row],[Qty.]]</f>
        <v>73315.5</v>
      </c>
      <c r="J14" s="1">
        <f>Stock_Purchase[[#This Row],[Cur. val]]-Stock_Purchase[[#This Row],[Total Invt]]</f>
        <v>28315.5</v>
      </c>
      <c r="K14" t="str" cm="1">
        <f t="array" ref="K14">_xlfn.IFS(_FV(Stock_Purchase[[#This Row],[Instrument]],"Market cap",TRUE) &gt;= 20000000000, "Largecap",_FV( Stock_Purchase[[#This Row],[Instrument]],"Market cap",TRUE) &gt;= 5000000000, "Midcap",_FV( Stock_Purchase[[#This Row],[Instrument]],"Market cap",TRUE) &lt; 5000000000, "Smallcap")</f>
        <v>Largecap</v>
      </c>
      <c r="M14" vm="63">
        <f ca="1"/>
        <v>45322</v>
      </c>
      <c r="N14" vm="64">
        <f ca="1"/>
        <v>2853.25</v>
      </c>
      <c r="P14" vm="63">
        <f ca="1"/>
        <v>45322</v>
      </c>
      <c r="Q14" vm="65">
        <f ca="1"/>
        <v>977.2</v>
      </c>
    </row>
    <row r="15" spans="1:19" x14ac:dyDescent="0.35">
      <c r="B15" t="e" vm="9">
        <v>#VALUE!</v>
      </c>
      <c r="C15">
        <v>60</v>
      </c>
      <c r="D15" s="1">
        <v>3500</v>
      </c>
      <c r="E15" t="str">
        <f>_FV(Stock_Purchase[[#This Row],[Instrument]],"Ticker symbol",TRUE)</f>
        <v>DIXON</v>
      </c>
      <c r="F15" s="8">
        <f>(Stock_Purchase[[#This Row],[Cur. val]]-Stock_Purchase[[#This Row],[Total Invt]])/Stock_Purchase[[#This Row],[Total Invt]]</f>
        <v>1.4201571428571427</v>
      </c>
      <c r="G15" s="1" cm="1">
        <f t="array" ref="G15">_FV(Stock_Purchase[[#This Row],[Instrument]],"Price")</f>
        <v>8470.5499999999993</v>
      </c>
      <c r="H15" s="1">
        <f>Stock_Purchase[[#This Row],[Qty.]]*Stock_Purchase[[#This Row],[Buy Value]]</f>
        <v>210000</v>
      </c>
      <c r="I15" s="1">
        <f>Stock_Purchase[[#This Row],[LTP]]*Stock_Purchase[[#This Row],[Qty.]]</f>
        <v>508232.99999999994</v>
      </c>
      <c r="J15" s="1">
        <f>Stock_Purchase[[#This Row],[Cur. val]]-Stock_Purchase[[#This Row],[Total Invt]]</f>
        <v>298232.99999999994</v>
      </c>
      <c r="K15" t="str" cm="1">
        <f t="array" ref="K15">_xlfn.IFS(_FV(Stock_Purchase[[#This Row],[Instrument]],"Market cap",TRUE) &gt;= 20000000000, "Largecap",_FV( Stock_Purchase[[#This Row],[Instrument]],"Market cap",TRUE) &gt;= 5000000000, "Midcap",_FV( Stock_Purchase[[#This Row],[Instrument]],"Market cap",TRUE) &lt; 5000000000, "Smallcap")</f>
        <v>Largecap</v>
      </c>
      <c r="M15" vm="66">
        <f ca="1"/>
        <v>45323</v>
      </c>
      <c r="N15" vm="67">
        <f ca="1"/>
        <v>2853.3</v>
      </c>
      <c r="P15" vm="66">
        <f ca="1"/>
        <v>45323</v>
      </c>
      <c r="Q15" vm="68">
        <f ca="1"/>
        <v>963.3</v>
      </c>
    </row>
    <row r="16" spans="1:19" x14ac:dyDescent="0.35">
      <c r="B16" t="e" vm="10">
        <v>#VALUE!</v>
      </c>
      <c r="C16">
        <v>70</v>
      </c>
      <c r="D16" s="1">
        <v>3200</v>
      </c>
      <c r="E16" t="str">
        <f>_FV(Stock_Purchase[[#This Row],[Instrument]],"Ticker symbol",TRUE)</f>
        <v>DMART</v>
      </c>
      <c r="F16" s="8">
        <f>(Stock_Purchase[[#This Row],[Cur. val]]-Stock_Purchase[[#This Row],[Total Invt]])/Stock_Purchase[[#This Row],[Total Invt]]</f>
        <v>0.40118749999999997</v>
      </c>
      <c r="G16" s="1" cm="1">
        <f t="array" ref="G16">_FV(Stock_Purchase[[#This Row],[Instrument]],"Price")</f>
        <v>4483.8</v>
      </c>
      <c r="H16" s="1">
        <f>Stock_Purchase[[#This Row],[Qty.]]*Stock_Purchase[[#This Row],[Buy Value]]</f>
        <v>224000</v>
      </c>
      <c r="I16" s="1">
        <f>Stock_Purchase[[#This Row],[LTP]]*Stock_Purchase[[#This Row],[Qty.]]</f>
        <v>313866</v>
      </c>
      <c r="J16" s="1">
        <f>Stock_Purchase[[#This Row],[Cur. val]]-Stock_Purchase[[#This Row],[Total Invt]]</f>
        <v>89866</v>
      </c>
      <c r="K16" t="str" cm="1">
        <f t="array" ref="K16">_xlfn.IFS(_FV(Stock_Purchase[[#This Row],[Instrument]],"Market cap",TRUE) &gt;= 20000000000, "Largecap",_FV( Stock_Purchase[[#This Row],[Instrument]],"Market cap",TRUE) &gt;= 5000000000, "Midcap",_FV( Stock_Purchase[[#This Row],[Instrument]],"Market cap",TRUE) &lt; 5000000000, "Smallcap")</f>
        <v>Largecap</v>
      </c>
      <c r="M16" vm="69">
        <f ca="1"/>
        <v>45324</v>
      </c>
      <c r="N16" vm="70">
        <f ca="1"/>
        <v>2915.4</v>
      </c>
      <c r="P16" vm="69">
        <f ca="1"/>
        <v>45324</v>
      </c>
      <c r="Q16" vm="71">
        <f ca="1"/>
        <v>967.5</v>
      </c>
    </row>
    <row r="17" spans="2:17" x14ac:dyDescent="0.35">
      <c r="B17" t="e" vm="11">
        <v>#VALUE!</v>
      </c>
      <c r="C17">
        <v>100</v>
      </c>
      <c r="D17" s="1">
        <v>700</v>
      </c>
      <c r="E17" t="str">
        <f>_FV(Stock_Purchase[[#This Row],[Instrument]],"Ticker symbol",TRUE)</f>
        <v>ELECON</v>
      </c>
      <c r="F17" s="8">
        <f>(Stock_Purchase[[#This Row],[Cur. val]]-Stock_Purchase[[#This Row],[Total Invt]])/Stock_Purchase[[#This Row],[Total Invt]]</f>
        <v>0.65535714285714286</v>
      </c>
      <c r="G17" s="1" cm="1">
        <f t="array" ref="G17">_FV(Stock_Purchase[[#This Row],[Instrument]],"Price")</f>
        <v>1158.75</v>
      </c>
      <c r="H17" s="1">
        <f>Stock_Purchase[[#This Row],[Qty.]]*Stock_Purchase[[#This Row],[Buy Value]]</f>
        <v>70000</v>
      </c>
      <c r="I17" s="1">
        <f>Stock_Purchase[[#This Row],[LTP]]*Stock_Purchase[[#This Row],[Qty.]]</f>
        <v>115875</v>
      </c>
      <c r="J17" s="1">
        <f>Stock_Purchase[[#This Row],[Cur. val]]-Stock_Purchase[[#This Row],[Total Invt]]</f>
        <v>45875</v>
      </c>
      <c r="K17" t="str" cm="1">
        <f t="array" ref="K17">_xlfn.IFS(_FV(Stock_Purchase[[#This Row],[Instrument]],"Market cap",TRUE) &gt;= 20000000000, "Largecap",_FV( Stock_Purchase[[#This Row],[Instrument]],"Market cap",TRUE) &gt;= 5000000000, "Midcap",_FV( Stock_Purchase[[#This Row],[Instrument]],"Market cap",TRUE) &lt; 5000000000, "Smallcap")</f>
        <v>Largecap</v>
      </c>
      <c r="M17" vm="72">
        <f ca="1"/>
        <v>45327</v>
      </c>
      <c r="N17" vm="73">
        <f ca="1"/>
        <v>2878.05</v>
      </c>
      <c r="P17" vm="72">
        <f ca="1"/>
        <v>45327</v>
      </c>
      <c r="Q17" vm="74">
        <f ca="1"/>
        <v>946.65</v>
      </c>
    </row>
    <row r="18" spans="2:17" x14ac:dyDescent="0.35">
      <c r="B18" t="e" vm="12">
        <v>#VALUE!</v>
      </c>
      <c r="C18">
        <v>80</v>
      </c>
      <c r="D18" s="1">
        <v>800</v>
      </c>
      <c r="E18" t="str">
        <f>_FV(Stock_Purchase[[#This Row],[Instrument]],"Ticker symbol",TRUE)</f>
        <v>GENSOL</v>
      </c>
      <c r="F18" s="8">
        <f>(Stock_Purchase[[#This Row],[Cur. val]]-Stock_Purchase[[#This Row],[Total Invt]])/Stock_Purchase[[#This Row],[Total Invt]]</f>
        <v>0.15125</v>
      </c>
      <c r="G18" s="1" cm="1">
        <f t="array" ref="G18">_FV(Stock_Purchase[[#This Row],[Instrument]],"Price")</f>
        <v>921</v>
      </c>
      <c r="H18" s="1">
        <f>Stock_Purchase[[#This Row],[Qty.]]*Stock_Purchase[[#This Row],[Buy Value]]</f>
        <v>64000</v>
      </c>
      <c r="I18" s="1">
        <f>Stock_Purchase[[#This Row],[LTP]]*Stock_Purchase[[#This Row],[Qty.]]</f>
        <v>73680</v>
      </c>
      <c r="J18" s="1">
        <f>Stock_Purchase[[#This Row],[Cur. val]]-Stock_Purchase[[#This Row],[Total Invt]]</f>
        <v>9680</v>
      </c>
      <c r="K18" t="str" cm="1">
        <f t="array" ref="K18">_xlfn.IFS(_FV(Stock_Purchase[[#This Row],[Instrument]],"Market cap",TRUE) &gt;= 20000000000, "Largecap",_FV( Stock_Purchase[[#This Row],[Instrument]],"Market cap",TRUE) &gt;= 5000000000, "Midcap",_FV( Stock_Purchase[[#This Row],[Instrument]],"Market cap",TRUE) &lt; 5000000000, "Smallcap")</f>
        <v>Largecap</v>
      </c>
      <c r="M18" vm="75">
        <f ca="1"/>
        <v>45328</v>
      </c>
      <c r="N18" vm="76">
        <f ca="1"/>
        <v>2855.6</v>
      </c>
      <c r="P18" vm="75">
        <f ca="1"/>
        <v>45328</v>
      </c>
      <c r="Q18" vm="77">
        <f ca="1"/>
        <v>965.25</v>
      </c>
    </row>
    <row r="19" spans="2:17" x14ac:dyDescent="0.35">
      <c r="B19" t="e" vm="13">
        <v>#VALUE!</v>
      </c>
      <c r="C19">
        <v>60</v>
      </c>
      <c r="D19" s="1">
        <v>800</v>
      </c>
      <c r="E19" t="str">
        <f>_FV(Stock_Purchase[[#This Row],[Instrument]],"Ticker symbol",TRUE)</f>
        <v>HAPPSTMNDS</v>
      </c>
      <c r="F19" s="8">
        <f>(Stock_Purchase[[#This Row],[Cur. val]]-Stock_Purchase[[#This Row],[Total Invt]])/Stock_Purchase[[#This Row],[Total Invt]]</f>
        <v>1.7874999999999999E-2</v>
      </c>
      <c r="G19" s="1" cm="1">
        <f t="array" ref="G19">_FV(Stock_Purchase[[#This Row],[Instrument]],"Price")</f>
        <v>814.3</v>
      </c>
      <c r="H19" s="1">
        <f>Stock_Purchase[[#This Row],[Qty.]]*Stock_Purchase[[#This Row],[Buy Value]]</f>
        <v>48000</v>
      </c>
      <c r="I19" s="1">
        <f>Stock_Purchase[[#This Row],[LTP]]*Stock_Purchase[[#This Row],[Qty.]]</f>
        <v>48858</v>
      </c>
      <c r="J19" s="1">
        <f>Stock_Purchase[[#This Row],[Cur. val]]-Stock_Purchase[[#This Row],[Total Invt]]</f>
        <v>858</v>
      </c>
      <c r="K19" t="str" cm="1">
        <f t="array" ref="K19">_xlfn.IFS(_FV(Stock_Purchase[[#This Row],[Instrument]],"Market cap",TRUE) &gt;= 20000000000, "Largecap",_FV( Stock_Purchase[[#This Row],[Instrument]],"Market cap",TRUE) &gt;= 5000000000, "Midcap",_FV( Stock_Purchase[[#This Row],[Instrument]],"Market cap",TRUE) &lt; 5000000000, "Smallcap")</f>
        <v>Largecap</v>
      </c>
      <c r="M19" vm="78">
        <f ca="1"/>
        <v>45329</v>
      </c>
      <c r="N19" vm="79">
        <f ca="1"/>
        <v>2884.3</v>
      </c>
      <c r="P19" vm="78">
        <f ca="1"/>
        <v>45329</v>
      </c>
      <c r="Q19" vm="80">
        <f ca="1"/>
        <v>954.75</v>
      </c>
    </row>
    <row r="20" spans="2:17" x14ac:dyDescent="0.35">
      <c r="B20" t="e" vm="14">
        <v>#VALUE!</v>
      </c>
      <c r="C20">
        <v>380</v>
      </c>
      <c r="D20" s="1">
        <v>100</v>
      </c>
      <c r="E20" t="str">
        <f>_FV(Stock_Purchase[[#This Row],[Instrument]],"Ticker symbol",TRUE)</f>
        <v>HBLPOWER</v>
      </c>
      <c r="F20" s="8">
        <f>(Stock_Purchase[[#This Row],[Cur. val]]-Stock_Purchase[[#This Row],[Total Invt]])/Stock_Purchase[[#This Row],[Total Invt]]</f>
        <v>4.1055000000000001</v>
      </c>
      <c r="G20" s="1" cm="1">
        <f t="array" ref="G20">_FV(Stock_Purchase[[#This Row],[Instrument]],"Price")</f>
        <v>510.55</v>
      </c>
      <c r="H20" s="1">
        <f>Stock_Purchase[[#This Row],[Qty.]]*Stock_Purchase[[#This Row],[Buy Value]]</f>
        <v>38000</v>
      </c>
      <c r="I20" s="1">
        <f>Stock_Purchase[[#This Row],[LTP]]*Stock_Purchase[[#This Row],[Qty.]]</f>
        <v>194009</v>
      </c>
      <c r="J20" s="1">
        <f>Stock_Purchase[[#This Row],[Cur. val]]-Stock_Purchase[[#This Row],[Total Invt]]</f>
        <v>156009</v>
      </c>
      <c r="K20" t="str" cm="1">
        <f t="array" ref="K20">_xlfn.IFS(_FV(Stock_Purchase[[#This Row],[Instrument]],"Market cap",TRUE) &gt;= 20000000000, "Largecap",_FV( Stock_Purchase[[#This Row],[Instrument]],"Market cap",TRUE) &gt;= 5000000000, "Midcap",_FV( Stock_Purchase[[#This Row],[Instrument]],"Market cap",TRUE) &lt; 5000000000, "Smallcap")</f>
        <v>Largecap</v>
      </c>
      <c r="M20" vm="81">
        <f ca="1"/>
        <v>45330</v>
      </c>
      <c r="N20" vm="82">
        <f ca="1"/>
        <v>2900.25</v>
      </c>
      <c r="P20" vm="81">
        <f ca="1"/>
        <v>45330</v>
      </c>
      <c r="Q20" vm="83">
        <f ca="1"/>
        <v>944.35</v>
      </c>
    </row>
    <row r="21" spans="2:17" x14ac:dyDescent="0.35">
      <c r="B21" t="e" vm="15">
        <v>#VALUE!</v>
      </c>
      <c r="C21">
        <v>100</v>
      </c>
      <c r="D21" s="1">
        <v>800</v>
      </c>
      <c r="E21" t="str">
        <f>_FV(Stock_Purchase[[#This Row],[Instrument]],"Ticker symbol",TRUE)</f>
        <v>HCLTECH</v>
      </c>
      <c r="F21" s="8">
        <f>(Stock_Purchase[[#This Row],[Cur. val]]-Stock_Purchase[[#This Row],[Total Invt]])/Stock_Purchase[[#This Row],[Total Invt]]</f>
        <v>0.73424999999999996</v>
      </c>
      <c r="G21" s="1" cm="1">
        <f t="array" ref="G21">_FV(Stock_Purchase[[#This Row],[Instrument]],"Price")</f>
        <v>1387.4</v>
      </c>
      <c r="H21" s="1">
        <f>Stock_Purchase[[#This Row],[Qty.]]*Stock_Purchase[[#This Row],[Buy Value]]</f>
        <v>80000</v>
      </c>
      <c r="I21" s="1">
        <f>Stock_Purchase[[#This Row],[LTP]]*Stock_Purchase[[#This Row],[Qty.]]</f>
        <v>138740</v>
      </c>
      <c r="J21" s="1">
        <f>Stock_Purchase[[#This Row],[Cur. val]]-Stock_Purchase[[#This Row],[Total Invt]]</f>
        <v>58740</v>
      </c>
      <c r="K21" t="str" cm="1">
        <f t="array" ref="K21">_xlfn.IFS(_FV(Stock_Purchase[[#This Row],[Instrument]],"Market cap",TRUE) &gt;= 20000000000, "Largecap",_FV( Stock_Purchase[[#This Row],[Instrument]],"Market cap",TRUE) &gt;= 5000000000, "Midcap",_FV( Stock_Purchase[[#This Row],[Instrument]],"Market cap",TRUE) &lt; 5000000000, "Smallcap")</f>
        <v>Largecap</v>
      </c>
      <c r="M21" vm="84">
        <f ca="1"/>
        <v>45331</v>
      </c>
      <c r="N21" vm="85">
        <f ca="1"/>
        <v>2921.5</v>
      </c>
      <c r="P21" vm="84">
        <f ca="1"/>
        <v>45331</v>
      </c>
      <c r="Q21" vm="86">
        <f ca="1"/>
        <v>939.15</v>
      </c>
    </row>
    <row r="22" spans="2:17" x14ac:dyDescent="0.35">
      <c r="B22" t="e" vm="16">
        <v>#VALUE!</v>
      </c>
      <c r="C22">
        <v>100</v>
      </c>
      <c r="D22" s="1">
        <v>900</v>
      </c>
      <c r="E22" t="str">
        <f>_FV(Stock_Purchase[[#This Row],[Instrument]],"Ticker symbol",TRUE)</f>
        <v>HDFCBANK</v>
      </c>
      <c r="F22" s="8">
        <f>(Stock_Purchase[[#This Row],[Cur. val]]-Stock_Purchase[[#This Row],[Total Invt]])/Stock_Purchase[[#This Row],[Total Invt]]</f>
        <v>0.69944444444444442</v>
      </c>
      <c r="G22" s="1" cm="1">
        <f t="array" ref="G22">_FV(Stock_Purchase[[#This Row],[Instrument]],"Price")</f>
        <v>1529.5</v>
      </c>
      <c r="H22" s="1">
        <f>Stock_Purchase[[#This Row],[Qty.]]*Stock_Purchase[[#This Row],[Buy Value]]</f>
        <v>90000</v>
      </c>
      <c r="I22" s="1">
        <f>Stock_Purchase[[#This Row],[LTP]]*Stock_Purchase[[#This Row],[Qty.]]</f>
        <v>152950</v>
      </c>
      <c r="J22" s="1">
        <f>Stock_Purchase[[#This Row],[Cur. val]]-Stock_Purchase[[#This Row],[Total Invt]]</f>
        <v>62950</v>
      </c>
      <c r="K22" t="str" cm="1">
        <f t="array" ref="K22">_xlfn.IFS(_FV(Stock_Purchase[[#This Row],[Instrument]],"Market cap",TRUE) &gt;= 20000000000, "Largecap",_FV( Stock_Purchase[[#This Row],[Instrument]],"Market cap",TRUE) &gt;= 5000000000, "Midcap",_FV( Stock_Purchase[[#This Row],[Instrument]],"Market cap",TRUE) &lt; 5000000000, "Smallcap")</f>
        <v>Largecap</v>
      </c>
      <c r="M22" vm="87">
        <f ca="1"/>
        <v>45334</v>
      </c>
      <c r="N22" vm="88">
        <f ca="1"/>
        <v>2904.7</v>
      </c>
      <c r="P22" vm="87">
        <f ca="1"/>
        <v>45334</v>
      </c>
      <c r="Q22" vm="89">
        <f ca="1"/>
        <v>900.1</v>
      </c>
    </row>
    <row r="23" spans="2:17" x14ac:dyDescent="0.35">
      <c r="B23" t="e" vm="17">
        <v>#VALUE!</v>
      </c>
      <c r="C23">
        <v>250</v>
      </c>
      <c r="D23" s="1">
        <v>70</v>
      </c>
      <c r="E23" t="str">
        <f>_FV(Stock_Purchase[[#This Row],[Instrument]],"Ticker symbol",TRUE)</f>
        <v>HFCL</v>
      </c>
      <c r="F23" s="8">
        <f>(Stock_Purchase[[#This Row],[Cur. val]]-Stock_Purchase[[#This Row],[Total Invt]])/Stock_Purchase[[#This Row],[Total Invt]]</f>
        <v>0.3992857142857143</v>
      </c>
      <c r="G23" s="1" cm="1">
        <f t="array" ref="G23">_FV(Stock_Purchase[[#This Row],[Instrument]],"Price")</f>
        <v>97.95</v>
      </c>
      <c r="H23" s="1">
        <f>Stock_Purchase[[#This Row],[Qty.]]*Stock_Purchase[[#This Row],[Buy Value]]</f>
        <v>17500</v>
      </c>
      <c r="I23" s="1">
        <f>Stock_Purchase[[#This Row],[LTP]]*Stock_Purchase[[#This Row],[Qty.]]</f>
        <v>24487.5</v>
      </c>
      <c r="J23" s="1">
        <f>Stock_Purchase[[#This Row],[Cur. val]]-Stock_Purchase[[#This Row],[Total Invt]]</f>
        <v>6987.5</v>
      </c>
      <c r="K23" t="str" cm="1">
        <f t="array" ref="K23">_xlfn.IFS(_FV(Stock_Purchase[[#This Row],[Instrument]],"Market cap",TRUE) &gt;= 20000000000, "Largecap",_FV( Stock_Purchase[[#This Row],[Instrument]],"Market cap",TRUE) &gt;= 5000000000, "Midcap",_FV( Stock_Purchase[[#This Row],[Instrument]],"Market cap",TRUE) &lt; 5000000000, "Smallcap")</f>
        <v>Largecap</v>
      </c>
      <c r="M23" vm="90">
        <f ca="1"/>
        <v>45335</v>
      </c>
      <c r="N23" vm="91">
        <f ca="1"/>
        <v>2930.2</v>
      </c>
      <c r="P23" vm="90">
        <f ca="1"/>
        <v>45335</v>
      </c>
      <c r="Q23" vm="92">
        <f ca="1"/>
        <v>910.45</v>
      </c>
    </row>
    <row r="24" spans="2:17" x14ac:dyDescent="0.35">
      <c r="B24" t="e" vm="18">
        <v>#VALUE!</v>
      </c>
      <c r="C24">
        <v>230</v>
      </c>
      <c r="D24" s="1">
        <v>2000</v>
      </c>
      <c r="E24" t="str">
        <f>_FV(Stock_Purchase[[#This Row],[Instrument]],"Ticker symbol",TRUE)</f>
        <v>HINDUNILVR</v>
      </c>
      <c r="F24" s="8">
        <f>(Stock_Purchase[[#This Row],[Cur. val]]-Stock_Purchase[[#This Row],[Total Invt]])/Stock_Purchase[[#This Row],[Total Invt]]</f>
        <v>0.11305</v>
      </c>
      <c r="G24" s="1" cm="1">
        <f t="array" ref="G24">_FV(Stock_Purchase[[#This Row],[Instrument]],"Price")</f>
        <v>2226.1</v>
      </c>
      <c r="H24" s="1">
        <f>Stock_Purchase[[#This Row],[Qty.]]*Stock_Purchase[[#This Row],[Buy Value]]</f>
        <v>460000</v>
      </c>
      <c r="I24" s="1">
        <f>Stock_Purchase[[#This Row],[LTP]]*Stock_Purchase[[#This Row],[Qty.]]</f>
        <v>512003</v>
      </c>
      <c r="J24" s="1">
        <f>Stock_Purchase[[#This Row],[Cur. val]]-Stock_Purchase[[#This Row],[Total Invt]]</f>
        <v>52003</v>
      </c>
      <c r="K24" t="str" cm="1">
        <f t="array" ref="K24">_xlfn.IFS(_FV(Stock_Purchase[[#This Row],[Instrument]],"Market cap",TRUE) &gt;= 20000000000, "Largecap",_FV( Stock_Purchase[[#This Row],[Instrument]],"Market cap",TRUE) &gt;= 5000000000, "Midcap",_FV( Stock_Purchase[[#This Row],[Instrument]],"Market cap",TRUE) &lt; 5000000000, "Smallcap")</f>
        <v>Largecap</v>
      </c>
      <c r="M24" vm="93">
        <f ca="1"/>
        <v>45336</v>
      </c>
      <c r="N24" vm="94">
        <f ca="1"/>
        <v>2962.75</v>
      </c>
      <c r="P24" vm="93">
        <f ca="1"/>
        <v>45336</v>
      </c>
      <c r="Q24" vm="95">
        <f ca="1"/>
        <v>929.2</v>
      </c>
    </row>
    <row r="25" spans="2:17" x14ac:dyDescent="0.35">
      <c r="B25" t="e" vm="19">
        <v>#VALUE!</v>
      </c>
      <c r="C25">
        <v>320</v>
      </c>
      <c r="D25" s="1">
        <v>290</v>
      </c>
      <c r="E25" t="str">
        <f>_FV(Stock_Purchase[[#This Row],[Instrument]],"Ticker symbol",TRUE)</f>
        <v>HPL</v>
      </c>
      <c r="F25" s="8">
        <f>(Stock_Purchase[[#This Row],[Cur. val]]-Stock_Purchase[[#This Row],[Total Invt]])/Stock_Purchase[[#This Row],[Total Invt]]</f>
        <v>0.24241379310344827</v>
      </c>
      <c r="G25" s="1" cm="1">
        <f t="array" ref="G25">_FV(Stock_Purchase[[#This Row],[Instrument]],"Price")</f>
        <v>360.3</v>
      </c>
      <c r="H25" s="1">
        <f>Stock_Purchase[[#This Row],[Qty.]]*Stock_Purchase[[#This Row],[Buy Value]]</f>
        <v>92800</v>
      </c>
      <c r="I25" s="1">
        <f>Stock_Purchase[[#This Row],[LTP]]*Stock_Purchase[[#This Row],[Qty.]]</f>
        <v>115296</v>
      </c>
      <c r="J25" s="1">
        <f>Stock_Purchase[[#This Row],[Cur. val]]-Stock_Purchase[[#This Row],[Total Invt]]</f>
        <v>22496</v>
      </c>
      <c r="K25" t="str" cm="1">
        <f t="array" ref="K25">_xlfn.IFS(_FV(Stock_Purchase[[#This Row],[Instrument]],"Market cap",TRUE) &gt;= 20000000000, "Largecap",_FV( Stock_Purchase[[#This Row],[Instrument]],"Market cap",TRUE) &gt;= 5000000000, "Midcap",_FV( Stock_Purchase[[#This Row],[Instrument]],"Market cap",TRUE) &lt; 5000000000, "Smallcap")</f>
        <v>Largecap</v>
      </c>
      <c r="M25" vm="96">
        <f ca="1"/>
        <v>45337</v>
      </c>
      <c r="N25" vm="97">
        <f ca="1"/>
        <v>2941.2</v>
      </c>
      <c r="P25" vm="96">
        <f ca="1"/>
        <v>45337</v>
      </c>
      <c r="Q25" vm="98">
        <f ca="1"/>
        <v>951.5</v>
      </c>
    </row>
    <row r="26" spans="2:17" x14ac:dyDescent="0.35">
      <c r="B26" t="e" vm="20">
        <v>#VALUE!</v>
      </c>
      <c r="C26">
        <v>100</v>
      </c>
      <c r="D26" s="1">
        <v>80</v>
      </c>
      <c r="E26" t="str">
        <f>_FV(Stock_Purchase[[#This Row],[Instrument]],"Ticker symbol",TRUE)</f>
        <v>IDFC</v>
      </c>
      <c r="F26" s="8">
        <f>(Stock_Purchase[[#This Row],[Cur. val]]-Stock_Purchase[[#This Row],[Total Invt]])/Stock_Purchase[[#This Row],[Total Invt]]</f>
        <v>0.520625</v>
      </c>
      <c r="G26" s="1" cm="1">
        <f t="array" ref="G26">_FV(Stock_Purchase[[#This Row],[Instrument]],"Price")</f>
        <v>121.65</v>
      </c>
      <c r="H26" s="1">
        <f>Stock_Purchase[[#This Row],[Qty.]]*Stock_Purchase[[#This Row],[Buy Value]]</f>
        <v>8000</v>
      </c>
      <c r="I26" s="1">
        <f>Stock_Purchase[[#This Row],[LTP]]*Stock_Purchase[[#This Row],[Qty.]]</f>
        <v>12165</v>
      </c>
      <c r="J26" s="1">
        <f>Stock_Purchase[[#This Row],[Cur. val]]-Stock_Purchase[[#This Row],[Total Invt]]</f>
        <v>4165</v>
      </c>
      <c r="K26" t="str" cm="1">
        <f t="array" ref="K26">_xlfn.IFS(_FV(Stock_Purchase[[#This Row],[Instrument]],"Market cap",TRUE) &gt;= 20000000000, "Largecap",_FV( Stock_Purchase[[#This Row],[Instrument]],"Market cap",TRUE) &gt;= 5000000000, "Midcap",_FV( Stock_Purchase[[#This Row],[Instrument]],"Market cap",TRUE) &lt; 5000000000, "Smallcap")</f>
        <v>Largecap</v>
      </c>
      <c r="M26" vm="99">
        <f ca="1"/>
        <v>45338</v>
      </c>
      <c r="N26" vm="100">
        <f ca="1"/>
        <v>2921.15</v>
      </c>
      <c r="P26" vm="99">
        <f ca="1"/>
        <v>45338</v>
      </c>
      <c r="Q26" vm="101">
        <f ca="1"/>
        <v>940.65</v>
      </c>
    </row>
    <row r="27" spans="2:17" x14ac:dyDescent="0.35">
      <c r="B27" t="e" vm="21">
        <v>#VALUE!</v>
      </c>
      <c r="C27">
        <v>900</v>
      </c>
      <c r="D27" s="1">
        <v>40</v>
      </c>
      <c r="E27" t="str">
        <f>_FV(Stock_Purchase[[#This Row],[Instrument]],"Ticker symbol",TRUE)</f>
        <v>IDFCFIRSTB</v>
      </c>
      <c r="F27" s="8">
        <f>(Stock_Purchase[[#This Row],[Cur. val]]-Stock_Purchase[[#This Row],[Total Invt]])/Stock_Purchase[[#This Row],[Total Invt]]</f>
        <v>1.04125</v>
      </c>
      <c r="G27" s="1" cm="1">
        <f t="array" ref="G27">_FV(Stock_Purchase[[#This Row],[Instrument]],"Price")</f>
        <v>81.650000000000006</v>
      </c>
      <c r="H27" s="1">
        <f>Stock_Purchase[[#This Row],[Qty.]]*Stock_Purchase[[#This Row],[Buy Value]]</f>
        <v>36000</v>
      </c>
      <c r="I27" s="1">
        <f>Stock_Purchase[[#This Row],[LTP]]*Stock_Purchase[[#This Row],[Qty.]]</f>
        <v>73485</v>
      </c>
      <c r="J27" s="1">
        <f>Stock_Purchase[[#This Row],[Cur. val]]-Stock_Purchase[[#This Row],[Total Invt]]</f>
        <v>37485</v>
      </c>
      <c r="K27" t="str" cm="1">
        <f t="array" ref="K27">_xlfn.IFS(_FV(Stock_Purchase[[#This Row],[Instrument]],"Market cap",TRUE) &gt;= 20000000000, "Largecap",_FV( Stock_Purchase[[#This Row],[Instrument]],"Market cap",TRUE) &gt;= 5000000000, "Midcap",_FV( Stock_Purchase[[#This Row],[Instrument]],"Market cap",TRUE) &lt; 5000000000, "Smallcap")</f>
        <v>Largecap</v>
      </c>
      <c r="M27" vm="102">
        <f ca="1"/>
        <v>45341</v>
      </c>
      <c r="N27" vm="103">
        <f ca="1"/>
        <v>2948</v>
      </c>
      <c r="P27" vm="102">
        <f ca="1"/>
        <v>45341</v>
      </c>
      <c r="Q27" vm="104">
        <f ca="1"/>
        <v>946.95</v>
      </c>
    </row>
    <row r="28" spans="2:17" x14ac:dyDescent="0.35">
      <c r="B28" t="e" vm="22">
        <v>#VALUE!</v>
      </c>
      <c r="C28">
        <v>90</v>
      </c>
      <c r="D28" s="1">
        <v>600</v>
      </c>
      <c r="E28" t="str">
        <f>_FV(Stock_Purchase[[#This Row],[Instrument]],"Ticker symbol",TRUE)</f>
        <v>IRCTC</v>
      </c>
      <c r="F28" s="8">
        <f>(Stock_Purchase[[#This Row],[Cur. val]]-Stock_Purchase[[#This Row],[Total Invt]])/Stock_Purchase[[#This Row],[Total Invt]]</f>
        <v>0.74208333333333332</v>
      </c>
      <c r="G28" s="1" cm="1">
        <f t="array" ref="G28">_FV(Stock_Purchase[[#This Row],[Instrument]],"Price")</f>
        <v>1045.25</v>
      </c>
      <c r="H28" s="1">
        <f>Stock_Purchase[[#This Row],[Qty.]]*Stock_Purchase[[#This Row],[Buy Value]]</f>
        <v>54000</v>
      </c>
      <c r="I28" s="1">
        <f>Stock_Purchase[[#This Row],[LTP]]*Stock_Purchase[[#This Row],[Qty.]]</f>
        <v>94072.5</v>
      </c>
      <c r="J28" s="1">
        <f>Stock_Purchase[[#This Row],[Cur. val]]-Stock_Purchase[[#This Row],[Total Invt]]</f>
        <v>40072.5</v>
      </c>
      <c r="K28" t="str" cm="1">
        <f t="array" ref="K28">_xlfn.IFS(_FV(Stock_Purchase[[#This Row],[Instrument]],"Market cap",TRUE) &gt;= 20000000000, "Largecap",_FV( Stock_Purchase[[#This Row],[Instrument]],"Market cap",TRUE) &gt;= 5000000000, "Midcap",_FV( Stock_Purchase[[#This Row],[Instrument]],"Market cap",TRUE) &lt; 5000000000, "Smallcap")</f>
        <v>Largecap</v>
      </c>
      <c r="M28" vm="105">
        <f ca="1"/>
        <v>45342</v>
      </c>
      <c r="N28" vm="106">
        <f ca="1"/>
        <v>2942.05</v>
      </c>
      <c r="P28" vm="105">
        <f ca="1"/>
        <v>45342</v>
      </c>
      <c r="Q28" vm="107">
        <f ca="1"/>
        <v>951.9</v>
      </c>
    </row>
    <row r="29" spans="2:17" x14ac:dyDescent="0.35">
      <c r="B29" t="e" vm="23">
        <v>#VALUE!</v>
      </c>
      <c r="C29">
        <v>200</v>
      </c>
      <c r="D29" s="1">
        <v>220</v>
      </c>
      <c r="E29" t="str">
        <f>_FV(Stock_Purchase[[#This Row],[Instrument]],"Ticker symbol",TRUE)</f>
        <v>ITC</v>
      </c>
      <c r="F29" s="8">
        <f>(Stock_Purchase[[#This Row],[Cur. val]]-Stock_Purchase[[#This Row],[Total Invt]])/Stock_Purchase[[#This Row],[Total Invt]]</f>
        <v>0.99181818181818182</v>
      </c>
      <c r="G29" s="1" cm="1">
        <f t="array" ref="G29">_FV(Stock_Purchase[[#This Row],[Instrument]],"Price")</f>
        <v>438.2</v>
      </c>
      <c r="H29" s="1">
        <f>Stock_Purchase[[#This Row],[Qty.]]*Stock_Purchase[[#This Row],[Buy Value]]</f>
        <v>44000</v>
      </c>
      <c r="I29" s="1">
        <f>Stock_Purchase[[#This Row],[LTP]]*Stock_Purchase[[#This Row],[Qty.]]</f>
        <v>87640</v>
      </c>
      <c r="J29" s="1">
        <f>Stock_Purchase[[#This Row],[Cur. val]]-Stock_Purchase[[#This Row],[Total Invt]]</f>
        <v>43640</v>
      </c>
      <c r="K29" t="str" cm="1">
        <f t="array" ref="K29">_xlfn.IFS(_FV(Stock_Purchase[[#This Row],[Instrument]],"Market cap",TRUE) &gt;= 20000000000, "Largecap",_FV( Stock_Purchase[[#This Row],[Instrument]],"Market cap",TRUE) &gt;= 5000000000, "Midcap",_FV( Stock_Purchase[[#This Row],[Instrument]],"Market cap",TRUE) &lt; 5000000000, "Smallcap")</f>
        <v>Largecap</v>
      </c>
      <c r="M29" vm="108">
        <f ca="1"/>
        <v>45343</v>
      </c>
      <c r="N29" vm="109">
        <f ca="1"/>
        <v>2935.4</v>
      </c>
      <c r="P29" vm="108">
        <f ca="1"/>
        <v>45343</v>
      </c>
      <c r="Q29" vm="110">
        <f ca="1"/>
        <v>925.75</v>
      </c>
    </row>
    <row r="30" spans="2:17" x14ac:dyDescent="0.35">
      <c r="B30" t="e" vm="24">
        <v>#VALUE!</v>
      </c>
      <c r="C30">
        <v>100</v>
      </c>
      <c r="D30" s="1">
        <v>210</v>
      </c>
      <c r="E30" t="str">
        <f>_FV(Stock_Purchase[[#This Row],[Instrument]],"Ticker symbol",TRUE)</f>
        <v>JIOFIN</v>
      </c>
      <c r="F30" s="8">
        <f>(Stock_Purchase[[#This Row],[Cur. val]]-Stock_Purchase[[#This Row],[Total Invt]])/Stock_Purchase[[#This Row],[Total Invt]]</f>
        <v>0.81190476190476191</v>
      </c>
      <c r="G30" s="1" cm="1">
        <f t="array" ref="G30">_FV(Stock_Purchase[[#This Row],[Instrument]],"Price")</f>
        <v>380.5</v>
      </c>
      <c r="H30" s="1">
        <f>Stock_Purchase[[#This Row],[Qty.]]*Stock_Purchase[[#This Row],[Buy Value]]</f>
        <v>21000</v>
      </c>
      <c r="I30" s="1">
        <f>Stock_Purchase[[#This Row],[LTP]]*Stock_Purchase[[#This Row],[Qty.]]</f>
        <v>38050</v>
      </c>
      <c r="J30" s="1">
        <f>Stock_Purchase[[#This Row],[Cur. val]]-Stock_Purchase[[#This Row],[Total Invt]]</f>
        <v>17050</v>
      </c>
      <c r="K30" t="str" cm="1">
        <f t="array" ref="K30">_xlfn.IFS(_FV(Stock_Purchase[[#This Row],[Instrument]],"Market cap",TRUE) &gt;= 20000000000, "Largecap",_FV( Stock_Purchase[[#This Row],[Instrument]],"Market cap",TRUE) &gt;= 5000000000, "Midcap",_FV( Stock_Purchase[[#This Row],[Instrument]],"Market cap",TRUE) &lt; 5000000000, "Smallcap")</f>
        <v>Largecap</v>
      </c>
      <c r="M30" vm="111">
        <f ca="1"/>
        <v>45344</v>
      </c>
      <c r="N30" vm="112">
        <f ca="1"/>
        <v>2963.5</v>
      </c>
      <c r="P30" vm="111">
        <f ca="1"/>
        <v>45344</v>
      </c>
      <c r="Q30" vm="113">
        <f ca="1"/>
        <v>935.65</v>
      </c>
    </row>
    <row r="31" spans="2:17" x14ac:dyDescent="0.35">
      <c r="B31" t="e" vm="25">
        <v>#VALUE!</v>
      </c>
      <c r="C31">
        <v>100</v>
      </c>
      <c r="D31" s="1">
        <v>400</v>
      </c>
      <c r="E31" t="str">
        <f>_FV(Stock_Purchase[[#This Row],[Instrument]],"Ticker symbol",TRUE)</f>
        <v>JUBLFOOD</v>
      </c>
      <c r="F31" s="8">
        <f>(Stock_Purchase[[#This Row],[Cur. val]]-Stock_Purchase[[#This Row],[Total Invt]])/Stock_Purchase[[#This Row],[Total Invt]]</f>
        <v>9.7625000000000003E-2</v>
      </c>
      <c r="G31" s="1" cm="1">
        <f t="array" ref="G31">_FV(Stock_Purchase[[#This Row],[Instrument]],"Price")</f>
        <v>439.05</v>
      </c>
      <c r="H31" s="1">
        <f>Stock_Purchase[[#This Row],[Qty.]]*Stock_Purchase[[#This Row],[Buy Value]]</f>
        <v>40000</v>
      </c>
      <c r="I31" s="1">
        <f>Stock_Purchase[[#This Row],[LTP]]*Stock_Purchase[[#This Row],[Qty.]]</f>
        <v>43905</v>
      </c>
      <c r="J31" s="1">
        <f>Stock_Purchase[[#This Row],[Cur. val]]-Stock_Purchase[[#This Row],[Total Invt]]</f>
        <v>3905</v>
      </c>
      <c r="K31" t="str" cm="1">
        <f t="array" ref="K31">_xlfn.IFS(_FV(Stock_Purchase[[#This Row],[Instrument]],"Market cap",TRUE) &gt;= 20000000000, "Largecap",_FV( Stock_Purchase[[#This Row],[Instrument]],"Market cap",TRUE) &gt;= 5000000000, "Midcap",_FV( Stock_Purchase[[#This Row],[Instrument]],"Market cap",TRUE) &lt; 5000000000, "Smallcap")</f>
        <v>Largecap</v>
      </c>
      <c r="M31" vm="114">
        <f ca="1"/>
        <v>45345</v>
      </c>
      <c r="N31" vm="115">
        <f ca="1"/>
        <v>2987.25</v>
      </c>
      <c r="P31" vm="114">
        <f ca="1"/>
        <v>45345</v>
      </c>
      <c r="Q31" vm="116">
        <f ca="1"/>
        <v>964.85</v>
      </c>
    </row>
    <row r="32" spans="2:17" x14ac:dyDescent="0.35">
      <c r="B32" t="e" vm="26">
        <v>#VALUE!</v>
      </c>
      <c r="C32">
        <v>100</v>
      </c>
      <c r="D32" s="1">
        <v>1000</v>
      </c>
      <c r="E32" t="str">
        <f>_FV(Stock_Purchase[[#This Row],[Instrument]],"Ticker symbol",TRUE)</f>
        <v>KPITTECH</v>
      </c>
      <c r="F32" s="8">
        <f>(Stock_Purchase[[#This Row],[Cur. val]]-Stock_Purchase[[#This Row],[Total Invt]])/Stock_Purchase[[#This Row],[Total Invt]]</f>
        <v>0.50849999999999995</v>
      </c>
      <c r="G32" s="1" cm="1">
        <f t="array" ref="G32">_FV(Stock_Purchase[[#This Row],[Instrument]],"Price")</f>
        <v>1508.5</v>
      </c>
      <c r="H32" s="1">
        <f>Stock_Purchase[[#This Row],[Qty.]]*Stock_Purchase[[#This Row],[Buy Value]]</f>
        <v>100000</v>
      </c>
      <c r="I32" s="1">
        <f>Stock_Purchase[[#This Row],[LTP]]*Stock_Purchase[[#This Row],[Qty.]]</f>
        <v>150850</v>
      </c>
      <c r="J32" s="1">
        <f>Stock_Purchase[[#This Row],[Cur. val]]-Stock_Purchase[[#This Row],[Total Invt]]</f>
        <v>50850</v>
      </c>
      <c r="K32" t="str" cm="1">
        <f t="array" ref="K32">_xlfn.IFS(_FV(Stock_Purchase[[#This Row],[Instrument]],"Market cap",TRUE) &gt;= 20000000000, "Largecap",_FV( Stock_Purchase[[#This Row],[Instrument]],"Market cap",TRUE) &gt;= 5000000000, "Midcap",_FV( Stock_Purchase[[#This Row],[Instrument]],"Market cap",TRUE) &lt; 5000000000, "Smallcap")</f>
        <v>Largecap</v>
      </c>
      <c r="M32" vm="117">
        <f ca="1"/>
        <v>45348</v>
      </c>
      <c r="N32" vm="118">
        <f ca="1"/>
        <v>2974.65</v>
      </c>
      <c r="P32" vm="117">
        <f ca="1"/>
        <v>45348</v>
      </c>
      <c r="Q32" vm="119">
        <f ca="1"/>
        <v>968.4</v>
      </c>
    </row>
    <row r="33" spans="2:17" x14ac:dyDescent="0.35">
      <c r="B33" t="e" vm="27">
        <v>#VALUE!</v>
      </c>
      <c r="C33">
        <v>140</v>
      </c>
      <c r="D33" s="1">
        <v>400</v>
      </c>
      <c r="E33" t="str">
        <f>_FV(Stock_Purchase[[#This Row],[Instrument]],"Ticker symbol",TRUE)</f>
        <v>LAURUSLABS</v>
      </c>
      <c r="F33" s="8">
        <f>(Stock_Purchase[[#This Row],[Cur. val]]-Stock_Purchase[[#This Row],[Total Invt]])/Stock_Purchase[[#This Row],[Total Invt]]</f>
        <v>0.109375</v>
      </c>
      <c r="G33" s="1" cm="1">
        <f t="array" ref="G33">_FV(Stock_Purchase[[#This Row],[Instrument]],"Price")</f>
        <v>443.75</v>
      </c>
      <c r="H33" s="1">
        <f>Stock_Purchase[[#This Row],[Qty.]]*Stock_Purchase[[#This Row],[Buy Value]]</f>
        <v>56000</v>
      </c>
      <c r="I33" s="1">
        <f>Stock_Purchase[[#This Row],[LTP]]*Stock_Purchase[[#This Row],[Qty.]]</f>
        <v>62125</v>
      </c>
      <c r="J33" s="1">
        <f>Stock_Purchase[[#This Row],[Cur. val]]-Stock_Purchase[[#This Row],[Total Invt]]</f>
        <v>6125</v>
      </c>
      <c r="K33" t="str" cm="1">
        <f t="array" ref="K33">_xlfn.IFS(_FV(Stock_Purchase[[#This Row],[Instrument]],"Market cap",TRUE) &gt;= 20000000000, "Largecap",_FV( Stock_Purchase[[#This Row],[Instrument]],"Market cap",TRUE) &gt;= 5000000000, "Midcap",_FV( Stock_Purchase[[#This Row],[Instrument]],"Market cap",TRUE) &lt; 5000000000, "Smallcap")</f>
        <v>Largecap</v>
      </c>
      <c r="M33" vm="120">
        <f ca="1"/>
        <v>45349</v>
      </c>
      <c r="N33" vm="121">
        <f ca="1"/>
        <v>2971.3</v>
      </c>
      <c r="P33" vm="120">
        <f ca="1"/>
        <v>45349</v>
      </c>
      <c r="Q33" vm="122">
        <f ca="1"/>
        <v>952.75</v>
      </c>
    </row>
    <row r="34" spans="2:17" x14ac:dyDescent="0.35">
      <c r="B34" t="e" vm="28">
        <v>#VALUE!</v>
      </c>
      <c r="C34">
        <v>1000</v>
      </c>
      <c r="D34" s="1">
        <v>18</v>
      </c>
      <c r="E34" t="str">
        <f>_FV(Stock_Purchase[[#This Row],[Instrument]],"Ticker symbol",TRUE)</f>
        <v>LIBAS</v>
      </c>
      <c r="F34" s="8">
        <f>(Stock_Purchase[[#This Row],[Cur. val]]-Stock_Purchase[[#This Row],[Total Invt]])/Stock_Purchase[[#This Row],[Total Invt]]</f>
        <v>0.17499999999999999</v>
      </c>
      <c r="G34" s="1" cm="1">
        <f t="array" ref="G34">_FV(Stock_Purchase[[#This Row],[Instrument]],"Price")</f>
        <v>21.15</v>
      </c>
      <c r="H34" s="1">
        <f>Stock_Purchase[[#This Row],[Qty.]]*Stock_Purchase[[#This Row],[Buy Value]]</f>
        <v>18000</v>
      </c>
      <c r="I34" s="1">
        <f>Stock_Purchase[[#This Row],[LTP]]*Stock_Purchase[[#This Row],[Qty.]]</f>
        <v>21150</v>
      </c>
      <c r="J34" s="1">
        <f>Stock_Purchase[[#This Row],[Cur. val]]-Stock_Purchase[[#This Row],[Total Invt]]</f>
        <v>3150</v>
      </c>
      <c r="K34" t="str" cm="1">
        <f t="array" ref="K34">_xlfn.IFS(_FV(Stock_Purchase[[#This Row],[Instrument]],"Market cap",TRUE) &gt;= 20000000000, "Largecap",_FV( Stock_Purchase[[#This Row],[Instrument]],"Market cap",TRUE) &gt;= 5000000000, "Midcap",_FV( Stock_Purchase[[#This Row],[Instrument]],"Market cap",TRUE) &lt; 5000000000, "Smallcap")</f>
        <v>Smallcap</v>
      </c>
      <c r="M34" vm="123">
        <f ca="1"/>
        <v>45350</v>
      </c>
      <c r="N34" vm="124">
        <f ca="1"/>
        <v>2911.25</v>
      </c>
      <c r="P34" vm="123">
        <f ca="1"/>
        <v>45350</v>
      </c>
      <c r="Q34" vm="125">
        <f ca="1"/>
        <v>924.05</v>
      </c>
    </row>
    <row r="35" spans="2:17" x14ac:dyDescent="0.35">
      <c r="B35" t="e" vm="29">
        <v>#VALUE!</v>
      </c>
      <c r="C35">
        <v>100</v>
      </c>
      <c r="D35" s="1">
        <v>1000</v>
      </c>
      <c r="E35" t="str">
        <f>_FV(Stock_Purchase[[#This Row],[Instrument]],"Ticker symbol",TRUE)</f>
        <v>MAPMYINDIA</v>
      </c>
      <c r="F35" s="8">
        <f>(Stock_Purchase[[#This Row],[Cur. val]]-Stock_Purchase[[#This Row],[Total Invt]])/Stock_Purchase[[#This Row],[Total Invt]]</f>
        <v>1.0337499999999999</v>
      </c>
      <c r="G35" s="1" cm="1">
        <f t="array" ref="G35">_FV(Stock_Purchase[[#This Row],[Instrument]],"Price")</f>
        <v>2033.75</v>
      </c>
      <c r="H35" s="1">
        <f>Stock_Purchase[[#This Row],[Qty.]]*Stock_Purchase[[#This Row],[Buy Value]]</f>
        <v>100000</v>
      </c>
      <c r="I35" s="1">
        <f>Stock_Purchase[[#This Row],[LTP]]*Stock_Purchase[[#This Row],[Qty.]]</f>
        <v>203375</v>
      </c>
      <c r="J35" s="1">
        <f>Stock_Purchase[[#This Row],[Cur. val]]-Stock_Purchase[[#This Row],[Total Invt]]</f>
        <v>103375</v>
      </c>
      <c r="K35" t="str" cm="1">
        <f t="array" ref="K35">_xlfn.IFS(_FV(Stock_Purchase[[#This Row],[Instrument]],"Market cap",TRUE) &gt;= 20000000000, "Largecap",_FV( Stock_Purchase[[#This Row],[Instrument]],"Market cap",TRUE) &gt;= 5000000000, "Midcap",_FV( Stock_Purchase[[#This Row],[Instrument]],"Market cap",TRUE) &lt; 5000000000, "Smallcap")</f>
        <v>Largecap</v>
      </c>
      <c r="M35" vm="126">
        <f ca="1"/>
        <v>45351</v>
      </c>
      <c r="N35" vm="127">
        <f ca="1"/>
        <v>2921.6</v>
      </c>
      <c r="P35" vm="126">
        <f ca="1"/>
        <v>45351</v>
      </c>
      <c r="Q35" vm="128">
        <f ca="1"/>
        <v>927.4</v>
      </c>
    </row>
    <row r="36" spans="2:17" x14ac:dyDescent="0.35">
      <c r="B36" t="e" vm="30">
        <v>#VALUE!</v>
      </c>
      <c r="C36">
        <v>100</v>
      </c>
      <c r="D36" s="1">
        <v>1800</v>
      </c>
      <c r="E36" t="str">
        <f>_FV(Stock_Purchase[[#This Row],[Instrument]],"Ticker symbol",TRUE)</f>
        <v>MTARTECH</v>
      </c>
      <c r="F36" s="8">
        <f>(Stock_Purchase[[#This Row],[Cur. val]]-Stock_Purchase[[#This Row],[Total Invt]])/Stock_Purchase[[#This Row],[Total Invt]]</f>
        <v>6.0444444444444446E-2</v>
      </c>
      <c r="G36" s="1" cm="1">
        <f t="array" ref="G36">_FV(Stock_Purchase[[#This Row],[Instrument]],"Price")</f>
        <v>1908.8</v>
      </c>
      <c r="H36" s="1">
        <f>Stock_Purchase[[#This Row],[Qty.]]*Stock_Purchase[[#This Row],[Buy Value]]</f>
        <v>180000</v>
      </c>
      <c r="I36" s="1">
        <f>Stock_Purchase[[#This Row],[LTP]]*Stock_Purchase[[#This Row],[Qty.]]</f>
        <v>190880</v>
      </c>
      <c r="J36" s="1">
        <f>Stock_Purchase[[#This Row],[Cur. val]]-Stock_Purchase[[#This Row],[Total Invt]]</f>
        <v>10880</v>
      </c>
      <c r="K36" t="str" cm="1">
        <f t="array" ref="K36">_xlfn.IFS(_FV(Stock_Purchase[[#This Row],[Instrument]],"Market cap",TRUE) &gt;= 20000000000, "Largecap",_FV( Stock_Purchase[[#This Row],[Instrument]],"Market cap",TRUE) &gt;= 5000000000, "Midcap",_FV( Stock_Purchase[[#This Row],[Instrument]],"Market cap",TRUE) &lt; 5000000000, "Smallcap")</f>
        <v>Largecap</v>
      </c>
      <c r="M36" vm="129">
        <f ca="1"/>
        <v>45352</v>
      </c>
      <c r="N36" vm="130">
        <f ca="1"/>
        <v>2984.25</v>
      </c>
      <c r="P36" vm="129">
        <f ca="1"/>
        <v>45352</v>
      </c>
      <c r="Q36" vm="131">
        <f ca="1"/>
        <v>929.3</v>
      </c>
    </row>
    <row r="37" spans="2:17" x14ac:dyDescent="0.35">
      <c r="B37" t="e" vm="31">
        <v>#VALUE!</v>
      </c>
      <c r="C37">
        <v>200</v>
      </c>
      <c r="D37" s="1">
        <v>2800</v>
      </c>
      <c r="E37" t="str">
        <f>_FV(Stock_Purchase[[#This Row],[Instrument]],"Ticker symbol",TRUE)</f>
        <v>NAVINFLUOR</v>
      </c>
      <c r="F37" s="8">
        <f>(Stock_Purchase[[#This Row],[Cur. val]]-Stock_Purchase[[#This Row],[Total Invt]])/Stock_Purchase[[#This Row],[Total Invt]]</f>
        <v>0.2231607142857143</v>
      </c>
      <c r="G37" s="1" cm="1">
        <f t="array" ref="G37">_FV(Stock_Purchase[[#This Row],[Instrument]],"Price")</f>
        <v>3424.85</v>
      </c>
      <c r="H37" s="1">
        <f>Stock_Purchase[[#This Row],[Qty.]]*Stock_Purchase[[#This Row],[Buy Value]]</f>
        <v>560000</v>
      </c>
      <c r="I37" s="1">
        <f>Stock_Purchase[[#This Row],[LTP]]*Stock_Purchase[[#This Row],[Qty.]]</f>
        <v>684970</v>
      </c>
      <c r="J37" s="1">
        <f>Stock_Purchase[[#This Row],[Cur. val]]-Stock_Purchase[[#This Row],[Total Invt]]</f>
        <v>124970</v>
      </c>
      <c r="K37" t="str" cm="1">
        <f t="array" ref="K37">_xlfn.IFS(_FV(Stock_Purchase[[#This Row],[Instrument]],"Market cap",TRUE) &gt;= 20000000000, "Largecap",_FV( Stock_Purchase[[#This Row],[Instrument]],"Market cap",TRUE) &gt;= 5000000000, "Midcap",_FV( Stock_Purchase[[#This Row],[Instrument]],"Market cap",TRUE) &lt; 5000000000, "Smallcap")</f>
        <v>Largecap</v>
      </c>
      <c r="M37" vm="132">
        <f ca="1"/>
        <v>45353</v>
      </c>
      <c r="N37" vm="133">
        <f ca="1"/>
        <v>2982.15</v>
      </c>
      <c r="P37" vm="132">
        <f ca="1"/>
        <v>45353</v>
      </c>
      <c r="Q37" vm="134">
        <f ca="1"/>
        <v>933.7</v>
      </c>
    </row>
    <row r="38" spans="2:17" x14ac:dyDescent="0.35">
      <c r="B38" t="e" vm="32">
        <v>#VALUE!</v>
      </c>
      <c r="C38">
        <v>310</v>
      </c>
      <c r="D38" s="1">
        <v>2000</v>
      </c>
      <c r="E38" t="str">
        <f>_FV(Stock_Purchase[[#This Row],[Instrument]],"Ticker symbol",TRUE)</f>
        <v>PIDILITIND</v>
      </c>
      <c r="F38" s="8">
        <f>(Stock_Purchase[[#This Row],[Cur. val]]-Stock_Purchase[[#This Row],[Total Invt]])/Stock_Purchase[[#This Row],[Total Invt]]</f>
        <v>0.51054999999999995</v>
      </c>
      <c r="G38" s="1" cm="1">
        <f t="array" ref="G38">_FV(Stock_Purchase[[#This Row],[Instrument]],"Price")</f>
        <v>3021.1</v>
      </c>
      <c r="H38" s="1">
        <f>Stock_Purchase[[#This Row],[Qty.]]*Stock_Purchase[[#This Row],[Buy Value]]</f>
        <v>620000</v>
      </c>
      <c r="I38" s="1">
        <f>Stock_Purchase[[#This Row],[LTP]]*Stock_Purchase[[#This Row],[Qty.]]</f>
        <v>936541</v>
      </c>
      <c r="J38" s="1">
        <f>Stock_Purchase[[#This Row],[Cur. val]]-Stock_Purchase[[#This Row],[Total Invt]]</f>
        <v>316541</v>
      </c>
      <c r="K38" t="str" cm="1">
        <f t="array" ref="K38">_xlfn.IFS(_FV(Stock_Purchase[[#This Row],[Instrument]],"Market cap",TRUE) &gt;= 20000000000, "Largecap",_FV( Stock_Purchase[[#This Row],[Instrument]],"Market cap",TRUE) &gt;= 5000000000, "Midcap",_FV( Stock_Purchase[[#This Row],[Instrument]],"Market cap",TRUE) &lt; 5000000000, "Smallcap")</f>
        <v>Largecap</v>
      </c>
      <c r="M38" vm="135">
        <f ca="1"/>
        <v>45355</v>
      </c>
      <c r="N38" vm="136">
        <f ca="1"/>
        <v>3014.8</v>
      </c>
      <c r="P38" vm="135">
        <f ca="1"/>
        <v>45355</v>
      </c>
      <c r="Q38" vm="137">
        <f ca="1"/>
        <v>938</v>
      </c>
    </row>
    <row r="39" spans="2:17" x14ac:dyDescent="0.35">
      <c r="B39" t="e" vm="33">
        <v>#VALUE!</v>
      </c>
      <c r="C39">
        <v>900</v>
      </c>
      <c r="D39" s="1">
        <v>400</v>
      </c>
      <c r="E39" t="str">
        <f>_FV(Stock_Purchase[[#This Row],[Instrument]],"Ticker symbol",TRUE)</f>
        <v>PRAJIND</v>
      </c>
      <c r="F39" s="8">
        <f>(Stock_Purchase[[#This Row],[Cur. val]]-Stock_Purchase[[#This Row],[Total Invt]])/Stock_Purchase[[#This Row],[Total Invt]]</f>
        <v>0.36812499999999998</v>
      </c>
      <c r="G39" s="1" cm="1">
        <f t="array" ref="G39">_FV(Stock_Purchase[[#This Row],[Instrument]],"Price")</f>
        <v>547.25</v>
      </c>
      <c r="H39" s="1">
        <f>Stock_Purchase[[#This Row],[Qty.]]*Stock_Purchase[[#This Row],[Buy Value]]</f>
        <v>360000</v>
      </c>
      <c r="I39" s="1">
        <f>Stock_Purchase[[#This Row],[LTP]]*Stock_Purchase[[#This Row],[Qty.]]</f>
        <v>492525</v>
      </c>
      <c r="J39" s="1">
        <f>Stock_Purchase[[#This Row],[Cur. val]]-Stock_Purchase[[#This Row],[Total Invt]]</f>
        <v>132525</v>
      </c>
      <c r="K39" t="str" cm="1">
        <f t="array" ref="K39">_xlfn.IFS(_FV(Stock_Purchase[[#This Row],[Instrument]],"Market cap",TRUE) &gt;= 20000000000, "Largecap",_FV( Stock_Purchase[[#This Row],[Instrument]],"Market cap",TRUE) &gt;= 5000000000, "Midcap",_FV( Stock_Purchase[[#This Row],[Instrument]],"Market cap",TRUE) &lt; 5000000000, "Smallcap")</f>
        <v>Largecap</v>
      </c>
      <c r="M39" vm="138">
        <f ca="1"/>
        <v>45356</v>
      </c>
      <c r="N39" vm="139">
        <f ca="1"/>
        <v>3000.4</v>
      </c>
      <c r="P39" vm="138">
        <f ca="1"/>
        <v>45356</v>
      </c>
      <c r="Q39" vm="140">
        <f ca="1"/>
        <v>935.8</v>
      </c>
    </row>
    <row r="40" spans="2:17" x14ac:dyDescent="0.35">
      <c r="B40" t="e" vm="34">
        <v>#VALUE!</v>
      </c>
      <c r="C40">
        <v>260</v>
      </c>
      <c r="D40" s="1">
        <v>300</v>
      </c>
      <c r="E40" t="str">
        <f>_FV(Stock_Purchase[[#This Row],[Instrument]],"Ticker symbol",TRUE)</f>
        <v>RAILTEL</v>
      </c>
      <c r="F40" s="8">
        <f>(Stock_Purchase[[#This Row],[Cur. val]]-Stock_Purchase[[#This Row],[Total Invt]])/Stock_Purchase[[#This Row],[Total Invt]]</f>
        <v>0.33050000000000002</v>
      </c>
      <c r="G40" s="1" cm="1">
        <f t="array" ref="G40">_FV(Stock_Purchase[[#This Row],[Instrument]],"Price")</f>
        <v>399.15</v>
      </c>
      <c r="H40" s="1">
        <f>Stock_Purchase[[#This Row],[Qty.]]*Stock_Purchase[[#This Row],[Buy Value]]</f>
        <v>78000</v>
      </c>
      <c r="I40" s="1">
        <f>Stock_Purchase[[#This Row],[LTP]]*Stock_Purchase[[#This Row],[Qty.]]</f>
        <v>103779</v>
      </c>
      <c r="J40" s="1">
        <f>Stock_Purchase[[#This Row],[Cur. val]]-Stock_Purchase[[#This Row],[Total Invt]]</f>
        <v>25779</v>
      </c>
      <c r="K40" t="str" cm="1">
        <f t="array" ref="K40">_xlfn.IFS(_FV(Stock_Purchase[[#This Row],[Instrument]],"Market cap",TRUE) &gt;= 20000000000, "Largecap",_FV( Stock_Purchase[[#This Row],[Instrument]],"Market cap",TRUE) &gt;= 5000000000, "Midcap",_FV( Stock_Purchase[[#This Row],[Instrument]],"Market cap",TRUE) &lt; 5000000000, "Smallcap")</f>
        <v>Largecap</v>
      </c>
      <c r="M40" vm="141">
        <f ca="1"/>
        <v>45357</v>
      </c>
      <c r="N40" vm="142">
        <f ca="1"/>
        <v>3006</v>
      </c>
      <c r="P40" vm="141">
        <f ca="1"/>
        <v>45357</v>
      </c>
      <c r="Q40" vm="143">
        <f ca="1"/>
        <v>929.05</v>
      </c>
    </row>
    <row r="41" spans="2:17" x14ac:dyDescent="0.35">
      <c r="B41" t="e" vm="35">
        <v>#VALUE!</v>
      </c>
      <c r="C41">
        <v>60</v>
      </c>
      <c r="D41" s="1">
        <v>700</v>
      </c>
      <c r="E41" t="str">
        <f>_FV(Stock_Purchase[[#This Row],[Instrument]],"Ticker symbol",TRUE)</f>
        <v>RELAXO</v>
      </c>
      <c r="F41" s="8">
        <f>(Stock_Purchase[[#This Row],[Cur. val]]-Stock_Purchase[[#This Row],[Total Invt]])/Stock_Purchase[[#This Row],[Total Invt]]</f>
        <v>0.18892857142857142</v>
      </c>
      <c r="G41" s="1" cm="1">
        <f t="array" ref="G41">_FV(Stock_Purchase[[#This Row],[Instrument]],"Price")</f>
        <v>832.25</v>
      </c>
      <c r="H41" s="1">
        <f>Stock_Purchase[[#This Row],[Qty.]]*Stock_Purchase[[#This Row],[Buy Value]]</f>
        <v>42000</v>
      </c>
      <c r="I41" s="1">
        <f>Stock_Purchase[[#This Row],[LTP]]*Stock_Purchase[[#This Row],[Qty.]]</f>
        <v>49935</v>
      </c>
      <c r="J41" s="1">
        <f>Stock_Purchase[[#This Row],[Cur. val]]-Stock_Purchase[[#This Row],[Total Invt]]</f>
        <v>7935</v>
      </c>
      <c r="K41" t="str" cm="1">
        <f t="array" ref="K41">_xlfn.IFS(_FV(Stock_Purchase[[#This Row],[Instrument]],"Market cap",TRUE) &gt;= 20000000000, "Largecap",_FV( Stock_Purchase[[#This Row],[Instrument]],"Market cap",TRUE) &gt;= 5000000000, "Midcap",_FV( Stock_Purchase[[#This Row],[Instrument]],"Market cap",TRUE) &lt; 5000000000, "Smallcap")</f>
        <v>Largecap</v>
      </c>
      <c r="M41" vm="144">
        <f ca="1"/>
        <v>45358</v>
      </c>
      <c r="N41" vm="145">
        <f ca="1"/>
        <v>2957.85</v>
      </c>
      <c r="P41" vm="144">
        <f ca="1"/>
        <v>45358</v>
      </c>
      <c r="Q41" vm="146">
        <f ca="1"/>
        <v>937.2</v>
      </c>
    </row>
    <row r="42" spans="2:17" x14ac:dyDescent="0.35">
      <c r="B42" t="e" vm="36">
        <v>#VALUE!</v>
      </c>
      <c r="C42">
        <v>240</v>
      </c>
      <c r="D42" s="1">
        <v>1800</v>
      </c>
      <c r="E42" t="str">
        <f>_FV(Stock_Purchase[[#This Row],[Instrument]],"Ticker symbol",TRUE)</f>
        <v>RELIANCE</v>
      </c>
      <c r="F42" s="8">
        <f>(Stock_Purchase[[#This Row],[Cur. val]]-Stock_Purchase[[#This Row],[Total Invt]])/Stock_Purchase[[#This Row],[Total Invt]]</f>
        <v>0.62780555555555551</v>
      </c>
      <c r="G42" s="1" cm="1">
        <f t="array" ref="G42">_FV(Stock_Purchase[[#This Row],[Instrument]],"Price")</f>
        <v>2930.05</v>
      </c>
      <c r="H42" s="1">
        <f>Stock_Purchase[[#This Row],[Qty.]]*Stock_Purchase[[#This Row],[Buy Value]]</f>
        <v>432000</v>
      </c>
      <c r="I42" s="1">
        <f>Stock_Purchase[[#This Row],[LTP]]*Stock_Purchase[[#This Row],[Qty.]]</f>
        <v>703212</v>
      </c>
      <c r="J42" s="1">
        <f>Stock_Purchase[[#This Row],[Cur. val]]-Stock_Purchase[[#This Row],[Total Invt]]</f>
        <v>271212</v>
      </c>
      <c r="K42" t="str" cm="1">
        <f t="array" ref="K42">_xlfn.IFS(_FV(Stock_Purchase[[#This Row],[Instrument]],"Market cap",TRUE) &gt;= 20000000000, "Largecap",_FV( Stock_Purchase[[#This Row],[Instrument]],"Market cap",TRUE) &gt;= 5000000000, "Midcap",_FV( Stock_Purchase[[#This Row],[Instrument]],"Market cap",TRUE) &lt; 5000000000, "Smallcap")</f>
        <v>Largecap</v>
      </c>
      <c r="M42" vm="147">
        <f ca="1"/>
        <v>45362</v>
      </c>
      <c r="N42" vm="148">
        <f ca="1"/>
        <v>2933.2</v>
      </c>
      <c r="P42" vm="147">
        <f ca="1"/>
        <v>45362</v>
      </c>
      <c r="Q42" vm="149">
        <f ca="1"/>
        <v>938.6</v>
      </c>
    </row>
    <row r="43" spans="2:17" x14ac:dyDescent="0.35">
      <c r="B43" t="e" vm="37">
        <v>#VALUE!</v>
      </c>
      <c r="C43">
        <v>60</v>
      </c>
      <c r="D43" s="1">
        <v>1600</v>
      </c>
      <c r="E43" t="str">
        <f>_FV(Stock_Purchase[[#This Row],[Instrument]],"Ticker symbol",TRUE)</f>
        <v>SHRIPISTON</v>
      </c>
      <c r="F43" s="8">
        <f>(Stock_Purchase[[#This Row],[Cur. val]]-Stock_Purchase[[#This Row],[Total Invt]])/Stock_Purchase[[#This Row],[Total Invt]]</f>
        <v>0.28731249999999986</v>
      </c>
      <c r="G43" s="1" cm="1">
        <f t="array" ref="G43">_FV(Stock_Purchase[[#This Row],[Instrument]],"Price")</f>
        <v>2059.6999999999998</v>
      </c>
      <c r="H43" s="1">
        <f>Stock_Purchase[[#This Row],[Qty.]]*Stock_Purchase[[#This Row],[Buy Value]]</f>
        <v>96000</v>
      </c>
      <c r="I43" s="1">
        <f>Stock_Purchase[[#This Row],[LTP]]*Stock_Purchase[[#This Row],[Qty.]]</f>
        <v>123581.99999999999</v>
      </c>
      <c r="J43" s="1">
        <f>Stock_Purchase[[#This Row],[Cur. val]]-Stock_Purchase[[#This Row],[Total Invt]]</f>
        <v>27581.999999999985</v>
      </c>
      <c r="K43" t="str" cm="1">
        <f t="array" ref="K43">_xlfn.IFS(_FV(Stock_Purchase[[#This Row],[Instrument]],"Market cap",TRUE) &gt;= 20000000000, "Largecap",_FV( Stock_Purchase[[#This Row],[Instrument]],"Market cap",TRUE) &gt;= 5000000000, "Midcap",_FV( Stock_Purchase[[#This Row],[Instrument]],"Market cap",TRUE) &lt; 5000000000, "Smallcap")</f>
        <v>Largecap</v>
      </c>
      <c r="M43" vm="150">
        <f ca="1"/>
        <v>45363</v>
      </c>
      <c r="N43" vm="151">
        <f ca="1"/>
        <v>2950.85</v>
      </c>
      <c r="P43" vm="150">
        <f ca="1"/>
        <v>45363</v>
      </c>
      <c r="Q43" vm="152">
        <f ca="1"/>
        <v>920.95</v>
      </c>
    </row>
    <row r="44" spans="2:17" x14ac:dyDescent="0.35">
      <c r="B44" t="e" vm="38">
        <v>#VALUE!</v>
      </c>
      <c r="C44">
        <v>12</v>
      </c>
      <c r="D44" s="1">
        <v>600</v>
      </c>
      <c r="E44" t="str">
        <f>_FV(Stock_Purchase[[#This Row],[Instrument]],"Ticker symbol",TRUE)</f>
        <v>SONACOMS</v>
      </c>
      <c r="F44" s="8">
        <f>(Stock_Purchase[[#This Row],[Cur. val]]-Stock_Purchase[[#This Row],[Total Invt]])/Stock_Purchase[[#This Row],[Total Invt]]</f>
        <v>6.1416666666666765E-2</v>
      </c>
      <c r="G44" s="1" cm="1">
        <f t="array" ref="G44">_FV(Stock_Purchase[[#This Row],[Instrument]],"Price")</f>
        <v>636.85</v>
      </c>
      <c r="H44" s="1">
        <f>Stock_Purchase[[#This Row],[Qty.]]*Stock_Purchase[[#This Row],[Buy Value]]</f>
        <v>7200</v>
      </c>
      <c r="I44" s="1">
        <f>Stock_Purchase[[#This Row],[LTP]]*Stock_Purchase[[#This Row],[Qty.]]</f>
        <v>7642.2000000000007</v>
      </c>
      <c r="J44" s="1">
        <f>Stock_Purchase[[#This Row],[Cur. val]]-Stock_Purchase[[#This Row],[Total Invt]]</f>
        <v>442.20000000000073</v>
      </c>
      <c r="K44" t="str" cm="1">
        <f t="array" ref="K44">_xlfn.IFS(_FV(Stock_Purchase[[#This Row],[Instrument]],"Market cap",TRUE) &gt;= 20000000000, "Largecap",_FV( Stock_Purchase[[#This Row],[Instrument]],"Market cap",TRUE) &gt;= 5000000000, "Midcap",_FV( Stock_Purchase[[#This Row],[Instrument]],"Market cap",TRUE) &lt; 5000000000, "Smallcap")</f>
        <v>Largecap</v>
      </c>
      <c r="M44" vm="153">
        <f ca="1"/>
        <v>45364</v>
      </c>
      <c r="N44" vm="154">
        <f ca="1"/>
        <v>2864.35</v>
      </c>
      <c r="P44" vm="153">
        <f ca="1"/>
        <v>45364</v>
      </c>
      <c r="Q44" vm="155">
        <f ca="1"/>
        <v>880.65</v>
      </c>
    </row>
    <row r="45" spans="2:17" x14ac:dyDescent="0.35">
      <c r="B45" t="e" vm="39">
        <v>#VALUE!</v>
      </c>
      <c r="C45">
        <v>1000</v>
      </c>
      <c r="D45" s="1">
        <v>40</v>
      </c>
      <c r="E45" t="str">
        <f>_FV(Stock_Purchase[[#This Row],[Instrument]],"Ticker symbol",TRUE)</f>
        <v>SUBEXLTD</v>
      </c>
      <c r="F45" s="8">
        <f>(Stock_Purchase[[#This Row],[Cur. val]]-Stock_Purchase[[#This Row],[Total Invt]])/Stock_Purchase[[#This Row],[Total Invt]]</f>
        <v>-0.22</v>
      </c>
      <c r="G45" s="1" cm="1">
        <f t="array" ref="G45">_FV(Stock_Purchase[[#This Row],[Instrument]],"Price")</f>
        <v>31.2</v>
      </c>
      <c r="H45" s="1">
        <f>Stock_Purchase[[#This Row],[Qty.]]*Stock_Purchase[[#This Row],[Buy Value]]</f>
        <v>40000</v>
      </c>
      <c r="I45" s="1">
        <f>Stock_Purchase[[#This Row],[LTP]]*Stock_Purchase[[#This Row],[Qty.]]</f>
        <v>31200</v>
      </c>
      <c r="J45" s="1">
        <f>Stock_Purchase[[#This Row],[Cur. val]]-Stock_Purchase[[#This Row],[Total Invt]]</f>
        <v>-8800</v>
      </c>
      <c r="K45" t="str" cm="1">
        <f t="array" ref="K45">_xlfn.IFS(_FV(Stock_Purchase[[#This Row],[Instrument]],"Market cap",TRUE) &gt;= 20000000000, "Largecap",_FV( Stock_Purchase[[#This Row],[Instrument]],"Market cap",TRUE) &gt;= 5000000000, "Midcap",_FV( Stock_Purchase[[#This Row],[Instrument]],"Market cap",TRUE) &lt; 5000000000, "Smallcap")</f>
        <v>Midcap</v>
      </c>
      <c r="M45" vm="156">
        <f ca="1"/>
        <v>45365</v>
      </c>
      <c r="N45" vm="157">
        <f ca="1"/>
        <v>2862.95</v>
      </c>
      <c r="P45" vm="156">
        <f ca="1"/>
        <v>45365</v>
      </c>
      <c r="Q45" vm="158">
        <f ca="1"/>
        <v>898.75</v>
      </c>
    </row>
    <row r="46" spans="2:17" x14ac:dyDescent="0.35">
      <c r="B46" t="e" vm="40">
        <v>#VALUE!</v>
      </c>
      <c r="C46">
        <v>400</v>
      </c>
      <c r="D46" s="1">
        <v>950</v>
      </c>
      <c r="E46" t="str">
        <f>_FV(Stock_Purchase[[#This Row],[Instrument]],"Ticker symbol",TRUE)</f>
        <v>TANLA</v>
      </c>
      <c r="F46" s="8">
        <f>(Stock_Purchase[[#This Row],[Cur. val]]-Stock_Purchase[[#This Row],[Total Invt]])/Stock_Purchase[[#This Row],[Total Invt]]</f>
        <v>-3.5999999999999997E-2</v>
      </c>
      <c r="G46" s="1" cm="1">
        <f t="array" ref="G46">_FV(Stock_Purchase[[#This Row],[Instrument]],"Price")</f>
        <v>915.8</v>
      </c>
      <c r="H46" s="1">
        <f>Stock_Purchase[[#This Row],[Qty.]]*Stock_Purchase[[#This Row],[Buy Value]]</f>
        <v>380000</v>
      </c>
      <c r="I46" s="1">
        <f>Stock_Purchase[[#This Row],[LTP]]*Stock_Purchase[[#This Row],[Qty.]]</f>
        <v>366320</v>
      </c>
      <c r="J46" s="1">
        <f>Stock_Purchase[[#This Row],[Cur. val]]-Stock_Purchase[[#This Row],[Total Invt]]</f>
        <v>-13680</v>
      </c>
      <c r="K46" t="str" cm="1">
        <f t="array" ref="K46">_xlfn.IFS(_FV(Stock_Purchase[[#This Row],[Instrument]],"Market cap",TRUE) &gt;= 20000000000, "Largecap",_FV( Stock_Purchase[[#This Row],[Instrument]],"Market cap",TRUE) &gt;= 5000000000, "Midcap",_FV( Stock_Purchase[[#This Row],[Instrument]],"Market cap",TRUE) &lt; 5000000000, "Smallcap")</f>
        <v>Largecap</v>
      </c>
      <c r="M46" vm="159">
        <f ca="1"/>
        <v>45366</v>
      </c>
      <c r="N46" vm="160">
        <f ca="1"/>
        <v>2836.45</v>
      </c>
      <c r="P46" vm="159">
        <f ca="1"/>
        <v>45366</v>
      </c>
      <c r="Q46" vm="161">
        <f ca="1"/>
        <v>912.5</v>
      </c>
    </row>
    <row r="47" spans="2:17" x14ac:dyDescent="0.35">
      <c r="B47" t="e" vm="41">
        <v>#VALUE!</v>
      </c>
      <c r="C47">
        <v>310</v>
      </c>
      <c r="D47" s="1">
        <v>800</v>
      </c>
      <c r="E47" t="str">
        <f>_FV(Stock_Purchase[[#This Row],[Instrument]],"Ticker symbol",TRUE)</f>
        <v>TATACHEM</v>
      </c>
      <c r="F47" s="8">
        <f>(Stock_Purchase[[#This Row],[Cur. val]]-Stock_Purchase[[#This Row],[Total Invt]])/Stock_Purchase[[#This Row],[Total Invt]]</f>
        <v>0.37437500000000001</v>
      </c>
      <c r="G47" s="1" cm="1">
        <f t="array" ref="G47">_FV(Stock_Purchase[[#This Row],[Instrument]],"Price")</f>
        <v>1099.5</v>
      </c>
      <c r="H47" s="1">
        <f>Stock_Purchase[[#This Row],[Qty.]]*Stock_Purchase[[#This Row],[Buy Value]]</f>
        <v>248000</v>
      </c>
      <c r="I47" s="1">
        <f>Stock_Purchase[[#This Row],[LTP]]*Stock_Purchase[[#This Row],[Qty.]]</f>
        <v>340845</v>
      </c>
      <c r="J47" s="1">
        <f>Stock_Purchase[[#This Row],[Cur. val]]-Stock_Purchase[[#This Row],[Total Invt]]</f>
        <v>92845</v>
      </c>
      <c r="K47" t="str" cm="1">
        <f t="array" ref="K47">_xlfn.IFS(_FV(Stock_Purchase[[#This Row],[Instrument]],"Market cap",TRUE) &gt;= 20000000000, "Largecap",_FV( Stock_Purchase[[#This Row],[Instrument]],"Market cap",TRUE) &gt;= 5000000000, "Midcap",_FV( Stock_Purchase[[#This Row],[Instrument]],"Market cap",TRUE) &lt; 5000000000, "Smallcap")</f>
        <v>Largecap</v>
      </c>
      <c r="M47" vm="162">
        <f ca="1"/>
        <v>45369</v>
      </c>
      <c r="N47" vm="163">
        <f ca="1"/>
        <v>2878.95</v>
      </c>
      <c r="P47" vm="162">
        <f ca="1"/>
        <v>45369</v>
      </c>
      <c r="Q47" vm="164">
        <f ca="1"/>
        <v>918.9</v>
      </c>
    </row>
    <row r="48" spans="2:17" x14ac:dyDescent="0.35">
      <c r="B48" t="e" vm="42">
        <v>#VALUE!</v>
      </c>
      <c r="C48">
        <v>580</v>
      </c>
      <c r="D48" s="1">
        <v>700</v>
      </c>
      <c r="E48" t="str">
        <f>_FV(Stock_Purchase[[#This Row],[Instrument]],"Ticker symbol",TRUE)</f>
        <v>TATACONSUM</v>
      </c>
      <c r="F48" s="8">
        <f>(Stock_Purchase[[#This Row],[Cur. val]]-Stock_Purchase[[#This Row],[Total Invt]])/Stock_Purchase[[#This Row],[Total Invt]]</f>
        <v>0.56928571428571428</v>
      </c>
      <c r="G48" s="1" cm="1">
        <f t="array" ref="G48">_FV(Stock_Purchase[[#This Row],[Instrument]],"Price")</f>
        <v>1098.5</v>
      </c>
      <c r="H48" s="1">
        <f>Stock_Purchase[[#This Row],[Qty.]]*Stock_Purchase[[#This Row],[Buy Value]]</f>
        <v>406000</v>
      </c>
      <c r="I48" s="1">
        <f>Stock_Purchase[[#This Row],[LTP]]*Stock_Purchase[[#This Row],[Qty.]]</f>
        <v>637130</v>
      </c>
      <c r="J48" s="1">
        <f>Stock_Purchase[[#This Row],[Cur. val]]-Stock_Purchase[[#This Row],[Total Invt]]</f>
        <v>231130</v>
      </c>
      <c r="K48" t="str" cm="1">
        <f t="array" ref="K48">_xlfn.IFS(_FV(Stock_Purchase[[#This Row],[Instrument]],"Market cap",TRUE) &gt;= 20000000000, "Largecap",_FV( Stock_Purchase[[#This Row],[Instrument]],"Market cap",TRUE) &gt;= 5000000000, "Midcap",_FV( Stock_Purchase[[#This Row],[Instrument]],"Market cap",TRUE) &lt; 5000000000, "Smallcap")</f>
        <v>Largecap</v>
      </c>
      <c r="M48" vm="165">
        <f ca="1"/>
        <v>45370</v>
      </c>
      <c r="N48" vm="166">
        <f ca="1"/>
        <v>2850.5</v>
      </c>
      <c r="P48" vm="165">
        <f ca="1"/>
        <v>45370</v>
      </c>
      <c r="Q48" vm="167">
        <f ca="1"/>
        <v>906.4</v>
      </c>
    </row>
    <row r="49" spans="2:17" x14ac:dyDescent="0.35">
      <c r="B49" t="e" vm="43">
        <v>#VALUE!</v>
      </c>
      <c r="C49">
        <v>100</v>
      </c>
      <c r="D49" s="1">
        <v>7000</v>
      </c>
      <c r="E49" t="str">
        <f>_FV(Stock_Purchase[[#This Row],[Instrument]],"Ticker symbol",TRUE)</f>
        <v>TATAELXSI</v>
      </c>
      <c r="F49" s="8">
        <f>(Stock_Purchase[[#This Row],[Cur. val]]-Stock_Purchase[[#This Row],[Total Invt]])/Stock_Purchase[[#This Row],[Total Invt]]</f>
        <v>1.4657142857142856E-2</v>
      </c>
      <c r="G49" s="1" cm="1">
        <f t="array" ref="G49">_FV(Stock_Purchase[[#This Row],[Instrument]],"Price")</f>
        <v>7102.6</v>
      </c>
      <c r="H49" s="1">
        <f>Stock_Purchase[[#This Row],[Qty.]]*Stock_Purchase[[#This Row],[Buy Value]]</f>
        <v>700000</v>
      </c>
      <c r="I49" s="1">
        <f>Stock_Purchase[[#This Row],[LTP]]*Stock_Purchase[[#This Row],[Qty.]]</f>
        <v>710260</v>
      </c>
      <c r="J49" s="1">
        <f>Stock_Purchase[[#This Row],[Cur. val]]-Stock_Purchase[[#This Row],[Total Invt]]</f>
        <v>10260</v>
      </c>
      <c r="K49" t="str" cm="1">
        <f t="array" ref="K49">_xlfn.IFS(_FV(Stock_Purchase[[#This Row],[Instrument]],"Market cap",TRUE) &gt;= 20000000000, "Largecap",_FV( Stock_Purchase[[#This Row],[Instrument]],"Market cap",TRUE) &gt;= 5000000000, "Midcap",_FV( Stock_Purchase[[#This Row],[Instrument]],"Market cap",TRUE) &lt; 5000000000, "Smallcap")</f>
        <v>Largecap</v>
      </c>
      <c r="M49" vm="168">
        <f ca="1"/>
        <v>45371</v>
      </c>
      <c r="N49" vm="169">
        <f ca="1"/>
        <v>2887.5</v>
      </c>
      <c r="P49" vm="168">
        <f ca="1"/>
        <v>45371</v>
      </c>
      <c r="Q49" vm="170">
        <f ca="1"/>
        <v>901.9</v>
      </c>
    </row>
    <row r="50" spans="2:17" x14ac:dyDescent="0.35">
      <c r="B50" t="e" vm="44">
        <v>#VALUE!</v>
      </c>
      <c r="C50">
        <v>280</v>
      </c>
      <c r="D50" s="1">
        <v>400</v>
      </c>
      <c r="E50" t="str">
        <f>_FV(Stock_Purchase[[#This Row],[Instrument]],"Ticker symbol",TRUE)</f>
        <v>TATAMOTORS</v>
      </c>
      <c r="F50" s="8">
        <f>(Stock_Purchase[[#This Row],[Cur. val]]-Stock_Purchase[[#This Row],[Total Invt]])/Stock_Purchase[[#This Row],[Total Invt]]</f>
        <v>1.5015000000000001</v>
      </c>
      <c r="G50" s="1" cm="1">
        <f t="array" ref="G50">_FV(Stock_Purchase[[#This Row],[Instrument]],"Price")</f>
        <v>1000.6</v>
      </c>
      <c r="H50" s="1">
        <f>Stock_Purchase[[#This Row],[Qty.]]*Stock_Purchase[[#This Row],[Buy Value]]</f>
        <v>112000</v>
      </c>
      <c r="I50" s="1">
        <f>Stock_Purchase[[#This Row],[LTP]]*Stock_Purchase[[#This Row],[Qty.]]</f>
        <v>280168</v>
      </c>
      <c r="J50" s="1">
        <f>Stock_Purchase[[#This Row],[Cur. val]]-Stock_Purchase[[#This Row],[Total Invt]]</f>
        <v>168168</v>
      </c>
      <c r="K50" t="str" cm="1">
        <f t="array" ref="K50">_xlfn.IFS(_FV(Stock_Purchase[[#This Row],[Instrument]],"Market cap",TRUE) &gt;= 20000000000, "Largecap",_FV( Stock_Purchase[[#This Row],[Instrument]],"Market cap",TRUE) &gt;= 5000000000, "Midcap",_FV( Stock_Purchase[[#This Row],[Instrument]],"Market cap",TRUE) &lt; 5000000000, "Smallcap")</f>
        <v>Largecap</v>
      </c>
      <c r="M50" vm="171">
        <f ca="1"/>
        <v>45372</v>
      </c>
      <c r="N50" vm="172">
        <f ca="1"/>
        <v>2901.95</v>
      </c>
      <c r="P50" vm="171">
        <f ca="1"/>
        <v>45372</v>
      </c>
      <c r="Q50" vm="173">
        <f ca="1"/>
        <v>934.75</v>
      </c>
    </row>
    <row r="51" spans="2:17" x14ac:dyDescent="0.35">
      <c r="B51" t="e" vm="45">
        <v>#VALUE!</v>
      </c>
      <c r="C51">
        <v>900</v>
      </c>
      <c r="D51" s="1">
        <v>200</v>
      </c>
      <c r="E51" t="str">
        <f>_FV(Stock_Purchase[[#This Row],[Instrument]],"Ticker symbol",TRUE)</f>
        <v>TATAPOWER</v>
      </c>
      <c r="F51" s="8">
        <f>(Stock_Purchase[[#This Row],[Cur. val]]-Stock_Purchase[[#This Row],[Total Invt]])/Stock_Purchase[[#This Row],[Total Invt]]</f>
        <v>1.24</v>
      </c>
      <c r="G51" s="1" cm="1">
        <f t="array" ref="G51">_FV(Stock_Purchase[[#This Row],[Instrument]],"Price")</f>
        <v>448</v>
      </c>
      <c r="H51" s="1">
        <f>Stock_Purchase[[#This Row],[Qty.]]*Stock_Purchase[[#This Row],[Buy Value]]</f>
        <v>180000</v>
      </c>
      <c r="I51" s="1">
        <f>Stock_Purchase[[#This Row],[LTP]]*Stock_Purchase[[#This Row],[Qty.]]</f>
        <v>403200</v>
      </c>
      <c r="J51" s="1">
        <f>Stock_Purchase[[#This Row],[Cur. val]]-Stock_Purchase[[#This Row],[Total Invt]]</f>
        <v>223200</v>
      </c>
      <c r="K51" t="str" cm="1">
        <f t="array" ref="K51">_xlfn.IFS(_FV(Stock_Purchase[[#This Row],[Instrument]],"Market cap",TRUE) &gt;= 20000000000, "Largecap",_FV( Stock_Purchase[[#This Row],[Instrument]],"Market cap",TRUE) &gt;= 5000000000, "Midcap",_FV( Stock_Purchase[[#This Row],[Instrument]],"Market cap",TRUE) &lt; 5000000000, "Smallcap")</f>
        <v>Largecap</v>
      </c>
      <c r="M51" vm="174">
        <f ca="1"/>
        <v>45373</v>
      </c>
      <c r="N51" vm="175">
        <f ca="1"/>
        <v>2910.05</v>
      </c>
      <c r="P51" vm="174">
        <f ca="1"/>
        <v>45373</v>
      </c>
      <c r="Q51" vm="176">
        <f ca="1"/>
        <v>928.7</v>
      </c>
    </row>
    <row r="52" spans="2:17" x14ac:dyDescent="0.35">
      <c r="B52" t="e" vm="46">
        <v>#VALUE!</v>
      </c>
      <c r="C52">
        <v>350</v>
      </c>
      <c r="D52" s="1">
        <v>100</v>
      </c>
      <c r="E52" t="str">
        <f>_FV(Stock_Purchase[[#This Row],[Instrument]],"Ticker symbol",TRUE)</f>
        <v>TATASTEEL</v>
      </c>
      <c r="F52" s="8">
        <f>(Stock_Purchase[[#This Row],[Cur. val]]-Stock_Purchase[[#This Row],[Total Invt]])/Stock_Purchase[[#This Row],[Total Invt]]</f>
        <v>0.67400000000000004</v>
      </c>
      <c r="G52" s="1" cm="1">
        <f t="array" ref="G52">_FV(Stock_Purchase[[#This Row],[Instrument]],"Price")</f>
        <v>167.4</v>
      </c>
      <c r="H52" s="1">
        <f>Stock_Purchase[[#This Row],[Qty.]]*Stock_Purchase[[#This Row],[Buy Value]]</f>
        <v>35000</v>
      </c>
      <c r="I52" s="1">
        <f>Stock_Purchase[[#This Row],[LTP]]*Stock_Purchase[[#This Row],[Qty.]]</f>
        <v>58590</v>
      </c>
      <c r="J52" s="1">
        <f>Stock_Purchase[[#This Row],[Cur. val]]-Stock_Purchase[[#This Row],[Total Invt]]</f>
        <v>23590</v>
      </c>
      <c r="K52" t="str" cm="1">
        <f t="array" ref="K52">_xlfn.IFS(_FV(Stock_Purchase[[#This Row],[Instrument]],"Market cap",TRUE) &gt;= 20000000000, "Largecap",_FV( Stock_Purchase[[#This Row],[Instrument]],"Market cap",TRUE) &gt;= 5000000000, "Midcap",_FV( Stock_Purchase[[#This Row],[Instrument]],"Market cap",TRUE) &lt; 5000000000, "Smallcap")</f>
        <v>Largecap</v>
      </c>
      <c r="M52" vm="177">
        <f ca="1"/>
        <v>45377</v>
      </c>
      <c r="N52" vm="178">
        <f ca="1"/>
        <v>2883.15</v>
      </c>
      <c r="P52" vm="177">
        <f ca="1"/>
        <v>45377</v>
      </c>
      <c r="Q52" vm="179">
        <f ca="1"/>
        <v>928.75</v>
      </c>
    </row>
    <row r="53" spans="2:17" x14ac:dyDescent="0.35">
      <c r="B53" t="e" vm="47">
        <v>#VALUE!</v>
      </c>
      <c r="C53">
        <v>100</v>
      </c>
      <c r="D53" s="1">
        <v>3200</v>
      </c>
      <c r="E53" t="str">
        <f>_FV(Stock_Purchase[[#This Row],[Instrument]],"Ticker symbol",TRUE)</f>
        <v>TCS</v>
      </c>
      <c r="F53" s="8">
        <f>(Stock_Purchase[[#This Row],[Cur. val]]-Stock_Purchase[[#This Row],[Total Invt]])/Stock_Purchase[[#This Row],[Total Invt]]</f>
        <v>0.2094375</v>
      </c>
      <c r="G53" s="1" cm="1">
        <f t="array" ref="G53">_FV(Stock_Purchase[[#This Row],[Instrument]],"Price")</f>
        <v>3870.2</v>
      </c>
      <c r="H53" s="1">
        <f>Stock_Purchase[[#This Row],[Qty.]]*Stock_Purchase[[#This Row],[Buy Value]]</f>
        <v>320000</v>
      </c>
      <c r="I53" s="1">
        <f>Stock_Purchase[[#This Row],[LTP]]*Stock_Purchase[[#This Row],[Qty.]]</f>
        <v>387020</v>
      </c>
      <c r="J53" s="1">
        <f>Stock_Purchase[[#This Row],[Cur. val]]-Stock_Purchase[[#This Row],[Total Invt]]</f>
        <v>67020</v>
      </c>
      <c r="K53" t="str" cm="1">
        <f t="array" ref="K53">_xlfn.IFS(_FV(Stock_Purchase[[#This Row],[Instrument]],"Market cap",TRUE) &gt;= 20000000000, "Largecap",_FV( Stock_Purchase[[#This Row],[Instrument]],"Market cap",TRUE) &gt;= 5000000000, "Midcap",_FV( Stock_Purchase[[#This Row],[Instrument]],"Market cap",TRUE) &lt; 5000000000, "Smallcap")</f>
        <v>Largecap</v>
      </c>
      <c r="M53" vm="180">
        <f ca="1"/>
        <v>45378</v>
      </c>
      <c r="N53" vm="181">
        <f ca="1"/>
        <v>2985.7</v>
      </c>
      <c r="P53" vm="180">
        <f ca="1"/>
        <v>45378</v>
      </c>
      <c r="Q53" vm="182">
        <f ca="1"/>
        <v>929.95</v>
      </c>
    </row>
    <row r="54" spans="2:17" x14ac:dyDescent="0.35">
      <c r="B54" t="e" vm="48">
        <v>#VALUE!</v>
      </c>
      <c r="C54">
        <v>400</v>
      </c>
      <c r="D54" s="1">
        <v>200</v>
      </c>
      <c r="E54" t="str">
        <f>_FV(Stock_Purchase[[#This Row],[Instrument]],"Ticker symbol",TRUE)</f>
        <v>TDPOWERSYS</v>
      </c>
      <c r="F54" s="8">
        <f>(Stock_Purchase[[#This Row],[Cur. val]]-Stock_Purchase[[#This Row],[Total Invt]])/Stock_Purchase[[#This Row],[Total Invt]]</f>
        <v>0.74099999999999999</v>
      </c>
      <c r="G54" s="1" cm="1">
        <f t="array" ref="G54">_FV(Stock_Purchase[[#This Row],[Instrument]],"Price")</f>
        <v>348.2</v>
      </c>
      <c r="H54" s="1">
        <f>Stock_Purchase[[#This Row],[Qty.]]*Stock_Purchase[[#This Row],[Buy Value]]</f>
        <v>80000</v>
      </c>
      <c r="I54" s="1">
        <f>Stock_Purchase[[#This Row],[LTP]]*Stock_Purchase[[#This Row],[Qty.]]</f>
        <v>139280</v>
      </c>
      <c r="J54" s="1">
        <f>Stock_Purchase[[#This Row],[Cur. val]]-Stock_Purchase[[#This Row],[Total Invt]]</f>
        <v>59280</v>
      </c>
      <c r="K54" t="str" cm="1">
        <f t="array" ref="K54">_xlfn.IFS(_FV(Stock_Purchase[[#This Row],[Instrument]],"Market cap",TRUE) &gt;= 20000000000, "Largecap",_FV( Stock_Purchase[[#This Row],[Instrument]],"Market cap",TRUE) &gt;= 5000000000, "Midcap",_FV( Stock_Purchase[[#This Row],[Instrument]],"Market cap",TRUE) &lt; 5000000000, "Smallcap")</f>
        <v>Largecap</v>
      </c>
      <c r="M54" vm="183">
        <f ca="1"/>
        <v>45379</v>
      </c>
      <c r="N54" vm="184">
        <f ca="1"/>
        <v>2971.7</v>
      </c>
      <c r="P54" vm="183">
        <f ca="1"/>
        <v>45379</v>
      </c>
      <c r="Q54" vm="185">
        <f ca="1"/>
        <v>929.7</v>
      </c>
    </row>
    <row r="55" spans="2:17" x14ac:dyDescent="0.35">
      <c r="B55" t="e" vm="49">
        <v>#VALUE!</v>
      </c>
      <c r="C55">
        <v>50</v>
      </c>
      <c r="D55" s="1">
        <v>2400</v>
      </c>
      <c r="E55" t="str">
        <f>_FV(Stock_Purchase[[#This Row],[Instrument]],"Ticker symbol",TRUE)</f>
        <v>TITAN</v>
      </c>
      <c r="F55" s="8">
        <f>(Stock_Purchase[[#This Row],[Cur. val]]-Stock_Purchase[[#This Row],[Total Invt]])/Stock_Purchase[[#This Row],[Total Invt]]</f>
        <v>0.50202083333333336</v>
      </c>
      <c r="G55" s="1" cm="1">
        <f t="array" ref="G55">_FV(Stock_Purchase[[#This Row],[Instrument]],"Price")</f>
        <v>3604.85</v>
      </c>
      <c r="H55" s="1">
        <f>Stock_Purchase[[#This Row],[Qty.]]*Stock_Purchase[[#This Row],[Buy Value]]</f>
        <v>120000</v>
      </c>
      <c r="I55" s="1">
        <f>Stock_Purchase[[#This Row],[LTP]]*Stock_Purchase[[#This Row],[Qty.]]</f>
        <v>180242.5</v>
      </c>
      <c r="J55" s="1">
        <f>Stock_Purchase[[#This Row],[Cur. val]]-Stock_Purchase[[#This Row],[Total Invt]]</f>
        <v>60242.5</v>
      </c>
      <c r="K55" t="str" cm="1">
        <f t="array" ref="K55">_xlfn.IFS(_FV(Stock_Purchase[[#This Row],[Instrument]],"Market cap",TRUE) &gt;= 20000000000, "Largecap",_FV( Stock_Purchase[[#This Row],[Instrument]],"Market cap",TRUE) &gt;= 5000000000, "Midcap",_FV( Stock_Purchase[[#This Row],[Instrument]],"Market cap",TRUE) &lt; 5000000000, "Smallcap")</f>
        <v>Largecap</v>
      </c>
      <c r="M55" vm="186">
        <f ca="1"/>
        <v>45383</v>
      </c>
      <c r="N55" vm="187">
        <f ca="1"/>
        <v>2969.55</v>
      </c>
      <c r="P55" vm="186">
        <f ca="1"/>
        <v>45383</v>
      </c>
      <c r="Q55" vm="188">
        <f ca="1"/>
        <v>970.15</v>
      </c>
    </row>
    <row r="56" spans="2:17" x14ac:dyDescent="0.35">
      <c r="B56" t="e" vm="50">
        <v>#VALUE!</v>
      </c>
      <c r="C56">
        <v>50</v>
      </c>
      <c r="D56" s="1">
        <v>900</v>
      </c>
      <c r="E56" t="str">
        <f>_FV(Stock_Purchase[[#This Row],[Instrument]],"Ticker symbol",TRUE)</f>
        <v>VOLTAS</v>
      </c>
      <c r="F56" s="8">
        <f>(Stock_Purchase[[#This Row],[Cur. val]]-Stock_Purchase[[#This Row],[Total Invt]])/Stock_Purchase[[#This Row],[Total Invt]]</f>
        <v>0.63072222222222218</v>
      </c>
      <c r="G56" s="1" cm="1">
        <f t="array" ref="G56">_FV(Stock_Purchase[[#This Row],[Instrument]],"Price")</f>
        <v>1467.65</v>
      </c>
      <c r="H56" s="1">
        <f>Stock_Purchase[[#This Row],[Qty.]]*Stock_Purchase[[#This Row],[Buy Value]]</f>
        <v>45000</v>
      </c>
      <c r="I56" s="1">
        <f>Stock_Purchase[[#This Row],[LTP]]*Stock_Purchase[[#This Row],[Qty.]]</f>
        <v>73382.5</v>
      </c>
      <c r="J56" s="1">
        <f>Stock_Purchase[[#This Row],[Cur. val]]-Stock_Purchase[[#This Row],[Total Invt]]</f>
        <v>28382.5</v>
      </c>
      <c r="K56" t="str" cm="1">
        <f t="array" ref="K56">_xlfn.IFS(_FV(Stock_Purchase[[#This Row],[Instrument]],"Market cap",TRUE) &gt;= 20000000000, "Largecap",_FV( Stock_Purchase[[#This Row],[Instrument]],"Market cap",TRUE) &gt;= 5000000000, "Midcap",_FV( Stock_Purchase[[#This Row],[Instrument]],"Market cap",TRUE) &lt; 5000000000, "Smallcap")</f>
        <v>Largecap</v>
      </c>
      <c r="M56" vm="189">
        <f ca="1"/>
        <v>45384</v>
      </c>
      <c r="N56" vm="190">
        <f ca="1"/>
        <v>2973.9</v>
      </c>
      <c r="P56" vm="189">
        <f ca="1"/>
        <v>45384</v>
      </c>
      <c r="Q56" vm="191">
        <f ca="1"/>
        <v>1003.8</v>
      </c>
    </row>
    <row r="57" spans="2:17" x14ac:dyDescent="0.35">
      <c r="D57" s="1"/>
      <c r="F57" s="8"/>
      <c r="G57" s="1"/>
      <c r="H57" s="1"/>
      <c r="I57" s="1"/>
      <c r="J57" s="1"/>
      <c r="M57" vm="192">
        <f ca="1"/>
        <v>45385</v>
      </c>
      <c r="N57" vm="193">
        <f ca="1"/>
        <v>2943.2</v>
      </c>
      <c r="P57" vm="192">
        <f ca="1"/>
        <v>45385</v>
      </c>
      <c r="Q57" vm="194">
        <f ca="1"/>
        <v>1014.65</v>
      </c>
    </row>
    <row r="58" spans="2:17" x14ac:dyDescent="0.35">
      <c r="D58" s="1"/>
      <c r="F58" s="8"/>
      <c r="G58" s="1"/>
      <c r="H58" s="1"/>
      <c r="I58" s="1"/>
      <c r="J58" s="1"/>
      <c r="M58" vm="195">
        <f ca="1"/>
        <v>45386</v>
      </c>
      <c r="N58" vm="196">
        <f ca="1"/>
        <v>2925.85</v>
      </c>
      <c r="P58" vm="195">
        <f ca="1"/>
        <v>45386</v>
      </c>
      <c r="Q58" vm="197">
        <f ca="1"/>
        <v>998.15</v>
      </c>
    </row>
    <row r="59" spans="2:17" x14ac:dyDescent="0.35">
      <c r="D59" s="1"/>
      <c r="F59" s="8"/>
      <c r="G59" s="1"/>
      <c r="H59" s="1"/>
      <c r="I59" s="1"/>
      <c r="J59" s="1"/>
      <c r="M59" vm="198">
        <f ca="1"/>
        <v>45387</v>
      </c>
      <c r="N59" vm="199">
        <f ca="1"/>
        <v>2920.2</v>
      </c>
      <c r="P59" vm="198">
        <f ca="1"/>
        <v>45387</v>
      </c>
      <c r="Q59" vm="200">
        <f ca="1"/>
        <v>1002.95</v>
      </c>
    </row>
    <row r="60" spans="2:17" x14ac:dyDescent="0.35">
      <c r="D60" s="1"/>
      <c r="F60" s="8"/>
      <c r="G60" s="1"/>
      <c r="H60" s="1"/>
      <c r="I60" s="1"/>
      <c r="J60" s="1"/>
      <c r="M60" vm="201">
        <f ca="1"/>
        <v>45390</v>
      </c>
      <c r="N60" vm="202">
        <f ca="1"/>
        <v>2971.95</v>
      </c>
      <c r="P60" vm="201">
        <f ca="1"/>
        <v>45390</v>
      </c>
      <c r="Q60" vm="203">
        <f ca="1"/>
        <v>1014.8</v>
      </c>
    </row>
    <row r="61" spans="2:17" x14ac:dyDescent="0.35">
      <c r="D61" s="1"/>
      <c r="F61" s="8"/>
      <c r="G61" s="1"/>
      <c r="H61" s="1"/>
      <c r="I61" s="1"/>
      <c r="J61" s="1"/>
      <c r="M61" vm="204">
        <f ca="1"/>
        <v>45391</v>
      </c>
      <c r="N61" vm="205">
        <f ca="1"/>
        <v>2927.3</v>
      </c>
      <c r="P61" vm="204">
        <f ca="1"/>
        <v>45391</v>
      </c>
      <c r="Q61" vm="206">
        <f ca="1"/>
        <v>1010.45</v>
      </c>
    </row>
    <row r="62" spans="2:17" x14ac:dyDescent="0.35">
      <c r="D62" s="1"/>
      <c r="F62" s="8"/>
      <c r="G62" s="1"/>
      <c r="H62" s="1"/>
      <c r="I62" s="1"/>
      <c r="J62" s="1"/>
      <c r="M62" vm="207">
        <f ca="1"/>
        <v>45392</v>
      </c>
      <c r="N62" vm="208">
        <f ca="1"/>
        <v>2959.15</v>
      </c>
      <c r="P62" vm="207">
        <f ca="1"/>
        <v>45392</v>
      </c>
      <c r="Q62" vm="209">
        <f ca="1"/>
        <v>1023</v>
      </c>
    </row>
    <row r="63" spans="2:17" x14ac:dyDescent="0.35">
      <c r="D63" s="1"/>
      <c r="F63" s="8"/>
      <c r="G63" s="1"/>
      <c r="H63" s="1"/>
      <c r="I63" s="1"/>
      <c r="J63" s="1"/>
      <c r="M63" vm="210">
        <f ca="1"/>
        <v>45394</v>
      </c>
      <c r="N63" vm="211">
        <f ca="1"/>
        <v>2934.3</v>
      </c>
      <c r="P63" vm="210">
        <f ca="1"/>
        <v>45394</v>
      </c>
      <c r="Q63" vm="212">
        <f ca="1"/>
        <v>1057.6500000000001</v>
      </c>
    </row>
    <row r="64" spans="2:17" x14ac:dyDescent="0.35">
      <c r="D64" s="1"/>
      <c r="F64" s="8"/>
      <c r="G64" s="1"/>
      <c r="H64" s="1"/>
      <c r="I64" s="1"/>
      <c r="J64" s="1"/>
      <c r="M64" vm="213">
        <f ca="1"/>
        <v>45397</v>
      </c>
      <c r="N64" vm="214">
        <f ca="1"/>
        <v>2929.65</v>
      </c>
      <c r="P64" vm="213">
        <f ca="1"/>
        <v>45397</v>
      </c>
      <c r="Q64" vm="215">
        <f ca="1"/>
        <v>1029.5</v>
      </c>
    </row>
    <row r="65" spans="4:17" x14ac:dyDescent="0.35">
      <c r="D65" s="1"/>
      <c r="F65" s="8"/>
      <c r="G65" s="1"/>
      <c r="H65" s="1"/>
      <c r="I65" s="1"/>
      <c r="J65" s="1"/>
      <c r="M65" vm="216">
        <f ca="1"/>
        <v>45398</v>
      </c>
      <c r="N65" vm="217">
        <f ca="1"/>
        <v>2931.5</v>
      </c>
      <c r="P65" vm="216">
        <f ca="1"/>
        <v>45398</v>
      </c>
      <c r="Q65" vm="218">
        <f ca="1"/>
        <v>1016.45</v>
      </c>
    </row>
    <row r="66" spans="4:17" x14ac:dyDescent="0.35">
      <c r="D66" s="1"/>
      <c r="F66" s="8"/>
      <c r="G66" s="1"/>
      <c r="H66" s="1"/>
      <c r="I66" s="1"/>
      <c r="J66" s="1"/>
      <c r="M66" vm="219">
        <f ca="1"/>
        <v>45400</v>
      </c>
      <c r="N66" vm="220">
        <f ca="1"/>
        <v>2928.65</v>
      </c>
      <c r="P66" vm="219">
        <f ca="1"/>
        <v>45400</v>
      </c>
      <c r="Q66" vm="221">
        <f ca="1"/>
        <v>992.95</v>
      </c>
    </row>
    <row r="67" spans="4:17" x14ac:dyDescent="0.35">
      <c r="D67" s="1"/>
      <c r="F67" s="8"/>
      <c r="G67" s="1"/>
      <c r="H67" s="1"/>
      <c r="I67" s="1"/>
      <c r="J67" s="1"/>
      <c r="M67" vm="222">
        <f ca="1"/>
        <v>45401</v>
      </c>
      <c r="N67" vm="223">
        <f ca="1"/>
        <v>2940.25</v>
      </c>
      <c r="P67" vm="222">
        <f ca="1"/>
        <v>45401</v>
      </c>
      <c r="Q67" vm="224">
        <f ca="1"/>
        <v>992</v>
      </c>
    </row>
    <row r="68" spans="4:17" x14ac:dyDescent="0.35">
      <c r="D68" s="1"/>
      <c r="F68" s="8"/>
      <c r="G68" s="1"/>
      <c r="H68" s="1"/>
      <c r="I68" s="1"/>
      <c r="J68" s="1"/>
      <c r="M68" vm="225">
        <f ca="1"/>
        <v>45404</v>
      </c>
      <c r="N68" vm="226">
        <f ca="1"/>
        <v>2959.7</v>
      </c>
      <c r="P68" vm="225">
        <f ca="1"/>
        <v>45404</v>
      </c>
      <c r="Q68" vm="227">
        <f ca="1"/>
        <v>1000.05</v>
      </c>
    </row>
    <row r="69" spans="4:17" x14ac:dyDescent="0.35">
      <c r="D69" s="1"/>
      <c r="F69" s="8"/>
      <c r="G69" s="1"/>
      <c r="H69" s="1"/>
      <c r="I69" s="1"/>
      <c r="J69" s="1"/>
      <c r="M69" vm="228">
        <f ca="1"/>
        <v>45405</v>
      </c>
      <c r="N69" vm="229">
        <f ca="1"/>
        <v>2918.65</v>
      </c>
      <c r="P69" vm="228">
        <f ca="1"/>
        <v>45405</v>
      </c>
      <c r="Q69" vm="230">
        <f ca="1"/>
        <v>1016.3</v>
      </c>
    </row>
    <row r="70" spans="4:17" x14ac:dyDescent="0.35">
      <c r="D70" s="1"/>
      <c r="F70" s="8"/>
      <c r="G70" s="1"/>
      <c r="H70" s="1"/>
      <c r="I70" s="1"/>
      <c r="J70" s="1"/>
      <c r="M70" vm="231">
        <f ca="1"/>
        <v>45406</v>
      </c>
      <c r="N70" vm="232">
        <f ca="1"/>
        <v>2900.35</v>
      </c>
      <c r="P70" vm="231">
        <f ca="1"/>
        <v>45406</v>
      </c>
      <c r="Q70" vm="233">
        <f ca="1"/>
        <v>1025.3499999999999</v>
      </c>
    </row>
    <row r="71" spans="4:17" x14ac:dyDescent="0.35">
      <c r="D71" s="1"/>
      <c r="F71" s="8"/>
      <c r="G71" s="1"/>
      <c r="H71" s="1"/>
      <c r="I71" s="1"/>
      <c r="J71" s="1"/>
      <c r="M71" vm="234">
        <f ca="1"/>
        <v>45407</v>
      </c>
      <c r="N71" vm="235">
        <f ca="1"/>
        <v>2919.95</v>
      </c>
      <c r="P71" vm="234">
        <f ca="1"/>
        <v>45407</v>
      </c>
      <c r="Q71" vm="236">
        <f ca="1"/>
        <v>1027.8</v>
      </c>
    </row>
    <row r="72" spans="4:17" x14ac:dyDescent="0.35">
      <c r="D72" s="1"/>
      <c r="F72" s="8"/>
      <c r="G72" s="1"/>
      <c r="H72" s="1"/>
      <c r="I72" s="1"/>
      <c r="J72" s="1"/>
      <c r="M72" vm="237">
        <f ca="1"/>
        <v>45408</v>
      </c>
      <c r="N72" vm="238">
        <f ca="1"/>
        <v>2905.1</v>
      </c>
      <c r="P72" vm="237">
        <f ca="1"/>
        <v>45408</v>
      </c>
      <c r="Q72" vm="239">
        <f ca="1"/>
        <v>1044.45</v>
      </c>
    </row>
    <row r="73" spans="4:17" x14ac:dyDescent="0.35">
      <c r="D73" s="1"/>
      <c r="F73" s="8"/>
      <c r="G73" s="1"/>
      <c r="H73" s="1"/>
      <c r="I73" s="1"/>
      <c r="J73" s="1"/>
      <c r="M73" vm="240">
        <f ca="1"/>
        <v>45411</v>
      </c>
      <c r="N73" vm="241">
        <f ca="1"/>
        <v>2930.05</v>
      </c>
      <c r="P73" vm="240">
        <f ca="1"/>
        <v>45411</v>
      </c>
      <c r="Q73" vm="242">
        <f ca="1"/>
        <v>1045.25</v>
      </c>
    </row>
    <row r="74" spans="4:17" x14ac:dyDescent="0.35">
      <c r="D74" s="1"/>
      <c r="F74" s="8"/>
      <c r="G74" s="1"/>
      <c r="H74" s="1"/>
      <c r="I74" s="1"/>
      <c r="J74" s="1"/>
    </row>
    <row r="75" spans="4:17" x14ac:dyDescent="0.35">
      <c r="D75" s="1"/>
      <c r="F75" s="8"/>
      <c r="G75" s="1"/>
      <c r="H75" s="1"/>
      <c r="I75" s="1"/>
      <c r="J75" s="1"/>
    </row>
    <row r="76" spans="4:17" x14ac:dyDescent="0.35">
      <c r="D76" s="1"/>
      <c r="F76" s="8"/>
      <c r="G76" s="1"/>
      <c r="H76" s="1"/>
      <c r="I76" s="1"/>
      <c r="J76" s="1"/>
    </row>
    <row r="77" spans="4:17" x14ac:dyDescent="0.35">
      <c r="D77" s="1"/>
      <c r="F77" s="8"/>
      <c r="G77" s="1"/>
      <c r="H77" s="1"/>
      <c r="I77" s="1"/>
      <c r="J77" s="1"/>
    </row>
    <row r="78" spans="4:17" x14ac:dyDescent="0.35">
      <c r="D78" s="1"/>
      <c r="F78" s="8"/>
      <c r="G78" s="1"/>
      <c r="H78" s="1"/>
      <c r="I78" s="1"/>
      <c r="J78" s="1"/>
    </row>
    <row r="79" spans="4:17" x14ac:dyDescent="0.35">
      <c r="D79" s="1"/>
      <c r="F79" s="8"/>
      <c r="G79" s="1"/>
      <c r="H79" s="1"/>
      <c r="I79" s="1"/>
      <c r="J79" s="1"/>
    </row>
    <row r="80" spans="4:17" x14ac:dyDescent="0.35">
      <c r="D80" s="1"/>
      <c r="F80" s="8"/>
      <c r="G80" s="1"/>
      <c r="H80" s="1"/>
      <c r="I80" s="1"/>
      <c r="J80" s="1"/>
    </row>
    <row r="81" spans="4:10" x14ac:dyDescent="0.35">
      <c r="D81" s="1"/>
      <c r="F81" s="8"/>
      <c r="G81" s="1"/>
      <c r="H81" s="1"/>
      <c r="I81" s="1"/>
      <c r="J81" s="1"/>
    </row>
    <row r="82" spans="4:10" x14ac:dyDescent="0.35">
      <c r="D82" s="1"/>
      <c r="F82" s="8"/>
      <c r="G82" s="1"/>
      <c r="H82" s="1"/>
      <c r="I82" s="1"/>
      <c r="J82" s="1"/>
    </row>
    <row r="83" spans="4:10" x14ac:dyDescent="0.35">
      <c r="D83" s="1"/>
      <c r="F83" s="8"/>
      <c r="G83" s="1"/>
      <c r="H83" s="1"/>
      <c r="I83" s="1"/>
      <c r="J83" s="1"/>
    </row>
    <row r="84" spans="4:10" x14ac:dyDescent="0.35">
      <c r="D84" s="1"/>
      <c r="F84" s="8"/>
      <c r="G84" s="1"/>
      <c r="H84" s="1"/>
      <c r="I84" s="1"/>
      <c r="J84" s="1"/>
    </row>
    <row r="85" spans="4:10" x14ac:dyDescent="0.35">
      <c r="D85" s="1"/>
      <c r="F85" s="8"/>
      <c r="G85" s="1"/>
      <c r="H85" s="1"/>
      <c r="I85" s="1"/>
      <c r="J85" s="1"/>
    </row>
    <row r="86" spans="4:10" x14ac:dyDescent="0.35">
      <c r="D86" s="1"/>
      <c r="F86" s="8"/>
      <c r="G86" s="1"/>
      <c r="H86" s="1"/>
      <c r="I86" s="1"/>
      <c r="J86" s="1"/>
    </row>
    <row r="87" spans="4:10" x14ac:dyDescent="0.35">
      <c r="D87" s="1"/>
      <c r="F87" s="8"/>
      <c r="G87" s="1"/>
      <c r="H87" s="1"/>
      <c r="I87" s="1"/>
      <c r="J87" s="1"/>
    </row>
    <row r="88" spans="4:10" x14ac:dyDescent="0.35">
      <c r="D88" s="1"/>
      <c r="F88" s="8"/>
      <c r="G88" s="1"/>
      <c r="H88" s="1"/>
      <c r="I88" s="1"/>
      <c r="J88" s="1"/>
    </row>
    <row r="89" spans="4:10" x14ac:dyDescent="0.35">
      <c r="D89" s="1"/>
      <c r="F89" s="8"/>
      <c r="G89" s="1"/>
      <c r="H89" s="1"/>
      <c r="I89" s="1"/>
      <c r="J89" s="1"/>
    </row>
    <row r="90" spans="4:10" x14ac:dyDescent="0.35">
      <c r="D90" s="1"/>
      <c r="F90" s="8"/>
      <c r="G90" s="1"/>
      <c r="H90" s="1"/>
      <c r="I90" s="1"/>
      <c r="J90" s="1"/>
    </row>
    <row r="91" spans="4:10" x14ac:dyDescent="0.35">
      <c r="D91" s="1"/>
      <c r="F91" s="8"/>
      <c r="G91" s="1"/>
      <c r="H91" s="1"/>
      <c r="I91" s="1"/>
      <c r="J91" s="1"/>
    </row>
    <row r="92" spans="4:10" x14ac:dyDescent="0.35">
      <c r="D92" s="1"/>
      <c r="F92" s="8"/>
      <c r="G92" s="1"/>
      <c r="H92" s="1"/>
      <c r="I92" s="1"/>
      <c r="J92" s="1"/>
    </row>
    <row r="93" spans="4:10" x14ac:dyDescent="0.35">
      <c r="D93" s="1"/>
      <c r="F93" s="8"/>
      <c r="G93" s="1"/>
      <c r="H93" s="1"/>
      <c r="I93" s="1"/>
      <c r="J93" s="1"/>
    </row>
    <row r="94" spans="4:10" x14ac:dyDescent="0.35">
      <c r="D94" s="1"/>
      <c r="F94" s="8"/>
      <c r="G94" s="1"/>
      <c r="H94" s="1"/>
      <c r="I94" s="1"/>
      <c r="J94" s="1"/>
    </row>
    <row r="95" spans="4:10" x14ac:dyDescent="0.35">
      <c r="D95" s="1"/>
      <c r="F95" s="8"/>
      <c r="G95" s="1"/>
      <c r="H95" s="1"/>
      <c r="I95" s="1"/>
      <c r="J95" s="1"/>
    </row>
    <row r="96" spans="4:10" x14ac:dyDescent="0.35">
      <c r="D96" s="1"/>
      <c r="F96" s="8"/>
      <c r="G96" s="1"/>
      <c r="H96" s="1"/>
      <c r="I96" s="1"/>
      <c r="J96" s="1"/>
    </row>
    <row r="97" spans="4:10" x14ac:dyDescent="0.35">
      <c r="D97" s="1"/>
      <c r="F97" s="8"/>
      <c r="G97" s="1"/>
      <c r="H97" s="1"/>
      <c r="I97" s="1"/>
      <c r="J97" s="1"/>
    </row>
    <row r="98" spans="4:10" x14ac:dyDescent="0.35">
      <c r="D98" s="1"/>
      <c r="F98" s="8"/>
      <c r="G98" s="1"/>
      <c r="H98" s="1"/>
      <c r="I98" s="1"/>
      <c r="J98" s="1"/>
    </row>
    <row r="99" spans="4:10" x14ac:dyDescent="0.35">
      <c r="D99" s="1"/>
      <c r="F99" s="8"/>
      <c r="G99" s="1"/>
      <c r="H99" s="1"/>
      <c r="I99" s="1"/>
      <c r="J99" s="1"/>
    </row>
    <row r="100" spans="4:10" x14ac:dyDescent="0.35">
      <c r="D100" s="1"/>
      <c r="F100" s="8"/>
      <c r="G100" s="1"/>
      <c r="H100" s="1"/>
      <c r="I100" s="1"/>
      <c r="J100" s="1"/>
    </row>
    <row r="101" spans="4:10" x14ac:dyDescent="0.35">
      <c r="D101" s="1"/>
      <c r="F101" s="8"/>
      <c r="G101" s="1"/>
      <c r="H101" s="1"/>
      <c r="I101" s="1"/>
      <c r="J101" s="1"/>
    </row>
    <row r="102" spans="4:10" x14ac:dyDescent="0.35">
      <c r="D102" s="1"/>
      <c r="F102" s="8"/>
      <c r="G102" s="1"/>
      <c r="H102" s="1"/>
      <c r="I102" s="1"/>
      <c r="J102" s="1"/>
    </row>
    <row r="103" spans="4:10" x14ac:dyDescent="0.35">
      <c r="D103" s="1"/>
      <c r="F103" s="8"/>
      <c r="G103" s="1"/>
      <c r="H103" s="1"/>
      <c r="I103" s="1"/>
      <c r="J103" s="1"/>
    </row>
    <row r="104" spans="4:10" x14ac:dyDescent="0.35">
      <c r="D104" s="1"/>
      <c r="F104" s="8"/>
      <c r="G104" s="1"/>
      <c r="H104" s="1"/>
      <c r="I104" s="1"/>
      <c r="J104" s="1"/>
    </row>
    <row r="105" spans="4:10" x14ac:dyDescent="0.35">
      <c r="D105" s="1"/>
      <c r="F105" s="8"/>
      <c r="G105" s="1"/>
      <c r="H105" s="1"/>
      <c r="I105" s="1"/>
      <c r="J105" s="1"/>
    </row>
    <row r="106" spans="4:10" x14ac:dyDescent="0.35">
      <c r="D106" s="1"/>
      <c r="F106" s="8"/>
      <c r="G106" s="1"/>
      <c r="H106" s="1"/>
      <c r="I106" s="1"/>
      <c r="J106" s="1"/>
    </row>
    <row r="107" spans="4:10" x14ac:dyDescent="0.35">
      <c r="D107" s="1"/>
      <c r="F107" s="8"/>
      <c r="G107" s="1"/>
      <c r="H107" s="1"/>
      <c r="I107" s="1"/>
      <c r="J107" s="1"/>
    </row>
    <row r="108" spans="4:10" x14ac:dyDescent="0.35">
      <c r="D108" s="1"/>
      <c r="F108" s="8"/>
      <c r="G108" s="1"/>
      <c r="H108" s="1"/>
      <c r="I108" s="1"/>
      <c r="J108" s="1"/>
    </row>
    <row r="109" spans="4:10" x14ac:dyDescent="0.35">
      <c r="D109" s="1"/>
      <c r="F109" s="8"/>
      <c r="G109" s="1"/>
      <c r="H109" s="1"/>
      <c r="I109" s="1"/>
      <c r="J109" s="1"/>
    </row>
    <row r="110" spans="4:10" x14ac:dyDescent="0.35">
      <c r="D110" s="1"/>
      <c r="F110" s="8"/>
      <c r="G110" s="1"/>
      <c r="H110" s="1"/>
      <c r="I110" s="1"/>
      <c r="J110" s="1"/>
    </row>
    <row r="111" spans="4:10" x14ac:dyDescent="0.35">
      <c r="D111" s="1"/>
      <c r="F111" s="8"/>
      <c r="G111" s="1"/>
      <c r="H111" s="1"/>
      <c r="I111" s="1"/>
      <c r="J111" s="1"/>
    </row>
    <row r="112" spans="4:10" x14ac:dyDescent="0.35">
      <c r="D112" s="1"/>
      <c r="F112" s="8"/>
      <c r="G112" s="1"/>
      <c r="H112" s="1"/>
      <c r="I112" s="1"/>
      <c r="J112" s="1"/>
    </row>
    <row r="113" spans="4:10" x14ac:dyDescent="0.35">
      <c r="D113" s="1"/>
      <c r="F113" s="8"/>
      <c r="G113" s="1"/>
      <c r="H113" s="1"/>
      <c r="I113" s="1"/>
      <c r="J113" s="1"/>
    </row>
    <row r="114" spans="4:10" x14ac:dyDescent="0.35">
      <c r="D114" s="1"/>
      <c r="F114" s="8"/>
      <c r="G114" s="1"/>
      <c r="H114" s="1"/>
      <c r="I114" s="1"/>
      <c r="J114" s="1"/>
    </row>
    <row r="115" spans="4:10" x14ac:dyDescent="0.35">
      <c r="D115" s="1"/>
      <c r="F115" s="8"/>
      <c r="G115" s="1"/>
      <c r="H115" s="1"/>
      <c r="I115" s="1"/>
      <c r="J115" s="1"/>
    </row>
    <row r="116" spans="4:10" x14ac:dyDescent="0.35">
      <c r="D116" s="1"/>
      <c r="F116" s="8"/>
      <c r="G116" s="1"/>
      <c r="H116" s="1"/>
      <c r="I116" s="1"/>
      <c r="J116" s="1"/>
    </row>
    <row r="117" spans="4:10" x14ac:dyDescent="0.35">
      <c r="D117" s="1"/>
      <c r="F117" s="8"/>
      <c r="G117" s="1"/>
      <c r="H117" s="1"/>
      <c r="I117" s="1"/>
      <c r="J117" s="1"/>
    </row>
    <row r="118" spans="4:10" x14ac:dyDescent="0.35">
      <c r="D118" s="1"/>
      <c r="F118" s="8"/>
      <c r="G118" s="1"/>
      <c r="H118" s="1"/>
      <c r="I118" s="1"/>
      <c r="J118" s="1"/>
    </row>
    <row r="119" spans="4:10" x14ac:dyDescent="0.35">
      <c r="D119" s="1"/>
      <c r="F119" s="8"/>
      <c r="G119" s="1"/>
      <c r="H119" s="1"/>
      <c r="I119" s="1"/>
      <c r="J119" s="1"/>
    </row>
    <row r="120" spans="4:10" x14ac:dyDescent="0.35">
      <c r="D120" s="1"/>
      <c r="F120" s="8"/>
      <c r="G120" s="1"/>
      <c r="H120" s="1"/>
      <c r="I120" s="1"/>
      <c r="J120" s="1"/>
    </row>
    <row r="121" spans="4:10" x14ac:dyDescent="0.35">
      <c r="D121" s="1"/>
      <c r="F121" s="8"/>
      <c r="G121" s="1"/>
      <c r="H121" s="1"/>
      <c r="I121" s="1"/>
      <c r="J121" s="1"/>
    </row>
    <row r="122" spans="4:10" x14ac:dyDescent="0.35">
      <c r="D122" s="1"/>
      <c r="F122" s="8"/>
      <c r="G122" s="1"/>
      <c r="H122" s="1"/>
      <c r="I122" s="1"/>
      <c r="J122" s="1"/>
    </row>
    <row r="123" spans="4:10" x14ac:dyDescent="0.35">
      <c r="D123" s="1"/>
      <c r="F123" s="8"/>
      <c r="G123" s="1"/>
      <c r="H123" s="1"/>
      <c r="I123" s="1"/>
      <c r="J123" s="1"/>
    </row>
    <row r="124" spans="4:10" x14ac:dyDescent="0.35">
      <c r="D124" s="1"/>
      <c r="F124" s="8"/>
      <c r="G124" s="1"/>
      <c r="H124" s="1"/>
      <c r="I124" s="1"/>
      <c r="J124" s="1"/>
    </row>
  </sheetData>
  <phoneticPr fontId="18" type="noConversion"/>
  <hyperlinks>
    <hyperlink ref="K1" r:id="rId1" display="https://www.youtube.com/channel/UCfpu_Mq1dV25IKMjYUfd0pA" xr:uid="{258727AC-9E8A-4239-BD87-6968FD7B509C}"/>
  </hyperlinks>
  <pageMargins left="0.7" right="0.7" top="0.75" bottom="0.75" header="0.3" footer="0.3"/>
  <pageSetup scale="43" orientation="portrait"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E6D2E9B8-A0C0-4A05-AFA7-D9B509AFCD5F}">
          <x14:formula1>
            <xm:f>Analysis!$A$94:$A$162</xm:f>
          </x14:formula1>
          <xm:sqref>H251:H1048576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F9BD0-0DD2-413A-99CC-70A0BC5A9248}">
  <sheetPr codeName="Sheet3"/>
  <dimension ref="A1:I11"/>
  <sheetViews>
    <sheetView showGridLines="0" zoomScaleNormal="100" workbookViewId="0"/>
  </sheetViews>
  <sheetFormatPr defaultRowHeight="14.5" x14ac:dyDescent="0.35"/>
  <cols>
    <col min="2" max="2" width="44.453125" bestFit="1" customWidth="1"/>
    <col min="4" max="4" width="11" customWidth="1"/>
    <col min="5" max="5" width="11.54296875" customWidth="1"/>
    <col min="6" max="7" width="14.26953125" bestFit="1" customWidth="1"/>
    <col min="8" max="8" width="12.1796875" bestFit="1" customWidth="1"/>
    <col min="9" max="9" width="13.26953125" customWidth="1"/>
  </cols>
  <sheetData>
    <row r="1" spans="1:9" s="15" customFormat="1" ht="52.5" customHeight="1" x14ac:dyDescent="0.35">
      <c r="A1" s="23"/>
      <c r="B1" s="16" t="s">
        <v>47</v>
      </c>
      <c r="D1" s="16"/>
    </row>
    <row r="6" spans="1:9" x14ac:dyDescent="0.35">
      <c r="B6" s="4" t="s">
        <v>0</v>
      </c>
      <c r="C6" s="4" t="s">
        <v>1</v>
      </c>
      <c r="D6" s="4" t="s">
        <v>43</v>
      </c>
      <c r="E6" s="4" t="s">
        <v>2</v>
      </c>
      <c r="F6" s="4" t="s">
        <v>6</v>
      </c>
      <c r="G6" s="4" t="s">
        <v>3</v>
      </c>
      <c r="H6" s="4" t="s">
        <v>4</v>
      </c>
      <c r="I6" s="4" t="s">
        <v>11</v>
      </c>
    </row>
    <row r="7" spans="1:9" x14ac:dyDescent="0.35">
      <c r="B7" s="2" t="e" vm="51">
        <v>#VALUE!</v>
      </c>
      <c r="C7" s="2">
        <v>1800</v>
      </c>
      <c r="D7" s="3">
        <v>20</v>
      </c>
      <c r="E7" s="1" cm="1">
        <f t="array" ref="E7">_FV(Mutual_Fund[[#This Row],[Instrument]],"Price")</f>
        <v>38.020000000000003</v>
      </c>
      <c r="F7" s="3">
        <f>Mutual_Fund[[#This Row],[Qty.]]*Mutual_Fund[[#This Row],[Buy Value]]</f>
        <v>36000</v>
      </c>
      <c r="G7" s="3">
        <f>Mutual_Fund[[#This Row],[LTP]]*Mutual_Fund[[#This Row],[Qty.]]</f>
        <v>68436</v>
      </c>
      <c r="H7" s="3">
        <f>Mutual_Fund[[#This Row],[Cur. val]]-Mutual_Fund[[#This Row],[Total Invt]]</f>
        <v>32436</v>
      </c>
      <c r="I7" s="8">
        <f>(Mutual_Fund[[#This Row],[Cur. val]]-Mutual_Fund[[#This Row],[Total Invt]])/Mutual_Fund[[#This Row],[Total Invt]]</f>
        <v>0.90100000000000002</v>
      </c>
    </row>
    <row r="8" spans="1:9" x14ac:dyDescent="0.35">
      <c r="B8" s="2" t="e" vm="52">
        <v>#VALUE!</v>
      </c>
      <c r="C8" s="2">
        <v>2200</v>
      </c>
      <c r="D8" s="3">
        <v>20</v>
      </c>
      <c r="E8" s="1" cm="1">
        <f t="array" ref="E8">_FV(Mutual_Fund[[#This Row],[Instrument]],"Price")</f>
        <v>77.418199999999999</v>
      </c>
      <c r="F8" s="3">
        <f>Mutual_Fund[[#This Row],[Qty.]]*Mutual_Fund[[#This Row],[Buy Value]]</f>
        <v>44000</v>
      </c>
      <c r="G8" s="3">
        <f>Mutual_Fund[[#This Row],[LTP]]*Mutual_Fund[[#This Row],[Qty.]]</f>
        <v>170320.04</v>
      </c>
      <c r="H8" s="3">
        <f>Mutual_Fund[[#This Row],[Cur. val]]-Mutual_Fund[[#This Row],[Total Invt]]</f>
        <v>126320.04000000001</v>
      </c>
      <c r="I8" s="8">
        <f>(Mutual_Fund[[#This Row],[Cur. val]]-Mutual_Fund[[#This Row],[Total Invt]])/Mutual_Fund[[#This Row],[Total Invt]]</f>
        <v>2.8709100000000003</v>
      </c>
    </row>
    <row r="9" spans="1:9" x14ac:dyDescent="0.35">
      <c r="B9" s="2" t="e" vm="53">
        <v>#VALUE!</v>
      </c>
      <c r="C9" s="2">
        <v>20</v>
      </c>
      <c r="D9" s="3">
        <v>100</v>
      </c>
      <c r="E9" s="1" cm="1">
        <f t="array" ref="E9">_FV(Mutual_Fund[[#This Row],[Instrument]],"Price")</f>
        <v>269.77969999999999</v>
      </c>
      <c r="F9" s="3">
        <f>Mutual_Fund[[#This Row],[Qty.]]*Mutual_Fund[[#This Row],[Buy Value]]</f>
        <v>2000</v>
      </c>
      <c r="G9" s="3">
        <f>Mutual_Fund[[#This Row],[LTP]]*Mutual_Fund[[#This Row],[Qty.]]</f>
        <v>5395.5940000000001</v>
      </c>
      <c r="H9" s="3">
        <f>Mutual_Fund[[#This Row],[Cur. val]]-Mutual_Fund[[#This Row],[Total Invt]]</f>
        <v>3395.5940000000001</v>
      </c>
      <c r="I9" s="8">
        <f>(Mutual_Fund[[#This Row],[Cur. val]]-Mutual_Fund[[#This Row],[Total Invt]])/Mutual_Fund[[#This Row],[Total Invt]]</f>
        <v>1.697797</v>
      </c>
    </row>
    <row r="10" spans="1:9" x14ac:dyDescent="0.35">
      <c r="B10" s="2" t="e" vm="54">
        <v>#VALUE!</v>
      </c>
      <c r="C10" s="2">
        <v>100</v>
      </c>
      <c r="D10" s="3">
        <v>30</v>
      </c>
      <c r="E10" s="1" cm="1">
        <f t="array" ref="E10">_FV(Mutual_Fund[[#This Row],[Instrument]],"Price")</f>
        <v>61.95</v>
      </c>
      <c r="F10" s="3">
        <f>Mutual_Fund[[#This Row],[Qty.]]*Mutual_Fund[[#This Row],[Buy Value]]</f>
        <v>3000</v>
      </c>
      <c r="G10" s="3">
        <f>Mutual_Fund[[#This Row],[LTP]]*Mutual_Fund[[#This Row],[Qty.]]</f>
        <v>6195</v>
      </c>
      <c r="H10" s="3">
        <f>Mutual_Fund[[#This Row],[Cur. val]]-Mutual_Fund[[#This Row],[Total Invt]]</f>
        <v>3195</v>
      </c>
      <c r="I10" s="8">
        <f>(Mutual_Fund[[#This Row],[Cur. val]]-Mutual_Fund[[#This Row],[Total Invt]])/Mutual_Fund[[#This Row],[Total Invt]]</f>
        <v>1.0649999999999999</v>
      </c>
    </row>
    <row r="11" spans="1:9" x14ac:dyDescent="0.35">
      <c r="B11" s="63" t="e" vm="55">
        <v>#VALUE!</v>
      </c>
      <c r="C11" s="63">
        <v>120</v>
      </c>
      <c r="D11" s="64">
        <v>120</v>
      </c>
      <c r="E11" s="1" cm="1">
        <f t="array" ref="E11">_FV(Mutual_Fund[[#This Row],[Instrument]],"Price")</f>
        <v>141.15899999999999</v>
      </c>
      <c r="F11" s="3">
        <f>Mutual_Fund[[#This Row],[Qty.]]*Mutual_Fund[[#This Row],[Buy Value]]</f>
        <v>14400</v>
      </c>
      <c r="G11" s="3">
        <f>Mutual_Fund[[#This Row],[LTP]]*Mutual_Fund[[#This Row],[Qty.]]</f>
        <v>16939.079999999998</v>
      </c>
      <c r="H11" s="3">
        <f>Mutual_Fund[[#This Row],[Cur. val]]-Mutual_Fund[[#This Row],[Total Invt]]</f>
        <v>2539.0799999999981</v>
      </c>
      <c r="I11" s="8">
        <f>(Mutual_Fund[[#This Row],[Cur. val]]-Mutual_Fund[[#This Row],[Total Invt]])/Mutual_Fund[[#This Row],[Total Invt]]</f>
        <v>0.17632499999999987</v>
      </c>
    </row>
  </sheetData>
  <pageMargins left="0.7" right="0.7" top="0.75" bottom="0.75" header="0.3" footer="0.3"/>
  <pageSetup scale="58"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D5E9-9494-4BAD-A946-347CB5F383D2}">
  <sheetPr codeName="Sheet4"/>
  <dimension ref="A1:D7"/>
  <sheetViews>
    <sheetView showGridLines="0" zoomScaleNormal="100" workbookViewId="0"/>
  </sheetViews>
  <sheetFormatPr defaultRowHeight="14.5" x14ac:dyDescent="0.35"/>
  <cols>
    <col min="2" max="2" width="49.7265625" customWidth="1"/>
    <col min="3" max="3" width="14.1796875" customWidth="1"/>
    <col min="4" max="4" width="31.81640625" customWidth="1"/>
  </cols>
  <sheetData>
    <row r="1" spans="1:4" s="15" customFormat="1" ht="52.5" customHeight="1" x14ac:dyDescent="0.35">
      <c r="A1" s="23"/>
      <c r="B1" s="16" t="s">
        <v>45</v>
      </c>
      <c r="D1" s="16"/>
    </row>
    <row r="3" spans="1:4" x14ac:dyDescent="0.35">
      <c r="B3" s="71" t="s">
        <v>44</v>
      </c>
      <c r="C3" s="71"/>
      <c r="D3" s="71"/>
    </row>
    <row r="4" spans="1:4" x14ac:dyDescent="0.35">
      <c r="B4" s="61" t="s">
        <v>0</v>
      </c>
      <c r="C4" s="61" t="s">
        <v>1</v>
      </c>
      <c r="D4" s="61" t="s">
        <v>43</v>
      </c>
    </row>
    <row r="5" spans="1:4" ht="41.5" customHeight="1" x14ac:dyDescent="0.35">
      <c r="B5" s="58"/>
      <c r="C5" s="57"/>
      <c r="D5" s="57"/>
    </row>
    <row r="6" spans="1:4" x14ac:dyDescent="0.35">
      <c r="B6" s="62"/>
      <c r="C6" s="62"/>
      <c r="D6" s="62"/>
    </row>
    <row r="7" spans="1:4" x14ac:dyDescent="0.35">
      <c r="B7" s="59"/>
      <c r="C7" s="60"/>
      <c r="D7" s="60"/>
    </row>
  </sheetData>
  <mergeCells count="1">
    <mergeCell ref="B3:D3"/>
  </mergeCells>
  <pageMargins left="0.7" right="0.7" top="0.75" bottom="0.75" header="0.3" footer="0.3"/>
  <pageSetup scale="74" orientation="portrait" r:id="rId1"/>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dd_Stocks">
                <anchor moveWithCells="1" sizeWithCells="1">
                  <from>
                    <xdr:col>1</xdr:col>
                    <xdr:colOff>546100</xdr:colOff>
                    <xdr:row>9</xdr:row>
                    <xdr:rowOff>152400</xdr:rowOff>
                  </from>
                  <to>
                    <xdr:col>1</xdr:col>
                    <xdr:colOff>2717800</xdr:colOff>
                    <xdr:row>12</xdr:row>
                    <xdr:rowOff>146050</xdr:rowOff>
                  </to>
                </anchor>
              </controlPr>
            </control>
          </mc:Choice>
        </mc:AlternateContent>
        <mc:AlternateContent xmlns:mc="http://schemas.openxmlformats.org/markup-compatibility/2006">
          <mc:Choice Requires="x14">
            <control shapeId="5122" r:id="rId5" name="Button 2">
              <controlPr defaultSize="0" print="0" autoFill="0" autoPict="0" macro="[0]!Add_Mutal_Fund">
                <anchor moveWithCells="1" sizeWithCells="1">
                  <from>
                    <xdr:col>2</xdr:col>
                    <xdr:colOff>800100</xdr:colOff>
                    <xdr:row>9</xdr:row>
                    <xdr:rowOff>165100</xdr:rowOff>
                  </from>
                  <to>
                    <xdr:col>3</xdr:col>
                    <xdr:colOff>1689100</xdr:colOff>
                    <xdr:row>12</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12342-717D-42C1-9013-169EFE32D522}">
  <sheetPr codeName="Sheet5"/>
  <dimension ref="A3:IR184"/>
  <sheetViews>
    <sheetView zoomScaleNormal="100" workbookViewId="0"/>
  </sheetViews>
  <sheetFormatPr defaultRowHeight="14.5" x14ac:dyDescent="0.35"/>
  <cols>
    <col min="1" max="1" width="12.6328125" bestFit="1" customWidth="1"/>
    <col min="2" max="2" width="15.26953125" bestFit="1" customWidth="1"/>
    <col min="3" max="3" width="11.90625" bestFit="1" customWidth="1"/>
    <col min="4" max="4" width="72.36328125" bestFit="1" customWidth="1"/>
    <col min="5" max="5" width="41.7265625" bestFit="1" customWidth="1"/>
    <col min="6" max="6" width="40" bestFit="1" customWidth="1"/>
    <col min="7" max="7" width="43.1796875" bestFit="1" customWidth="1"/>
    <col min="8" max="8" width="45.7265625" bestFit="1" customWidth="1"/>
    <col min="9" max="9" width="56.453125" bestFit="1" customWidth="1"/>
    <col min="10" max="10" width="59.453125" bestFit="1" customWidth="1"/>
    <col min="11" max="11" width="34.54296875" bestFit="1" customWidth="1"/>
    <col min="12" max="12" width="41" bestFit="1" customWidth="1"/>
    <col min="13" max="13" width="49.54296875" bestFit="1" customWidth="1"/>
    <col min="14" max="14" width="58.7265625" bestFit="1" customWidth="1"/>
    <col min="15" max="15" width="45.54296875" bestFit="1" customWidth="1"/>
    <col min="16" max="16" width="41.54296875" bestFit="1" customWidth="1"/>
    <col min="17" max="17" width="36.26953125" bestFit="1" customWidth="1"/>
    <col min="18" max="18" width="48" bestFit="1" customWidth="1"/>
    <col min="19" max="19" width="41" bestFit="1" customWidth="1"/>
    <col min="20" max="20" width="23.54296875" bestFit="1" customWidth="1"/>
    <col min="21" max="21" width="74.26953125" bestFit="1" customWidth="1"/>
    <col min="22" max="22" width="21.453125" bestFit="1" customWidth="1"/>
    <col min="23" max="23" width="36.1796875" bestFit="1" customWidth="1"/>
    <col min="24" max="24" width="43.1796875" bestFit="1" customWidth="1"/>
    <col min="25" max="25" width="40.81640625" bestFit="1" customWidth="1"/>
    <col min="26" max="26" width="45.26953125" bestFit="1" customWidth="1"/>
    <col min="27" max="27" width="42.81640625" bestFit="1" customWidth="1"/>
    <col min="28" max="28" width="39.81640625" bestFit="1" customWidth="1"/>
    <col min="29" max="29" width="47.453125" bestFit="1" customWidth="1"/>
    <col min="30" max="30" width="45.7265625" bestFit="1" customWidth="1"/>
    <col min="31" max="31" width="59.26953125" bestFit="1" customWidth="1"/>
    <col min="32" max="32" width="43.81640625" bestFit="1" customWidth="1"/>
    <col min="33" max="33" width="38.453125" bestFit="1" customWidth="1"/>
    <col min="34" max="34" width="39.26953125" bestFit="1" customWidth="1"/>
    <col min="35" max="35" width="42.1796875" bestFit="1" customWidth="1"/>
    <col min="36" max="36" width="44.453125" bestFit="1" customWidth="1"/>
    <col min="37" max="37" width="29.7265625" bestFit="1" customWidth="1"/>
    <col min="38" max="38" width="57" bestFit="1" customWidth="1"/>
    <col min="39" max="39" width="30.81640625" bestFit="1" customWidth="1"/>
    <col min="40" max="40" width="39.453125" bestFit="1" customWidth="1"/>
    <col min="41" max="41" width="41.54296875" bestFit="1" customWidth="1"/>
    <col min="42" max="42" width="46.81640625" bestFit="1" customWidth="1"/>
    <col min="43" max="43" width="55.453125" bestFit="1" customWidth="1"/>
    <col min="44" max="44" width="35.1796875" bestFit="1" customWidth="1"/>
    <col min="45" max="45" width="41.81640625" bestFit="1" customWidth="1"/>
    <col min="46" max="46" width="35.7265625" bestFit="1" customWidth="1"/>
    <col min="47" max="47" width="53.54296875" bestFit="1" customWidth="1"/>
    <col min="48" max="48" width="36.81640625" bestFit="1" customWidth="1"/>
    <col min="49" max="49" width="31.1796875" bestFit="1" customWidth="1"/>
    <col min="50" max="50" width="40.453125" bestFit="1" customWidth="1"/>
    <col min="51" max="51" width="51" bestFit="1" customWidth="1"/>
    <col min="52" max="52" width="39.1796875" bestFit="1" customWidth="1"/>
    <col min="53" max="53" width="35.26953125" bestFit="1" customWidth="1"/>
    <col min="54" max="54" width="30" bestFit="1" customWidth="1"/>
    <col min="55" max="55" width="11.26953125" bestFit="1" customWidth="1"/>
  </cols>
  <sheetData>
    <row r="3" spans="1:2" x14ac:dyDescent="0.35">
      <c r="A3" s="6" t="s">
        <v>10</v>
      </c>
      <c r="B3" t="s">
        <v>12</v>
      </c>
    </row>
    <row r="4" spans="1:2" x14ac:dyDescent="0.35">
      <c r="A4" s="7" t="s">
        <v>9</v>
      </c>
      <c r="B4" s="56">
        <v>3450000</v>
      </c>
    </row>
    <row r="5" spans="1:2" x14ac:dyDescent="0.35">
      <c r="A5" s="7" t="s">
        <v>7</v>
      </c>
      <c r="B5" s="56">
        <v>2326200</v>
      </c>
    </row>
    <row r="6" spans="1:2" x14ac:dyDescent="0.35">
      <c r="A6" s="7" t="s">
        <v>8</v>
      </c>
      <c r="B6" s="56">
        <v>2996700</v>
      </c>
    </row>
    <row r="11" spans="1:2" x14ac:dyDescent="0.35">
      <c r="A11" s="6" t="s">
        <v>10</v>
      </c>
      <c r="B11" t="s">
        <v>12</v>
      </c>
    </row>
    <row r="12" spans="1:2" x14ac:dyDescent="0.35">
      <c r="A12" s="7" t="s">
        <v>37</v>
      </c>
      <c r="B12">
        <v>480000</v>
      </c>
    </row>
    <row r="13" spans="1:2" x14ac:dyDescent="0.35">
      <c r="A13" s="7" t="s">
        <v>38</v>
      </c>
      <c r="B13">
        <v>620000</v>
      </c>
    </row>
    <row r="14" spans="1:2" x14ac:dyDescent="0.35">
      <c r="A14" s="7" t="s">
        <v>39</v>
      </c>
      <c r="B14">
        <v>700000</v>
      </c>
    </row>
    <row r="15" spans="1:2" x14ac:dyDescent="0.35">
      <c r="A15" s="7" t="s">
        <v>40</v>
      </c>
      <c r="B15">
        <v>760000</v>
      </c>
    </row>
    <row r="16" spans="1:2" x14ac:dyDescent="0.35">
      <c r="A16" s="7" t="s">
        <v>41</v>
      </c>
      <c r="B16">
        <v>928000</v>
      </c>
    </row>
    <row r="64" spans="5:5" x14ac:dyDescent="0.35">
      <c r="E64" t="e" vm="243">
        <v>#VALUE!</v>
      </c>
    </row>
    <row r="66" spans="5:7" x14ac:dyDescent="0.35">
      <c r="E66" s="55" t="str" cm="1">
        <f t="array" ref="E66">TEXT(_FV(E64,"Price"),IF(_FV(E64,"Price")-_FV(E64,"Previous close",TRUE)&gt;0,"₹0.00▲","₹0.00▼"))</f>
        <v>₹83.43▲</v>
      </c>
      <c r="F66" t="s">
        <v>42</v>
      </c>
    </row>
    <row r="68" spans="5:7" x14ac:dyDescent="0.35">
      <c r="F68" t="s">
        <v>36</v>
      </c>
    </row>
    <row r="75" spans="5:7" x14ac:dyDescent="0.35">
      <c r="E75" s="26" t="s">
        <v>19</v>
      </c>
      <c r="F75" s="24" t="s">
        <v>15</v>
      </c>
      <c r="G75" s="24" t="s">
        <v>16</v>
      </c>
    </row>
    <row r="76" spans="5:7" x14ac:dyDescent="0.35">
      <c r="E76" s="20" t="s">
        <v>21</v>
      </c>
      <c r="F76" s="12">
        <f>SUM(_xlfn.ANCHORARRAY('Portfolio Tracker '!G60))</f>
        <v>267285.71400000004</v>
      </c>
      <c r="G76" s="13">
        <f>SUM(_xlfn.ANCHORARRAY('Portfolio Tracker '!H60))</f>
        <v>167885.71400000001</v>
      </c>
    </row>
    <row r="77" spans="5:7" x14ac:dyDescent="0.35">
      <c r="E77" s="20" t="s">
        <v>20</v>
      </c>
      <c r="F77" s="12">
        <f>SUM(_xlfn.ANCHORARRAY('Portfolio Tracker '!G8))</f>
        <v>10847059.300000001</v>
      </c>
      <c r="G77" s="13">
        <f>SUM(_xlfn.ANCHORARRAY('Portfolio Tracker '!H8))</f>
        <v>3246359.3</v>
      </c>
    </row>
    <row r="78" spans="5:7" x14ac:dyDescent="0.35">
      <c r="E78" s="20"/>
      <c r="F78" s="21"/>
      <c r="G78" s="22"/>
    </row>
    <row r="84" spans="1:252" x14ac:dyDescent="0.35">
      <c r="A84" s="6" t="s">
        <v>5</v>
      </c>
      <c r="B84" t="s">
        <v>12</v>
      </c>
      <c r="C84" t="s">
        <v>13</v>
      </c>
    </row>
    <row r="85" spans="1:252" x14ac:dyDescent="0.35">
      <c r="A85" t="s">
        <v>9</v>
      </c>
      <c r="B85" s="9">
        <v>1209376.51</v>
      </c>
      <c r="C85" s="9">
        <v>303042.88999999996</v>
      </c>
    </row>
    <row r="86" spans="1:252" x14ac:dyDescent="0.35">
      <c r="A86" t="s">
        <v>7</v>
      </c>
      <c r="B86" s="9">
        <v>255675.83000000005</v>
      </c>
      <c r="C86" s="9">
        <v>56084.32</v>
      </c>
    </row>
    <row r="87" spans="1:252" x14ac:dyDescent="0.35">
      <c r="A87" t="s">
        <v>8</v>
      </c>
      <c r="B87" s="9">
        <v>1492600.47</v>
      </c>
      <c r="C87" s="9">
        <v>-132176.91999999998</v>
      </c>
    </row>
    <row r="93" spans="1:252" x14ac:dyDescent="0.35">
      <c r="E93" cm="1" vm="244">
        <f t="array" aca="1" ref="E93:IR94" ca="1">TRANSPOSE((_xlfn.STOCKHISTORY('Portfolio Tracker '!C8,TODAY()-365,TODAY(),0,0,0,0,1)))</f>
        <v>45048</v>
      </c>
      <c r="F93" vm="245">
        <f ca="1"/>
        <v>45049</v>
      </c>
      <c r="G93" vm="246">
        <f ca="1"/>
        <v>45050</v>
      </c>
      <c r="H93" vm="247">
        <f ca="1"/>
        <v>45051</v>
      </c>
      <c r="I93" vm="248">
        <f ca="1"/>
        <v>45054</v>
      </c>
      <c r="J93" vm="249">
        <f ca="1"/>
        <v>45055</v>
      </c>
      <c r="K93" vm="250">
        <f ca="1"/>
        <v>45056</v>
      </c>
      <c r="L93" vm="251">
        <f ca="1"/>
        <v>45057</v>
      </c>
      <c r="M93" vm="252">
        <f ca="1"/>
        <v>45058</v>
      </c>
      <c r="N93" vm="253">
        <f ca="1"/>
        <v>45061</v>
      </c>
      <c r="O93" vm="254">
        <f ca="1"/>
        <v>45062</v>
      </c>
      <c r="P93" vm="255">
        <f ca="1"/>
        <v>45063</v>
      </c>
      <c r="Q93" vm="256">
        <f ca="1"/>
        <v>45064</v>
      </c>
      <c r="R93" vm="257">
        <f ca="1"/>
        <v>45065</v>
      </c>
      <c r="S93" vm="258">
        <f ca="1"/>
        <v>45068</v>
      </c>
      <c r="T93" vm="259">
        <f ca="1"/>
        <v>45069</v>
      </c>
      <c r="U93" vm="260">
        <f ca="1"/>
        <v>45070</v>
      </c>
      <c r="V93" vm="261">
        <f ca="1"/>
        <v>45071</v>
      </c>
      <c r="W93" vm="262">
        <f ca="1"/>
        <v>45072</v>
      </c>
      <c r="X93" vm="263">
        <f ca="1"/>
        <v>45075</v>
      </c>
      <c r="Y93" vm="264">
        <f ca="1"/>
        <v>45076</v>
      </c>
      <c r="Z93" vm="265">
        <f ca="1"/>
        <v>45077</v>
      </c>
      <c r="AA93" vm="266">
        <f ca="1"/>
        <v>45078</v>
      </c>
      <c r="AB93" vm="267">
        <f ca="1"/>
        <v>45079</v>
      </c>
      <c r="AC93" vm="268">
        <f ca="1"/>
        <v>45082</v>
      </c>
      <c r="AD93" vm="269">
        <f ca="1"/>
        <v>45083</v>
      </c>
      <c r="AE93" vm="270">
        <f ca="1"/>
        <v>45084</v>
      </c>
      <c r="AF93" vm="271">
        <f ca="1"/>
        <v>45085</v>
      </c>
      <c r="AG93" vm="272">
        <f ca="1"/>
        <v>45086</v>
      </c>
      <c r="AH93" vm="273">
        <f ca="1"/>
        <v>45089</v>
      </c>
      <c r="AI93" vm="274">
        <f ca="1"/>
        <v>45090</v>
      </c>
      <c r="AJ93" vm="275">
        <f ca="1"/>
        <v>45091</v>
      </c>
      <c r="AK93" vm="276">
        <f ca="1"/>
        <v>45092</v>
      </c>
      <c r="AL93" vm="277">
        <f ca="1"/>
        <v>45093</v>
      </c>
      <c r="AM93" vm="278">
        <f ca="1"/>
        <v>45096</v>
      </c>
      <c r="AN93" vm="279">
        <f ca="1"/>
        <v>45097</v>
      </c>
      <c r="AO93" vm="280">
        <f ca="1"/>
        <v>45098</v>
      </c>
      <c r="AP93" vm="281">
        <f ca="1"/>
        <v>45099</v>
      </c>
      <c r="AQ93" vm="282">
        <f ca="1"/>
        <v>45100</v>
      </c>
      <c r="AR93" vm="283">
        <f ca="1"/>
        <v>45103</v>
      </c>
      <c r="AS93" vm="284">
        <f ca="1"/>
        <v>45104</v>
      </c>
      <c r="AT93" vm="285">
        <f ca="1"/>
        <v>45105</v>
      </c>
      <c r="AU93" vm="286">
        <f ca="1"/>
        <v>45107</v>
      </c>
      <c r="AV93" vm="287">
        <f ca="1"/>
        <v>45110</v>
      </c>
      <c r="AW93" vm="288">
        <f ca="1"/>
        <v>45111</v>
      </c>
      <c r="AX93" vm="289">
        <f ca="1"/>
        <v>45112</v>
      </c>
      <c r="AY93" vm="290">
        <f ca="1"/>
        <v>45113</v>
      </c>
      <c r="AZ93" vm="291">
        <f ca="1"/>
        <v>45114</v>
      </c>
      <c r="BA93" vm="292">
        <f ca="1"/>
        <v>45117</v>
      </c>
      <c r="BB93" vm="293">
        <f ca="1"/>
        <v>45118</v>
      </c>
      <c r="BC93" vm="294">
        <f ca="1"/>
        <v>45119</v>
      </c>
      <c r="BD93" vm="295">
        <f ca="1"/>
        <v>45120</v>
      </c>
      <c r="BE93" vm="296">
        <f ca="1"/>
        <v>45121</v>
      </c>
      <c r="BF93" vm="297">
        <f ca="1"/>
        <v>45124</v>
      </c>
      <c r="BG93" vm="298">
        <f ca="1"/>
        <v>45125</v>
      </c>
      <c r="BH93" vm="299">
        <f ca="1"/>
        <v>45126</v>
      </c>
      <c r="BI93" vm="300">
        <f ca="1"/>
        <v>45127</v>
      </c>
      <c r="BJ93" vm="301">
        <f ca="1"/>
        <v>45128</v>
      </c>
      <c r="BK93" vm="302">
        <f ca="1"/>
        <v>45131</v>
      </c>
      <c r="BL93" vm="303">
        <f ca="1"/>
        <v>45132</v>
      </c>
      <c r="BM93" vm="304">
        <f ca="1"/>
        <v>45133</v>
      </c>
      <c r="BN93" vm="305">
        <f ca="1"/>
        <v>45134</v>
      </c>
      <c r="BO93" vm="306">
        <f ca="1"/>
        <v>45135</v>
      </c>
      <c r="BP93" vm="307">
        <f ca="1"/>
        <v>45138</v>
      </c>
      <c r="BQ93" vm="308">
        <f ca="1"/>
        <v>45139</v>
      </c>
      <c r="BR93" vm="309">
        <f ca="1"/>
        <v>45140</v>
      </c>
      <c r="BS93" vm="310">
        <f ca="1"/>
        <v>45141</v>
      </c>
      <c r="BT93" vm="311">
        <f ca="1"/>
        <v>45142</v>
      </c>
      <c r="BU93" vm="312">
        <f ca="1"/>
        <v>45145</v>
      </c>
      <c r="BV93" vm="313">
        <f ca="1"/>
        <v>45146</v>
      </c>
      <c r="BW93" vm="314">
        <f ca="1"/>
        <v>45147</v>
      </c>
      <c r="BX93" vm="315">
        <f ca="1"/>
        <v>45148</v>
      </c>
      <c r="BY93" vm="316">
        <f ca="1"/>
        <v>45149</v>
      </c>
      <c r="BZ93" vm="317">
        <f ca="1"/>
        <v>45152</v>
      </c>
      <c r="CA93" vm="318">
        <f ca="1"/>
        <v>45154</v>
      </c>
      <c r="CB93" vm="319">
        <f ca="1"/>
        <v>45155</v>
      </c>
      <c r="CC93" vm="320">
        <f ca="1"/>
        <v>45156</v>
      </c>
      <c r="CD93" vm="321">
        <f ca="1"/>
        <v>45159</v>
      </c>
      <c r="CE93" vm="322">
        <f ca="1"/>
        <v>45160</v>
      </c>
      <c r="CF93" vm="323">
        <f ca="1"/>
        <v>45161</v>
      </c>
      <c r="CG93" vm="324">
        <f ca="1"/>
        <v>45162</v>
      </c>
      <c r="CH93" vm="325">
        <f ca="1"/>
        <v>45163</v>
      </c>
      <c r="CI93" vm="326">
        <f ca="1"/>
        <v>45166</v>
      </c>
      <c r="CJ93" vm="327">
        <f ca="1"/>
        <v>45167</v>
      </c>
      <c r="CK93" vm="328">
        <f ca="1"/>
        <v>45168</v>
      </c>
      <c r="CL93" vm="329">
        <f ca="1"/>
        <v>45169</v>
      </c>
      <c r="CM93" vm="330">
        <f ca="1"/>
        <v>45170</v>
      </c>
      <c r="CN93" vm="331">
        <f ca="1"/>
        <v>45173</v>
      </c>
      <c r="CO93" vm="332">
        <f ca="1"/>
        <v>45174</v>
      </c>
      <c r="CP93" vm="333">
        <f ca="1"/>
        <v>45175</v>
      </c>
      <c r="CQ93" vm="334">
        <f ca="1"/>
        <v>45176</v>
      </c>
      <c r="CR93" vm="335">
        <f ca="1"/>
        <v>45177</v>
      </c>
      <c r="CS93" vm="336">
        <f ca="1"/>
        <v>45180</v>
      </c>
      <c r="CT93" vm="337">
        <f ca="1"/>
        <v>45181</v>
      </c>
      <c r="CU93" vm="338">
        <f ca="1"/>
        <v>45182</v>
      </c>
      <c r="CV93" vm="339">
        <f ca="1"/>
        <v>45183</v>
      </c>
      <c r="CW93" vm="340">
        <f ca="1"/>
        <v>45184</v>
      </c>
      <c r="CX93" vm="341">
        <f ca="1"/>
        <v>45187</v>
      </c>
      <c r="CY93" vm="342">
        <f ca="1"/>
        <v>45189</v>
      </c>
      <c r="CZ93" vm="343">
        <f ca="1"/>
        <v>45190</v>
      </c>
      <c r="DA93" vm="344">
        <f ca="1"/>
        <v>45191</v>
      </c>
      <c r="DB93" vm="345">
        <f ca="1"/>
        <v>45194</v>
      </c>
      <c r="DC93" vm="346">
        <f ca="1"/>
        <v>45195</v>
      </c>
      <c r="DD93" vm="347">
        <f ca="1"/>
        <v>45196</v>
      </c>
      <c r="DE93" vm="348">
        <f ca="1"/>
        <v>45197</v>
      </c>
      <c r="DF93" vm="349">
        <f ca="1"/>
        <v>45198</v>
      </c>
      <c r="DG93" vm="350">
        <f ca="1"/>
        <v>45202</v>
      </c>
      <c r="DH93" vm="351">
        <f ca="1"/>
        <v>45203</v>
      </c>
      <c r="DI93" vm="352">
        <f ca="1"/>
        <v>45204</v>
      </c>
      <c r="DJ93" vm="353">
        <f ca="1"/>
        <v>45205</v>
      </c>
      <c r="DK93" vm="354">
        <f ca="1"/>
        <v>45208</v>
      </c>
      <c r="DL93" vm="355">
        <f ca="1"/>
        <v>45209</v>
      </c>
      <c r="DM93" vm="356">
        <f ca="1"/>
        <v>45210</v>
      </c>
      <c r="DN93" vm="357">
        <f ca="1"/>
        <v>45211</v>
      </c>
      <c r="DO93" vm="358">
        <f ca="1"/>
        <v>45212</v>
      </c>
      <c r="DP93" vm="359">
        <f ca="1"/>
        <v>45215</v>
      </c>
      <c r="DQ93" vm="360">
        <f ca="1"/>
        <v>45216</v>
      </c>
      <c r="DR93" vm="361">
        <f ca="1"/>
        <v>45217</v>
      </c>
      <c r="DS93" vm="362">
        <f ca="1"/>
        <v>45218</v>
      </c>
      <c r="DT93" vm="363">
        <f ca="1"/>
        <v>45219</v>
      </c>
      <c r="DU93" vm="364">
        <f ca="1"/>
        <v>45222</v>
      </c>
      <c r="DV93" vm="365">
        <f ca="1"/>
        <v>45224</v>
      </c>
      <c r="DW93" vm="366">
        <f ca="1"/>
        <v>45225</v>
      </c>
      <c r="DX93" vm="367">
        <f ca="1"/>
        <v>45226</v>
      </c>
      <c r="DY93" vm="368">
        <f ca="1"/>
        <v>45229</v>
      </c>
      <c r="DZ93" vm="369">
        <f ca="1"/>
        <v>45230</v>
      </c>
      <c r="EA93" vm="370">
        <f ca="1"/>
        <v>45231</v>
      </c>
      <c r="EB93" vm="371">
        <f ca="1"/>
        <v>45232</v>
      </c>
      <c r="EC93" vm="372">
        <f ca="1"/>
        <v>45233</v>
      </c>
      <c r="ED93" vm="373">
        <f ca="1"/>
        <v>45236</v>
      </c>
      <c r="EE93" vm="374">
        <f ca="1"/>
        <v>45237</v>
      </c>
      <c r="EF93" vm="375">
        <f ca="1"/>
        <v>45238</v>
      </c>
      <c r="EG93" vm="376">
        <f ca="1"/>
        <v>45239</v>
      </c>
      <c r="EH93" vm="377">
        <f ca="1"/>
        <v>45240</v>
      </c>
      <c r="EI93" vm="378">
        <f ca="1"/>
        <v>45242</v>
      </c>
      <c r="EJ93" vm="379">
        <f ca="1"/>
        <v>45243</v>
      </c>
      <c r="EK93" vm="380">
        <f ca="1"/>
        <v>45245</v>
      </c>
      <c r="EL93" vm="381">
        <f ca="1"/>
        <v>45246</v>
      </c>
      <c r="EM93" vm="382">
        <f ca="1"/>
        <v>45247</v>
      </c>
      <c r="EN93" vm="383">
        <f ca="1"/>
        <v>45250</v>
      </c>
      <c r="EO93" vm="384">
        <f ca="1"/>
        <v>45251</v>
      </c>
      <c r="EP93" vm="385">
        <f ca="1"/>
        <v>45252</v>
      </c>
      <c r="EQ93" vm="386">
        <f ca="1"/>
        <v>45253</v>
      </c>
      <c r="ER93" vm="387">
        <f ca="1"/>
        <v>45254</v>
      </c>
      <c r="ES93" vm="388">
        <f ca="1"/>
        <v>45258</v>
      </c>
      <c r="ET93" vm="389">
        <f ca="1"/>
        <v>45259</v>
      </c>
      <c r="EU93" vm="390">
        <f ca="1"/>
        <v>45260</v>
      </c>
      <c r="EV93" vm="391">
        <f ca="1"/>
        <v>45261</v>
      </c>
      <c r="EW93" vm="392">
        <f ca="1"/>
        <v>45264</v>
      </c>
      <c r="EX93" vm="393">
        <f ca="1"/>
        <v>45265</v>
      </c>
      <c r="EY93" vm="394">
        <f ca="1"/>
        <v>45266</v>
      </c>
      <c r="EZ93" vm="395">
        <f ca="1"/>
        <v>45267</v>
      </c>
      <c r="FA93" vm="396">
        <f ca="1"/>
        <v>45268</v>
      </c>
      <c r="FB93" vm="397">
        <f ca="1"/>
        <v>45271</v>
      </c>
      <c r="FC93" vm="398">
        <f ca="1"/>
        <v>45272</v>
      </c>
      <c r="FD93" vm="399">
        <f ca="1"/>
        <v>45273</v>
      </c>
      <c r="FE93" vm="400">
        <f ca="1"/>
        <v>45274</v>
      </c>
      <c r="FF93" vm="401">
        <f ca="1"/>
        <v>45275</v>
      </c>
      <c r="FG93" vm="402">
        <f ca="1"/>
        <v>45278</v>
      </c>
      <c r="FH93" vm="403">
        <f ca="1"/>
        <v>45279</v>
      </c>
      <c r="FI93" vm="404">
        <f ca="1"/>
        <v>45280</v>
      </c>
      <c r="FJ93" vm="405">
        <f ca="1"/>
        <v>45281</v>
      </c>
      <c r="FK93" vm="406">
        <f ca="1"/>
        <v>45282</v>
      </c>
      <c r="FL93" vm="407">
        <f ca="1"/>
        <v>45286</v>
      </c>
      <c r="FM93" vm="408">
        <f ca="1"/>
        <v>45287</v>
      </c>
      <c r="FN93" vm="409">
        <f ca="1"/>
        <v>45288</v>
      </c>
      <c r="FO93" vm="410">
        <f ca="1"/>
        <v>45289</v>
      </c>
      <c r="FP93" vm="411">
        <f ca="1"/>
        <v>45292</v>
      </c>
      <c r="FQ93" vm="412">
        <f ca="1"/>
        <v>45293</v>
      </c>
      <c r="FR93" vm="413">
        <f ca="1"/>
        <v>45294</v>
      </c>
      <c r="FS93" vm="414">
        <f ca="1"/>
        <v>45295</v>
      </c>
      <c r="FT93" vm="415">
        <f ca="1"/>
        <v>45296</v>
      </c>
      <c r="FU93" vm="416">
        <f ca="1"/>
        <v>45299</v>
      </c>
      <c r="FV93" vm="417">
        <f ca="1"/>
        <v>45300</v>
      </c>
      <c r="FW93" vm="418">
        <f ca="1"/>
        <v>45301</v>
      </c>
      <c r="FX93" vm="419">
        <f ca="1"/>
        <v>45302</v>
      </c>
      <c r="FY93" vm="420">
        <f ca="1"/>
        <v>45303</v>
      </c>
      <c r="FZ93" vm="421">
        <f ca="1"/>
        <v>45306</v>
      </c>
      <c r="GA93" vm="422">
        <f ca="1"/>
        <v>45307</v>
      </c>
      <c r="GB93" vm="423">
        <f ca="1"/>
        <v>45308</v>
      </c>
      <c r="GC93" vm="424">
        <f ca="1"/>
        <v>45309</v>
      </c>
      <c r="GD93" vm="425">
        <f ca="1"/>
        <v>45310</v>
      </c>
      <c r="GE93" vm="426">
        <f ca="1"/>
        <v>45311</v>
      </c>
      <c r="GF93" vm="427">
        <f ca="1"/>
        <v>45314</v>
      </c>
      <c r="GG93" vm="428">
        <f ca="1"/>
        <v>45315</v>
      </c>
      <c r="GH93" vm="429">
        <f ca="1"/>
        <v>45316</v>
      </c>
      <c r="GI93" vm="57">
        <f ca="1"/>
        <v>45320</v>
      </c>
      <c r="GJ93" vm="60">
        <f ca="1"/>
        <v>45321</v>
      </c>
      <c r="GK93" vm="63">
        <f ca="1"/>
        <v>45322</v>
      </c>
      <c r="GL93" vm="66">
        <f ca="1"/>
        <v>45323</v>
      </c>
      <c r="GM93" vm="69">
        <f ca="1"/>
        <v>45324</v>
      </c>
      <c r="GN93" vm="72">
        <f ca="1"/>
        <v>45327</v>
      </c>
      <c r="GO93" vm="75">
        <f ca="1"/>
        <v>45328</v>
      </c>
      <c r="GP93" vm="78">
        <f ca="1"/>
        <v>45329</v>
      </c>
      <c r="GQ93" vm="81">
        <f ca="1"/>
        <v>45330</v>
      </c>
      <c r="GR93" vm="84">
        <f ca="1"/>
        <v>45331</v>
      </c>
      <c r="GS93" vm="87">
        <f ca="1"/>
        <v>45334</v>
      </c>
      <c r="GT93" vm="90">
        <f ca="1"/>
        <v>45335</v>
      </c>
      <c r="GU93" vm="93">
        <f ca="1"/>
        <v>45336</v>
      </c>
      <c r="GV93" vm="96">
        <f ca="1"/>
        <v>45337</v>
      </c>
      <c r="GW93" vm="99">
        <f ca="1"/>
        <v>45338</v>
      </c>
      <c r="GX93" vm="102">
        <f ca="1"/>
        <v>45341</v>
      </c>
      <c r="GY93" vm="105">
        <f ca="1"/>
        <v>45342</v>
      </c>
      <c r="GZ93" vm="108">
        <f ca="1"/>
        <v>45343</v>
      </c>
      <c r="HA93" vm="111">
        <f ca="1"/>
        <v>45344</v>
      </c>
      <c r="HB93" vm="114">
        <f ca="1"/>
        <v>45345</v>
      </c>
      <c r="HC93" vm="117">
        <f ca="1"/>
        <v>45348</v>
      </c>
      <c r="HD93" vm="120">
        <f ca="1"/>
        <v>45349</v>
      </c>
      <c r="HE93" vm="123">
        <f ca="1"/>
        <v>45350</v>
      </c>
      <c r="HF93" vm="126">
        <f ca="1"/>
        <v>45351</v>
      </c>
      <c r="HG93" vm="129">
        <f ca="1"/>
        <v>45352</v>
      </c>
      <c r="HH93" vm="132">
        <f ca="1"/>
        <v>45353</v>
      </c>
      <c r="HI93" vm="135">
        <f ca="1"/>
        <v>45355</v>
      </c>
      <c r="HJ93" vm="138">
        <f ca="1"/>
        <v>45356</v>
      </c>
      <c r="HK93" vm="141">
        <f ca="1"/>
        <v>45357</v>
      </c>
      <c r="HL93" vm="144">
        <f ca="1"/>
        <v>45358</v>
      </c>
      <c r="HM93" vm="147">
        <f ca="1"/>
        <v>45362</v>
      </c>
      <c r="HN93" vm="150">
        <f ca="1"/>
        <v>45363</v>
      </c>
      <c r="HO93" vm="153">
        <f ca="1"/>
        <v>45364</v>
      </c>
      <c r="HP93" vm="156">
        <f ca="1"/>
        <v>45365</v>
      </c>
      <c r="HQ93" vm="159">
        <f ca="1"/>
        <v>45366</v>
      </c>
      <c r="HR93" vm="162">
        <f ca="1"/>
        <v>45369</v>
      </c>
      <c r="HS93" vm="165">
        <f ca="1"/>
        <v>45370</v>
      </c>
      <c r="HT93" vm="168">
        <f ca="1"/>
        <v>45371</v>
      </c>
      <c r="HU93" vm="171">
        <f ca="1"/>
        <v>45372</v>
      </c>
      <c r="HV93" vm="174">
        <f ca="1"/>
        <v>45373</v>
      </c>
      <c r="HW93" vm="177">
        <f ca="1"/>
        <v>45377</v>
      </c>
      <c r="HX93" vm="180">
        <f ca="1"/>
        <v>45378</v>
      </c>
      <c r="HY93" vm="183">
        <f ca="1"/>
        <v>45379</v>
      </c>
      <c r="HZ93" vm="186">
        <f ca="1"/>
        <v>45383</v>
      </c>
      <c r="IA93" vm="189">
        <f ca="1"/>
        <v>45384</v>
      </c>
      <c r="IB93" vm="192">
        <f ca="1"/>
        <v>45385</v>
      </c>
      <c r="IC93" vm="195">
        <f ca="1"/>
        <v>45386</v>
      </c>
      <c r="ID93" vm="198">
        <f ca="1"/>
        <v>45387</v>
      </c>
      <c r="IE93" vm="201">
        <f ca="1"/>
        <v>45390</v>
      </c>
      <c r="IF93" vm="204">
        <f ca="1"/>
        <v>45391</v>
      </c>
      <c r="IG93" vm="207">
        <f ca="1"/>
        <v>45392</v>
      </c>
      <c r="IH93" vm="210">
        <f ca="1"/>
        <v>45394</v>
      </c>
      <c r="II93" vm="213">
        <f ca="1"/>
        <v>45397</v>
      </c>
      <c r="IJ93" vm="216">
        <f ca="1"/>
        <v>45398</v>
      </c>
      <c r="IK93" vm="219">
        <f ca="1"/>
        <v>45400</v>
      </c>
      <c r="IL93" vm="222">
        <f ca="1"/>
        <v>45401</v>
      </c>
      <c r="IM93" vm="225">
        <f ca="1"/>
        <v>45404</v>
      </c>
      <c r="IN93" vm="228">
        <f ca="1"/>
        <v>45405</v>
      </c>
      <c r="IO93" vm="231">
        <f ca="1"/>
        <v>45406</v>
      </c>
      <c r="IP93" vm="234">
        <f ca="1"/>
        <v>45407</v>
      </c>
      <c r="IQ93" vm="237">
        <f ca="1"/>
        <v>45408</v>
      </c>
      <c r="IR93" vm="240">
        <f ca="1"/>
        <v>45411</v>
      </c>
    </row>
    <row r="94" spans="1:252" x14ac:dyDescent="0.35">
      <c r="D94" t="e" cm="1" vm="1">
        <f t="array" ref="D94:D143" xml:space="preserve"> _xlfn.UNIQUE(Stock_Purchase[Instrument])</f>
        <v>#VALUE!</v>
      </c>
      <c r="E94" vm="430">
        <f ca="1"/>
        <v>167.95</v>
      </c>
      <c r="F94" vm="431">
        <f ca="1"/>
        <v>169.3</v>
      </c>
      <c r="G94" vm="432">
        <f ca="1"/>
        <v>173.35</v>
      </c>
      <c r="H94" vm="433">
        <f ca="1"/>
        <v>170.65</v>
      </c>
      <c r="I94" vm="434">
        <f ca="1"/>
        <v>174.3</v>
      </c>
      <c r="J94" vm="435">
        <f ca="1"/>
        <v>170.9</v>
      </c>
      <c r="K94" vm="435">
        <f ca="1"/>
        <v>170.9</v>
      </c>
      <c r="L94" vm="436">
        <f ca="1"/>
        <v>163.95</v>
      </c>
      <c r="M94" vm="437">
        <f ca="1"/>
        <v>163.25</v>
      </c>
      <c r="N94" vm="438">
        <f ca="1"/>
        <v>165.7</v>
      </c>
      <c r="O94" vm="439">
        <f ca="1"/>
        <v>165.05</v>
      </c>
      <c r="P94" vm="440">
        <f ca="1"/>
        <v>164.55</v>
      </c>
      <c r="Q94" vm="441">
        <f ca="1"/>
        <v>164.8</v>
      </c>
      <c r="R94" vm="442">
        <f ca="1"/>
        <v>163.9</v>
      </c>
      <c r="S94" vm="443">
        <f ca="1"/>
        <v>166.2</v>
      </c>
      <c r="T94" vm="444">
        <f ca="1"/>
        <v>166.75</v>
      </c>
      <c r="U94" vm="445">
        <f ca="1"/>
        <v>164.75</v>
      </c>
      <c r="V94" vm="446">
        <f ca="1"/>
        <v>164.9</v>
      </c>
      <c r="W94" vm="447">
        <f ca="1"/>
        <v>165.25</v>
      </c>
      <c r="X94" vm="448">
        <f ca="1"/>
        <v>165.65</v>
      </c>
      <c r="Y94" vm="449">
        <f ca="1"/>
        <v>171.1</v>
      </c>
      <c r="Z94" vm="450">
        <f ca="1"/>
        <v>170.3</v>
      </c>
      <c r="AA94" vm="451">
        <f ca="1"/>
        <v>171.85</v>
      </c>
      <c r="AB94" vm="452">
        <f ca="1"/>
        <v>172.55</v>
      </c>
      <c r="AC94" vm="453">
        <f ca="1"/>
        <v>168.5</v>
      </c>
      <c r="AD94" vm="454">
        <f ca="1"/>
        <v>171.55</v>
      </c>
      <c r="AE94" vm="455">
        <f ca="1"/>
        <v>173.45</v>
      </c>
      <c r="AF94" vm="456">
        <f ca="1"/>
        <v>171.95</v>
      </c>
      <c r="AG94" vm="457">
        <f ca="1"/>
        <v>173.95</v>
      </c>
      <c r="AH94" vm="458">
        <f ca="1"/>
        <v>177.35</v>
      </c>
      <c r="AI94" vm="459">
        <f ca="1"/>
        <v>177.65</v>
      </c>
      <c r="AJ94" vm="460">
        <f ca="1"/>
        <v>175.55</v>
      </c>
      <c r="AK94" vm="461">
        <f ca="1"/>
        <v>174.2</v>
      </c>
      <c r="AL94" vm="462">
        <f ca="1"/>
        <v>178</v>
      </c>
      <c r="AM94" vm="463">
        <f ca="1"/>
        <v>179.45</v>
      </c>
      <c r="AN94" vm="464">
        <f ca="1"/>
        <v>179.6</v>
      </c>
      <c r="AO94" vm="465">
        <f ca="1"/>
        <v>180.1</v>
      </c>
      <c r="AP94" vm="466">
        <f ca="1"/>
        <v>171.65</v>
      </c>
      <c r="AQ94" vm="467">
        <f ca="1"/>
        <v>175</v>
      </c>
      <c r="AR94" vm="468">
        <f ca="1"/>
        <v>181.25</v>
      </c>
      <c r="AS94" vm="469">
        <f ca="1"/>
        <v>192.3</v>
      </c>
      <c r="AT94" vm="470">
        <f ca="1"/>
        <v>193.5</v>
      </c>
      <c r="AU94" vm="471">
        <f ca="1"/>
        <v>196.3</v>
      </c>
      <c r="AV94" vm="472">
        <f ca="1"/>
        <v>195.05</v>
      </c>
      <c r="AW94" vm="473">
        <f ca="1"/>
        <v>193.75</v>
      </c>
      <c r="AX94" vm="474">
        <f ca="1"/>
        <v>188.85</v>
      </c>
      <c r="AY94" vm="475">
        <f ca="1"/>
        <v>189.05</v>
      </c>
      <c r="AZ94" vm="476">
        <f ca="1"/>
        <v>189.25</v>
      </c>
      <c r="BA94" vm="477">
        <f ca="1"/>
        <v>185</v>
      </c>
      <c r="BB94" vm="478">
        <f ca="1"/>
        <v>183.8</v>
      </c>
      <c r="BC94" vm="479">
        <f ca="1"/>
        <v>188.45</v>
      </c>
      <c r="BD94" vm="480">
        <f ca="1"/>
        <v>187.45</v>
      </c>
      <c r="BE94" vm="481">
        <f ca="1"/>
        <v>189.1</v>
      </c>
      <c r="BF94" vm="482">
        <f ca="1"/>
        <v>187.7</v>
      </c>
      <c r="BG94" vm="483">
        <f ca="1"/>
        <v>183.1</v>
      </c>
      <c r="BH94" vm="484">
        <f ca="1"/>
        <v>185.25</v>
      </c>
      <c r="BI94" vm="485">
        <f ca="1"/>
        <v>186.05</v>
      </c>
      <c r="BJ94" vm="486">
        <f ca="1"/>
        <v>185.8</v>
      </c>
      <c r="BK94" vm="474">
        <f ca="1"/>
        <v>188.85</v>
      </c>
      <c r="BL94" vm="487">
        <f ca="1"/>
        <v>188.7</v>
      </c>
      <c r="BM94" vm="488">
        <f ca="1"/>
        <v>191.55</v>
      </c>
      <c r="BN94" vm="489">
        <f ca="1"/>
        <v>191.6</v>
      </c>
      <c r="BO94" vm="490">
        <f ca="1"/>
        <v>193.95</v>
      </c>
      <c r="BP94" vm="491">
        <f ca="1"/>
        <v>195.8</v>
      </c>
      <c r="BQ94" vm="492">
        <f ca="1"/>
        <v>196.15</v>
      </c>
      <c r="BR94" vm="493">
        <f ca="1"/>
        <v>189.95</v>
      </c>
      <c r="BS94" vm="494">
        <f ca="1"/>
        <v>193.1</v>
      </c>
      <c r="BT94" vm="495">
        <f ca="1"/>
        <v>188.5</v>
      </c>
      <c r="BU94" vm="496">
        <f ca="1"/>
        <v>185.55</v>
      </c>
      <c r="BV94" vm="497">
        <f ca="1"/>
        <v>185.65</v>
      </c>
      <c r="BW94" vm="498">
        <f ca="1"/>
        <v>186.65</v>
      </c>
      <c r="BX94" vm="499">
        <f ca="1"/>
        <v>185.05</v>
      </c>
      <c r="BY94" vm="500">
        <f ca="1"/>
        <v>183.55</v>
      </c>
      <c r="BZ94" vm="501">
        <f ca="1"/>
        <v>182.65</v>
      </c>
      <c r="CA94" vm="502">
        <f ca="1"/>
        <v>181.9</v>
      </c>
      <c r="CB94" vm="503">
        <f ca="1"/>
        <v>180.7</v>
      </c>
      <c r="CC94" vm="504">
        <f ca="1"/>
        <v>181.45</v>
      </c>
      <c r="CD94" vm="505">
        <f ca="1"/>
        <v>182.6</v>
      </c>
      <c r="CE94" vm="506">
        <f ca="1"/>
        <v>185.85</v>
      </c>
      <c r="CF94" vm="507">
        <f ca="1"/>
        <v>186.8</v>
      </c>
      <c r="CG94" vm="508">
        <f ca="1"/>
        <v>184</v>
      </c>
      <c r="CH94" vm="509">
        <f ca="1"/>
        <v>179.75</v>
      </c>
      <c r="CI94" vm="510">
        <f ca="1"/>
        <v>180.95</v>
      </c>
      <c r="CJ94" vm="511">
        <f ca="1"/>
        <v>180.4</v>
      </c>
      <c r="CK94" vm="512">
        <f ca="1"/>
        <v>181.2</v>
      </c>
      <c r="CL94" vm="513">
        <f ca="1"/>
        <v>181.15</v>
      </c>
      <c r="CM94" vm="514">
        <f ca="1"/>
        <v>184.1</v>
      </c>
      <c r="CN94" vm="515">
        <f ca="1"/>
        <v>190.4</v>
      </c>
      <c r="CO94" vm="516">
        <f ca="1"/>
        <v>191.4</v>
      </c>
      <c r="CP94" vm="517">
        <f ca="1"/>
        <v>186.7</v>
      </c>
      <c r="CQ94" vm="518">
        <f ca="1"/>
        <v>187.8</v>
      </c>
      <c r="CR94" vm="519">
        <f ca="1"/>
        <v>186.9</v>
      </c>
      <c r="CS94" vm="520">
        <f ca="1"/>
        <v>190.5</v>
      </c>
      <c r="CT94" vm="521">
        <f ca="1"/>
        <v>180.8</v>
      </c>
      <c r="CU94" vm="522">
        <f ca="1"/>
        <v>181.55</v>
      </c>
      <c r="CV94" vm="502">
        <f ca="1"/>
        <v>181.9</v>
      </c>
      <c r="CW94" vm="523">
        <f ca="1"/>
        <v>184.55</v>
      </c>
      <c r="CX94" vm="524">
        <f ca="1"/>
        <v>182.95</v>
      </c>
      <c r="CY94" vm="525">
        <f ca="1"/>
        <v>180.15</v>
      </c>
      <c r="CZ94" vm="526">
        <f ca="1"/>
        <v>175.8</v>
      </c>
      <c r="DA94" vm="527">
        <f ca="1"/>
        <v>175.05</v>
      </c>
      <c r="DB94" vm="528">
        <f ca="1"/>
        <v>176.55</v>
      </c>
      <c r="DC94" vm="529">
        <f ca="1"/>
        <v>174.55</v>
      </c>
      <c r="DD94" vm="530">
        <f ca="1"/>
        <v>180.5</v>
      </c>
      <c r="DE94" vm="531">
        <f ca="1"/>
        <v>175.95</v>
      </c>
      <c r="DF94" vm="532">
        <f ca="1"/>
        <v>179.95</v>
      </c>
      <c r="DG94" vm="503">
        <f ca="1"/>
        <v>180.7</v>
      </c>
      <c r="DH94" vm="533">
        <f ca="1"/>
        <v>175.5</v>
      </c>
      <c r="DI94" vm="534">
        <f ca="1"/>
        <v>175.75</v>
      </c>
      <c r="DJ94" vm="535">
        <f ca="1"/>
        <v>181.5</v>
      </c>
      <c r="DK94" vm="536">
        <f ca="1"/>
        <v>175.1</v>
      </c>
      <c r="DL94" vm="537">
        <f ca="1"/>
        <v>177.6</v>
      </c>
      <c r="DM94" vm="538">
        <f ca="1"/>
        <v>178.75</v>
      </c>
      <c r="DN94" vm="510">
        <f ca="1"/>
        <v>180.95</v>
      </c>
      <c r="DO94" vm="539">
        <f ca="1"/>
        <v>180.6</v>
      </c>
      <c r="DP94" vm="540">
        <f ca="1"/>
        <v>180.45</v>
      </c>
      <c r="DQ94" vm="541">
        <f ca="1"/>
        <v>182.7</v>
      </c>
      <c r="DR94" vm="503">
        <f ca="1"/>
        <v>180.7</v>
      </c>
      <c r="DS94" vm="478">
        <f ca="1"/>
        <v>183.8</v>
      </c>
      <c r="DT94" vm="502">
        <f ca="1"/>
        <v>181.9</v>
      </c>
      <c r="DU94" vm="452">
        <f ca="1"/>
        <v>172.55</v>
      </c>
      <c r="DV94" vm="542">
        <f ca="1"/>
        <v>172.6</v>
      </c>
      <c r="DW94" vm="450">
        <f ca="1"/>
        <v>170.3</v>
      </c>
      <c r="DX94" vm="543">
        <f ca="1"/>
        <v>172.25</v>
      </c>
      <c r="DY94" vm="544">
        <f ca="1"/>
        <v>172.05</v>
      </c>
      <c r="DZ94" vm="545">
        <f ca="1"/>
        <v>172.45</v>
      </c>
      <c r="EA94" vm="546">
        <f ca="1"/>
        <v>170.1</v>
      </c>
      <c r="EB94" vm="547">
        <f ca="1"/>
        <v>172.7</v>
      </c>
      <c r="EC94" vm="548">
        <f ca="1"/>
        <v>173.1</v>
      </c>
      <c r="ED94" vm="549">
        <f ca="1"/>
        <v>171</v>
      </c>
      <c r="EE94" vm="550">
        <f ca="1"/>
        <v>174.05</v>
      </c>
      <c r="EF94" vm="551">
        <f ca="1"/>
        <v>174.65</v>
      </c>
      <c r="EG94" vm="457">
        <f ca="1"/>
        <v>173.95</v>
      </c>
      <c r="EH94" vm="527">
        <f ca="1"/>
        <v>175.05</v>
      </c>
      <c r="EI94" vm="552">
        <f ca="1"/>
        <v>175.6</v>
      </c>
      <c r="EJ94" vm="553">
        <f ca="1"/>
        <v>177.9</v>
      </c>
      <c r="EK94" vm="554">
        <f ca="1"/>
        <v>181.7</v>
      </c>
      <c r="EL94" vm="512">
        <f ca="1"/>
        <v>181.2</v>
      </c>
      <c r="EM94" vm="555">
        <f ca="1"/>
        <v>170.95</v>
      </c>
      <c r="EN94" vm="556">
        <f ca="1"/>
        <v>171.15</v>
      </c>
      <c r="EO94" vm="466">
        <f ca="1"/>
        <v>171.65</v>
      </c>
      <c r="EP94" vm="555">
        <f ca="1"/>
        <v>170.95</v>
      </c>
      <c r="EQ94" vm="549">
        <f ca="1"/>
        <v>171</v>
      </c>
      <c r="ER94" vm="557">
        <f ca="1"/>
        <v>168.7</v>
      </c>
      <c r="ES94" vm="546">
        <f ca="1"/>
        <v>170.1</v>
      </c>
      <c r="ET94" vm="558">
        <f ca="1"/>
        <v>169.15</v>
      </c>
      <c r="EU94" vm="559">
        <f ca="1"/>
        <v>168</v>
      </c>
      <c r="EV94" vm="560">
        <f ca="1"/>
        <v>169.9</v>
      </c>
      <c r="EW94" vm="452">
        <f ca="1"/>
        <v>172.55</v>
      </c>
      <c r="EX94" vm="561">
        <f ca="1"/>
        <v>172.5</v>
      </c>
      <c r="EY94" vm="562">
        <f ca="1"/>
        <v>173.05</v>
      </c>
      <c r="EZ94" vm="563">
        <f ca="1"/>
        <v>166.6</v>
      </c>
      <c r="FA94" vm="564">
        <f ca="1"/>
        <v>163.19999999999999</v>
      </c>
      <c r="FB94" vm="565">
        <f ca="1"/>
        <v>165.45</v>
      </c>
      <c r="FC94" vm="566">
        <f ca="1"/>
        <v>163.75</v>
      </c>
      <c r="FD94" vm="567">
        <f ca="1"/>
        <v>164.05</v>
      </c>
      <c r="FE94" vm="568">
        <f ca="1"/>
        <v>166.3</v>
      </c>
      <c r="FF94" vm="569">
        <f ca="1"/>
        <v>165.6</v>
      </c>
      <c r="FG94" vm="570">
        <f ca="1"/>
        <v>165.9</v>
      </c>
      <c r="FH94" vm="445">
        <f ca="1"/>
        <v>164.75</v>
      </c>
      <c r="FI94" vm="571">
        <f ca="1"/>
        <v>156.94999999999999</v>
      </c>
      <c r="FJ94" vm="572">
        <f ca="1"/>
        <v>159.19999999999999</v>
      </c>
      <c r="FK94" vm="573">
        <f ca="1"/>
        <v>159.69999999999999</v>
      </c>
      <c r="FL94" vm="574">
        <f ca="1"/>
        <v>159.9</v>
      </c>
      <c r="FM94" vm="575">
        <f ca="1"/>
        <v>161.75</v>
      </c>
      <c r="FN94" vm="576">
        <f ca="1"/>
        <v>161.65</v>
      </c>
      <c r="FO94" vm="577">
        <f ca="1"/>
        <v>166.4</v>
      </c>
      <c r="FP94" vm="578">
        <f ca="1"/>
        <v>166.05</v>
      </c>
      <c r="FQ94" vm="579">
        <f ca="1"/>
        <v>170.6</v>
      </c>
      <c r="FR94" vm="580">
        <f ca="1"/>
        <v>170.4</v>
      </c>
      <c r="FS94" vm="581">
        <f ca="1"/>
        <v>174.1</v>
      </c>
      <c r="FT94" vm="536">
        <f ca="1"/>
        <v>175.1</v>
      </c>
      <c r="FU94" vm="582">
        <f ca="1"/>
        <v>175.4</v>
      </c>
      <c r="FV94" vm="583">
        <f ca="1"/>
        <v>175.15</v>
      </c>
      <c r="FW94" vm="584">
        <f ca="1"/>
        <v>173.3</v>
      </c>
      <c r="FX94" vm="585">
        <f ca="1"/>
        <v>180.55</v>
      </c>
      <c r="FY94" vm="586">
        <f ca="1"/>
        <v>179.35</v>
      </c>
      <c r="FZ94" vm="587">
        <f ca="1"/>
        <v>179.15</v>
      </c>
      <c r="GA94" vm="588">
        <f ca="1"/>
        <v>179.1</v>
      </c>
      <c r="GB94" vm="536">
        <f ca="1"/>
        <v>175.1</v>
      </c>
      <c r="GC94" vm="536">
        <f ca="1"/>
        <v>175.1</v>
      </c>
      <c r="GD94" vm="589">
        <f ca="1"/>
        <v>174.7</v>
      </c>
      <c r="GE94" vm="581">
        <f ca="1"/>
        <v>174.1</v>
      </c>
      <c r="GF94" vm="590">
        <f ca="1"/>
        <v>163.5</v>
      </c>
      <c r="GG94" vm="591">
        <f ca="1"/>
        <v>165.8</v>
      </c>
      <c r="GH94" vm="592">
        <f ca="1"/>
        <v>165.75</v>
      </c>
      <c r="GI94" vm="593">
        <f ca="1"/>
        <v>168.3</v>
      </c>
      <c r="GJ94" vm="594">
        <f ca="1"/>
        <v>168.45</v>
      </c>
      <c r="GK94" vm="449">
        <f ca="1"/>
        <v>171.1</v>
      </c>
      <c r="GL94" vm="595">
        <f ca="1"/>
        <v>166.85</v>
      </c>
      <c r="GM94" vm="596">
        <f ca="1"/>
        <v>180.35</v>
      </c>
      <c r="GN94" vm="597">
        <f ca="1"/>
        <v>178.2</v>
      </c>
      <c r="GO94" vm="525">
        <f ca="1"/>
        <v>180.15</v>
      </c>
      <c r="GP94" vm="598">
        <f ca="1"/>
        <v>187.6</v>
      </c>
      <c r="GQ94" vm="599">
        <f ca="1"/>
        <v>186.95</v>
      </c>
      <c r="GR94" vm="600">
        <f ca="1"/>
        <v>187.9</v>
      </c>
      <c r="GS94" vm="511">
        <f ca="1"/>
        <v>180.4</v>
      </c>
      <c r="GT94" vm="601">
        <f ca="1"/>
        <v>180.05</v>
      </c>
      <c r="GU94" vm="602">
        <f ca="1"/>
        <v>182.5</v>
      </c>
      <c r="GV94" vm="603">
        <f ca="1"/>
        <v>181.3</v>
      </c>
      <c r="GW94" vm="485">
        <f ca="1"/>
        <v>186.05</v>
      </c>
      <c r="GX94" vm="523">
        <f ca="1"/>
        <v>184.55</v>
      </c>
      <c r="GY94" vm="604">
        <f ca="1"/>
        <v>183.95</v>
      </c>
      <c r="GZ94" vm="505">
        <f ca="1"/>
        <v>182.6</v>
      </c>
      <c r="HA94" vm="605">
        <f ca="1"/>
        <v>184.5</v>
      </c>
      <c r="HB94" vm="606">
        <f ca="1"/>
        <v>187.35</v>
      </c>
      <c r="HC94" vm="607">
        <f ca="1"/>
        <v>189.35</v>
      </c>
      <c r="HD94" vm="608">
        <f ca="1"/>
        <v>187.85</v>
      </c>
      <c r="HE94" vm="609">
        <f ca="1"/>
        <v>181.75</v>
      </c>
      <c r="HF94" vm="610">
        <f ca="1"/>
        <v>183.65</v>
      </c>
      <c r="HG94" vm="611">
        <f ca="1"/>
        <v>187.1</v>
      </c>
      <c r="HH94" vm="612">
        <f ca="1"/>
        <v>186.75</v>
      </c>
      <c r="HI94" vm="613">
        <f ca="1"/>
        <v>190.95</v>
      </c>
      <c r="HJ94" vm="614">
        <f ca="1"/>
        <v>192</v>
      </c>
      <c r="HK94" vm="510">
        <f ca="1"/>
        <v>180.95</v>
      </c>
      <c r="HL94" vm="615">
        <f ca="1"/>
        <v>182.1</v>
      </c>
      <c r="HM94" vm="616">
        <f ca="1"/>
        <v>179.85</v>
      </c>
      <c r="HN94" vm="617">
        <f ca="1"/>
        <v>183.7</v>
      </c>
      <c r="HO94" vm="618">
        <f ca="1"/>
        <v>171.4</v>
      </c>
      <c r="HP94" vm="562">
        <f ca="1"/>
        <v>173.05</v>
      </c>
      <c r="HQ94" vm="619">
        <f ca="1"/>
        <v>173.8</v>
      </c>
      <c r="HR94" vm="620">
        <f ca="1"/>
        <v>172.9</v>
      </c>
      <c r="HS94" vm="621">
        <f ca="1"/>
        <v>170</v>
      </c>
      <c r="HT94" vm="622">
        <f ca="1"/>
        <v>169.05</v>
      </c>
      <c r="HU94" vm="455">
        <f ca="1"/>
        <v>173.45</v>
      </c>
      <c r="HV94" vm="527">
        <f ca="1"/>
        <v>175.05</v>
      </c>
      <c r="HW94" vm="623">
        <f ca="1"/>
        <v>177.1</v>
      </c>
      <c r="HX94" vm="460">
        <f ca="1"/>
        <v>175.55</v>
      </c>
      <c r="HY94" vm="582">
        <f ca="1"/>
        <v>175.4</v>
      </c>
      <c r="HZ94" vm="624">
        <f ca="1"/>
        <v>181.85</v>
      </c>
      <c r="IA94" vm="625">
        <f ca="1"/>
        <v>201.05</v>
      </c>
      <c r="IB94" vm="626">
        <f ca="1"/>
        <v>204.2</v>
      </c>
      <c r="IC94" vm="627">
        <f ca="1"/>
        <v>205.55</v>
      </c>
      <c r="ID94" vm="628">
        <f ca="1"/>
        <v>204.8</v>
      </c>
      <c r="IE94" vm="629">
        <f ca="1"/>
        <v>203.15</v>
      </c>
      <c r="IF94" vm="630">
        <f ca="1"/>
        <v>202.95</v>
      </c>
      <c r="IG94" vm="631">
        <f ca="1"/>
        <v>202.9</v>
      </c>
      <c r="IH94" vm="632">
        <f ca="1"/>
        <v>202.55</v>
      </c>
      <c r="II94" vm="627">
        <f ca="1"/>
        <v>205.55</v>
      </c>
      <c r="IJ94" vm="633">
        <f ca="1"/>
        <v>203.5</v>
      </c>
      <c r="IK94" vm="634">
        <f ca="1"/>
        <v>201.95</v>
      </c>
      <c r="IL94" vm="635">
        <f ca="1"/>
        <v>200.9</v>
      </c>
      <c r="IM94" vm="636">
        <f ca="1"/>
        <v>202.7</v>
      </c>
      <c r="IN94" vm="637">
        <f ca="1"/>
        <v>216.85</v>
      </c>
      <c r="IO94" vm="638">
        <f ca="1"/>
        <v>216.3</v>
      </c>
      <c r="IP94" vm="639">
        <f ca="1"/>
        <v>229.8</v>
      </c>
      <c r="IQ94" vm="640">
        <f ca="1"/>
        <v>231.3</v>
      </c>
      <c r="IR94" vm="641">
        <f ca="1"/>
        <v>240.65</v>
      </c>
    </row>
    <row r="95" spans="1:252" x14ac:dyDescent="0.35">
      <c r="D95" t="e" vm="2">
        <v>#VALUE!</v>
      </c>
      <c r="E95" cm="1" vm="642">
        <f t="array" aca="1" ref="E95:IR95" ca="1">TRANSPOSE((_xlfn.STOCKHISTORY('Portfolio Tracker '!$C9,TODAY()-365,TODAY(),0,0,1)))</f>
        <v>935</v>
      </c>
      <c r="F95" vm="643">
        <f ca="1"/>
        <v>924.2</v>
      </c>
      <c r="G95" vm="644">
        <f ca="1"/>
        <v>922.8</v>
      </c>
      <c r="H95" vm="645">
        <f ca="1"/>
        <v>928.9</v>
      </c>
      <c r="I95" vm="646">
        <f ca="1"/>
        <v>940.35</v>
      </c>
      <c r="J95" vm="647">
        <f ca="1"/>
        <v>944.7</v>
      </c>
      <c r="K95" vm="648">
        <f ca="1"/>
        <v>936.8</v>
      </c>
      <c r="L95" vm="649">
        <f ca="1"/>
        <v>925.55</v>
      </c>
      <c r="M95" vm="650">
        <f ca="1"/>
        <v>919.9</v>
      </c>
      <c r="N95" vm="651">
        <f ca="1"/>
        <v>921.4</v>
      </c>
      <c r="O95" vm="652">
        <f ca="1"/>
        <v>909.05</v>
      </c>
      <c r="P95" vm="653">
        <f ca="1"/>
        <v>901.4</v>
      </c>
      <c r="Q95" vm="654">
        <f ca="1"/>
        <v>911.2</v>
      </c>
      <c r="R95" vm="655">
        <f ca="1"/>
        <v>915.1</v>
      </c>
      <c r="S95" vm="656">
        <f ca="1"/>
        <v>905.6</v>
      </c>
      <c r="T95" vm="657">
        <f ca="1"/>
        <v>908.45</v>
      </c>
      <c r="U95" vm="658">
        <f ca="1"/>
        <v>925.2</v>
      </c>
      <c r="V95" vm="659">
        <f ca="1"/>
        <v>937.95</v>
      </c>
      <c r="W95" vm="660">
        <f ca="1"/>
        <v>924.95</v>
      </c>
      <c r="X95" vm="661">
        <f ca="1"/>
        <v>942.3</v>
      </c>
      <c r="Y95" vm="662">
        <f ca="1"/>
        <v>945.25</v>
      </c>
      <c r="Z95" vm="663">
        <f ca="1"/>
        <v>959.15</v>
      </c>
      <c r="AA95" vm="664">
        <f ca="1"/>
        <v>958.85</v>
      </c>
      <c r="AB95" vm="665">
        <f ca="1"/>
        <v>963.35</v>
      </c>
      <c r="AC95" vm="666">
        <f ca="1"/>
        <v>986.35</v>
      </c>
      <c r="AD95" vm="667">
        <f ca="1"/>
        <v>987</v>
      </c>
      <c r="AE95" vm="668">
        <f ca="1"/>
        <v>995.3</v>
      </c>
      <c r="AF95" vm="669">
        <f ca="1"/>
        <v>1001.95</v>
      </c>
      <c r="AG95" vm="670">
        <f ca="1"/>
        <v>1014.3</v>
      </c>
      <c r="AH95" vm="671">
        <f ca="1"/>
        <v>1016.55</v>
      </c>
      <c r="AI95" vm="672">
        <f ca="1"/>
        <v>988.8</v>
      </c>
      <c r="AJ95" vm="673">
        <f ca="1"/>
        <v>1003.25</v>
      </c>
      <c r="AK95" vm="674">
        <f ca="1"/>
        <v>1031.75</v>
      </c>
      <c r="AL95" vm="675">
        <f ca="1"/>
        <v>1034.3</v>
      </c>
      <c r="AM95" vm="676">
        <f ca="1"/>
        <v>1024.2</v>
      </c>
      <c r="AN95" vm="677">
        <f ca="1"/>
        <v>1081.2</v>
      </c>
      <c r="AO95" vm="678">
        <f ca="1"/>
        <v>1119.5</v>
      </c>
      <c r="AP95" vm="679">
        <f ca="1"/>
        <v>1117.8</v>
      </c>
      <c r="AQ95" vm="680">
        <f ca="1"/>
        <v>1083.9000000000001</v>
      </c>
      <c r="AR95" vm="681">
        <f ca="1"/>
        <v>1095.7</v>
      </c>
      <c r="AS95" vm="682">
        <f ca="1"/>
        <v>1105.9000000000001</v>
      </c>
      <c r="AT95" vm="683">
        <f ca="1"/>
        <v>1088</v>
      </c>
      <c r="AU95" vm="684">
        <f ca="1"/>
        <v>1096.3</v>
      </c>
      <c r="AV95" vm="685">
        <f ca="1"/>
        <v>1073.8499999999999</v>
      </c>
      <c r="AW95" vm="686">
        <f ca="1"/>
        <v>1062.95</v>
      </c>
      <c r="AX95" vm="687">
        <f ca="1"/>
        <v>1072.3499999999999</v>
      </c>
      <c r="AY95" vm="688">
        <f ca="1"/>
        <v>1067.45</v>
      </c>
      <c r="AZ95" vm="689">
        <f ca="1"/>
        <v>1056.75</v>
      </c>
      <c r="BA95" vm="690">
        <f ca="1"/>
        <v>1032.0999999999999</v>
      </c>
      <c r="BB95" vm="691">
        <f ca="1"/>
        <v>1070.1500000000001</v>
      </c>
      <c r="BC95" vm="692">
        <f ca="1"/>
        <v>1057.25</v>
      </c>
      <c r="BD95" vm="693">
        <f ca="1"/>
        <v>1065.8</v>
      </c>
      <c r="BE95" vm="694">
        <f ca="1"/>
        <v>1086.3</v>
      </c>
      <c r="BF95" vm="695">
        <f ca="1"/>
        <v>1086.55</v>
      </c>
      <c r="BG95" vm="696">
        <f ca="1"/>
        <v>1071.7</v>
      </c>
      <c r="BH95" vm="697">
        <f ca="1"/>
        <v>1075.3</v>
      </c>
      <c r="BI95" vm="698">
        <f ca="1"/>
        <v>1064.25</v>
      </c>
      <c r="BJ95" vm="699">
        <f ca="1"/>
        <v>1047.3</v>
      </c>
      <c r="BK95" vm="700">
        <f ca="1"/>
        <v>1050.6500000000001</v>
      </c>
      <c r="BL95" vm="701">
        <f ca="1"/>
        <v>1036.3</v>
      </c>
      <c r="BM95" vm="702">
        <f ca="1"/>
        <v>1076.7</v>
      </c>
      <c r="BN95" vm="703">
        <f ca="1"/>
        <v>1066.2</v>
      </c>
      <c r="BO95" vm="704">
        <f ca="1"/>
        <v>1046.8</v>
      </c>
      <c r="BP95" vm="705">
        <f ca="1"/>
        <v>1073.75</v>
      </c>
      <c r="BQ95" vm="706">
        <f ca="1"/>
        <v>1138.8499999999999</v>
      </c>
      <c r="BR95" vm="707">
        <f ca="1"/>
        <v>1119.0999999999999</v>
      </c>
      <c r="BS95" vm="708">
        <f ca="1"/>
        <v>1098.95</v>
      </c>
      <c r="BT95" vm="709">
        <f ca="1"/>
        <v>1109.3499999999999</v>
      </c>
      <c r="BU95" vm="710">
        <f ca="1"/>
        <v>1110.55</v>
      </c>
      <c r="BV95" vm="711">
        <f ca="1"/>
        <v>1111.4000000000001</v>
      </c>
      <c r="BW95" vm="712">
        <f ca="1"/>
        <v>1121.0999999999999</v>
      </c>
      <c r="BX95" vm="713">
        <f ca="1"/>
        <v>1100.3</v>
      </c>
      <c r="BY95" vm="714">
        <f ca="1"/>
        <v>1071.0999999999999</v>
      </c>
      <c r="BZ95" vm="715">
        <f ca="1"/>
        <v>1067.5999999999999</v>
      </c>
      <c r="CA95" vm="716">
        <f ca="1"/>
        <v>1091.8499999999999</v>
      </c>
      <c r="CB95" vm="717">
        <f ca="1"/>
        <v>1079.95</v>
      </c>
      <c r="CC95" vm="718">
        <f ca="1"/>
        <v>1082.8499999999999</v>
      </c>
      <c r="CD95" vm="719">
        <f ca="1"/>
        <v>1074.7</v>
      </c>
      <c r="CE95" vm="720">
        <f ca="1"/>
        <v>1083.05</v>
      </c>
      <c r="CF95" vm="721">
        <f ca="1"/>
        <v>1084.05</v>
      </c>
      <c r="CG95" vm="722">
        <f ca="1"/>
        <v>1100.25</v>
      </c>
      <c r="CH95" vm="723">
        <f ca="1"/>
        <v>1090.6500000000001</v>
      </c>
      <c r="CI95" vm="724">
        <f ca="1"/>
        <v>1090.05</v>
      </c>
      <c r="CJ95" vm="725">
        <f ca="1"/>
        <v>1087.9000000000001</v>
      </c>
      <c r="CK95" vm="726">
        <f ca="1"/>
        <v>1080.55</v>
      </c>
      <c r="CL95" vm="727">
        <f ca="1"/>
        <v>1078.25</v>
      </c>
      <c r="CM95" vm="728">
        <f ca="1"/>
        <v>1077.8499999999999</v>
      </c>
      <c r="CN95" vm="729">
        <f ca="1"/>
        <v>1081.1500000000001</v>
      </c>
      <c r="CO95" vm="730">
        <f ca="1"/>
        <v>1095.45</v>
      </c>
      <c r="CP95" vm="731">
        <f ca="1"/>
        <v>1125.3499999999999</v>
      </c>
      <c r="CQ95" vm="732">
        <f ca="1"/>
        <v>1116.4000000000001</v>
      </c>
      <c r="CR95" vm="733">
        <f ca="1"/>
        <v>1159.0999999999999</v>
      </c>
      <c r="CS95" vm="734">
        <f ca="1"/>
        <v>1153.6500000000001</v>
      </c>
      <c r="CT95" vm="735">
        <f ca="1"/>
        <v>1102.25</v>
      </c>
      <c r="CU95" vm="736">
        <f ca="1"/>
        <v>1118.8499999999999</v>
      </c>
      <c r="CV95" vm="737">
        <f ca="1"/>
        <v>1113.8499999999999</v>
      </c>
      <c r="CW95" vm="738">
        <f ca="1"/>
        <v>1109.9000000000001</v>
      </c>
      <c r="CX95" vm="739">
        <f ca="1"/>
        <v>1105.0999999999999</v>
      </c>
      <c r="CY95" vm="740">
        <f ca="1"/>
        <v>1094.0999999999999</v>
      </c>
      <c r="CZ95" vm="741">
        <f ca="1"/>
        <v>1088.25</v>
      </c>
      <c r="DA95" vm="742">
        <f ca="1"/>
        <v>1080.9000000000001</v>
      </c>
      <c r="DB95" vm="743">
        <f ca="1"/>
        <v>1064.8499999999999</v>
      </c>
      <c r="DC95" vm="744">
        <f ca="1"/>
        <v>1076</v>
      </c>
      <c r="DD95" vm="745">
        <f ca="1"/>
        <v>1092.25</v>
      </c>
      <c r="DE95" vm="746">
        <f ca="1"/>
        <v>1100.3499999999999</v>
      </c>
      <c r="DF95" vm="747">
        <f ca="1"/>
        <v>1106.9000000000001</v>
      </c>
      <c r="DG95" vm="748">
        <f ca="1"/>
        <v>1115</v>
      </c>
      <c r="DH95" vm="749">
        <f ca="1"/>
        <v>1100.0999999999999</v>
      </c>
      <c r="DI95" vm="750">
        <f ca="1"/>
        <v>1090.9000000000001</v>
      </c>
      <c r="DJ95" vm="751">
        <f ca="1"/>
        <v>1092.95</v>
      </c>
      <c r="DK95" vm="752">
        <f ca="1"/>
        <v>1067</v>
      </c>
      <c r="DL95" vm="692">
        <f ca="1"/>
        <v>1057.25</v>
      </c>
      <c r="DM95" vm="753">
        <f ca="1"/>
        <v>1075.8</v>
      </c>
      <c r="DN95" vm="754">
        <f ca="1"/>
        <v>1080.5999999999999</v>
      </c>
      <c r="DO95" vm="755">
        <f ca="1"/>
        <v>1077.3</v>
      </c>
      <c r="DP95" vm="756">
        <f ca="1"/>
        <v>1060.8499999999999</v>
      </c>
      <c r="DQ95" vm="757">
        <f ca="1"/>
        <v>1072.3</v>
      </c>
      <c r="DR95" vm="758">
        <f ca="1"/>
        <v>1064.55</v>
      </c>
      <c r="DS95" vm="759">
        <f ca="1"/>
        <v>1071.2</v>
      </c>
      <c r="DT95" vm="760">
        <f ca="1"/>
        <v>1072.2</v>
      </c>
      <c r="DU95" vm="761">
        <f ca="1"/>
        <v>1036</v>
      </c>
      <c r="DV95" vm="762">
        <f ca="1"/>
        <v>1025</v>
      </c>
      <c r="DW95" vm="763">
        <f ca="1"/>
        <v>1016.25</v>
      </c>
      <c r="DX95" vm="764">
        <f ca="1"/>
        <v>1043.3</v>
      </c>
      <c r="DY95" vm="765">
        <f ca="1"/>
        <v>1062.8</v>
      </c>
      <c r="DZ95" vm="766">
        <f ca="1"/>
        <v>1051.3499999999999</v>
      </c>
      <c r="EA95" vm="767">
        <f ca="1"/>
        <v>1041.1500000000001</v>
      </c>
      <c r="EB95" vm="768">
        <f ca="1"/>
        <v>1068.3499999999999</v>
      </c>
      <c r="EC95" vm="769">
        <f ca="1"/>
        <v>1062.9000000000001</v>
      </c>
      <c r="ED95" vm="719">
        <f ca="1"/>
        <v>1074.7</v>
      </c>
      <c r="EE95" vm="770">
        <f ca="1"/>
        <v>1068.25</v>
      </c>
      <c r="EF95" vm="242">
        <f ca="1"/>
        <v>1045.25</v>
      </c>
      <c r="EG95" vm="771">
        <f ca="1"/>
        <v>1025.75</v>
      </c>
      <c r="EH95" vm="772">
        <f ca="1"/>
        <v>1017.6</v>
      </c>
      <c r="EI95" vm="773">
        <f ca="1"/>
        <v>1033.8499999999999</v>
      </c>
      <c r="EJ95" vm="774">
        <f ca="1"/>
        <v>1018.8</v>
      </c>
      <c r="EK95" vm="775">
        <f ca="1"/>
        <v>1026.05</v>
      </c>
      <c r="EL95" vm="776">
        <f ca="1"/>
        <v>1025.45</v>
      </c>
      <c r="EM95" vm="777">
        <f ca="1"/>
        <v>1035.8</v>
      </c>
      <c r="EN95" vm="778">
        <f ca="1"/>
        <v>1041.2</v>
      </c>
      <c r="EO95" vm="779">
        <f ca="1"/>
        <v>1055.3499999999999</v>
      </c>
      <c r="EP95" vm="780">
        <f ca="1"/>
        <v>1067.4000000000001</v>
      </c>
      <c r="EQ95" vm="781">
        <f ca="1"/>
        <v>1084.5999999999999</v>
      </c>
      <c r="ER95" vm="782">
        <f ca="1"/>
        <v>1096.4000000000001</v>
      </c>
      <c r="ES95" vm="783">
        <f ca="1"/>
        <v>1112.55</v>
      </c>
      <c r="ET95" vm="784">
        <f ca="1"/>
        <v>1122.05</v>
      </c>
      <c r="EU95" vm="785">
        <f ca="1"/>
        <v>1115.2</v>
      </c>
      <c r="EV95" vm="786">
        <f ca="1"/>
        <v>1135.4000000000001</v>
      </c>
      <c r="EW95" vm="787">
        <f ca="1"/>
        <v>1133.05</v>
      </c>
      <c r="EX95" vm="788">
        <f ca="1"/>
        <v>1126.05</v>
      </c>
      <c r="EY95" vm="789">
        <f ca="1"/>
        <v>1129.55</v>
      </c>
      <c r="EZ95" vm="790">
        <f ca="1"/>
        <v>1139.5</v>
      </c>
      <c r="FA95" vm="791">
        <f ca="1"/>
        <v>1127.5999999999999</v>
      </c>
      <c r="FB95" vm="792">
        <f ca="1"/>
        <v>1187.45</v>
      </c>
      <c r="FC95" vm="793">
        <f ca="1"/>
        <v>1197.6500000000001</v>
      </c>
      <c r="FD95" vm="794">
        <f ca="1"/>
        <v>1194.95</v>
      </c>
      <c r="FE95" vm="795">
        <f ca="1"/>
        <v>1204.0999999999999</v>
      </c>
      <c r="FF95" vm="796">
        <f ca="1"/>
        <v>1213.2</v>
      </c>
      <c r="FG95" vm="797">
        <f ca="1"/>
        <v>1245.8</v>
      </c>
      <c r="FH95" vm="798">
        <f ca="1"/>
        <v>1254.2</v>
      </c>
      <c r="FI95" vm="799">
        <f ca="1"/>
        <v>1190</v>
      </c>
      <c r="FJ95" vm="800">
        <f ca="1"/>
        <v>1220.3</v>
      </c>
      <c r="FK95" vm="801">
        <f ca="1"/>
        <v>1216.95</v>
      </c>
      <c r="FL95" vm="802">
        <f ca="1"/>
        <v>1225.0999999999999</v>
      </c>
      <c r="FM95" vm="803">
        <f ca="1"/>
        <v>1217.7</v>
      </c>
      <c r="FN95" vm="804">
        <f ca="1"/>
        <v>1252.45</v>
      </c>
      <c r="FO95" vm="805">
        <f ca="1"/>
        <v>1306.0999999999999</v>
      </c>
      <c r="FP95" vm="806">
        <f ca="1"/>
        <v>1320.1</v>
      </c>
      <c r="FQ95" vm="807">
        <f ca="1"/>
        <v>1309.5999999999999</v>
      </c>
      <c r="FR95" vm="808">
        <f ca="1"/>
        <v>1309.5</v>
      </c>
      <c r="FS95" vm="809">
        <f ca="1"/>
        <v>1312.95</v>
      </c>
      <c r="FT95" vm="810">
        <f ca="1"/>
        <v>1306.3499999999999</v>
      </c>
      <c r="FU95" vm="811">
        <f ca="1"/>
        <v>1273.55</v>
      </c>
      <c r="FV95" vm="812">
        <f ca="1"/>
        <v>1269.55</v>
      </c>
      <c r="FW95" vm="813">
        <f ca="1"/>
        <v>1271.6500000000001</v>
      </c>
      <c r="FX95" vm="814">
        <f ca="1"/>
        <v>1282.55</v>
      </c>
      <c r="FY95" vm="815">
        <f ca="1"/>
        <v>1293.9000000000001</v>
      </c>
      <c r="FZ95" vm="816">
        <f ca="1"/>
        <v>1304.2</v>
      </c>
      <c r="GA95" vm="817">
        <f ca="1"/>
        <v>1290.05</v>
      </c>
      <c r="GB95" vm="818">
        <f ca="1"/>
        <v>1285.7</v>
      </c>
      <c r="GC95" vm="819">
        <f ca="1"/>
        <v>1255.7</v>
      </c>
      <c r="GD95" vm="820">
        <f ca="1"/>
        <v>1265.25</v>
      </c>
      <c r="GE95" vm="821">
        <f ca="1"/>
        <v>1234.3</v>
      </c>
      <c r="GF95" vm="822">
        <f ca="1"/>
        <v>1187.2</v>
      </c>
      <c r="GG95" vm="823">
        <f ca="1"/>
        <v>1224.8</v>
      </c>
      <c r="GH95" vm="824">
        <f ca="1"/>
        <v>1219.6500000000001</v>
      </c>
      <c r="GI95" vm="825">
        <f ca="1"/>
        <v>1199.75</v>
      </c>
      <c r="GJ95" vm="826">
        <f ca="1"/>
        <v>1191.6500000000001</v>
      </c>
      <c r="GK95" vm="827">
        <f ca="1"/>
        <v>1241</v>
      </c>
      <c r="GL95" vm="828">
        <f ca="1"/>
        <v>1214.2</v>
      </c>
      <c r="GM95" vm="829">
        <f ca="1"/>
        <v>1230.5999999999999</v>
      </c>
      <c r="GN95" vm="830">
        <f ca="1"/>
        <v>1195</v>
      </c>
      <c r="GO95" vm="831">
        <f ca="1"/>
        <v>1184.25</v>
      </c>
      <c r="GP95" vm="832">
        <f ca="1"/>
        <v>1183.5</v>
      </c>
      <c r="GQ95" vm="833">
        <f ca="1"/>
        <v>1156.45</v>
      </c>
      <c r="GR95" vm="834">
        <f ca="1"/>
        <v>1114.25</v>
      </c>
      <c r="GS95" vm="835">
        <f ca="1"/>
        <v>1115.95</v>
      </c>
      <c r="GT95" vm="836">
        <f ca="1"/>
        <v>1136</v>
      </c>
      <c r="GU95" vm="837">
        <f ca="1"/>
        <v>1137.9000000000001</v>
      </c>
      <c r="GV95" vm="838">
        <f ca="1"/>
        <v>1183.2</v>
      </c>
      <c r="GW95" vm="839">
        <f ca="1"/>
        <v>1161.9000000000001</v>
      </c>
      <c r="GX95" vm="840">
        <f ca="1"/>
        <v>1160.05</v>
      </c>
      <c r="GY95" vm="841">
        <f ca="1"/>
        <v>1145.8499999999999</v>
      </c>
      <c r="GZ95" vm="842">
        <f ca="1"/>
        <v>1126.7</v>
      </c>
      <c r="HA95" vm="843">
        <f ca="1"/>
        <v>1138.3499999999999</v>
      </c>
      <c r="HB95" vm="844">
        <f ca="1"/>
        <v>1136.6500000000001</v>
      </c>
      <c r="HC95" vm="845">
        <f ca="1"/>
        <v>1129.3</v>
      </c>
      <c r="HD95" vm="846">
        <f ca="1"/>
        <v>1120.25</v>
      </c>
      <c r="HE95" vm="847">
        <f ca="1"/>
        <v>1104.45</v>
      </c>
      <c r="HF95" vm="848">
        <f ca="1"/>
        <v>1118.1500000000001</v>
      </c>
      <c r="HG95" vm="849">
        <f ca="1"/>
        <v>1115.3</v>
      </c>
      <c r="HH95" vm="850">
        <f ca="1"/>
        <v>1125.0999999999999</v>
      </c>
      <c r="HI95" vm="851">
        <f ca="1"/>
        <v>1117.55</v>
      </c>
      <c r="HJ95" vm="852">
        <f ca="1"/>
        <v>1089.95</v>
      </c>
      <c r="HK95" vm="853">
        <f ca="1"/>
        <v>1077.5999999999999</v>
      </c>
      <c r="HL95" vm="854">
        <f ca="1"/>
        <v>1095.0999999999999</v>
      </c>
      <c r="HM95" vm="855">
        <f ca="1"/>
        <v>1057.95</v>
      </c>
      <c r="HN95" vm="856">
        <f ca="1"/>
        <v>1048.0999999999999</v>
      </c>
      <c r="HO95" vm="857">
        <f ca="1"/>
        <v>1022</v>
      </c>
      <c r="HP95" vm="858">
        <f ca="1"/>
        <v>1033.6500000000001</v>
      </c>
      <c r="HQ95" vm="859">
        <f ca="1"/>
        <v>1022.7</v>
      </c>
      <c r="HR95" vm="860">
        <f ca="1"/>
        <v>1027.2</v>
      </c>
      <c r="HS95" vm="861">
        <f ca="1"/>
        <v>1013.6</v>
      </c>
      <c r="HT95" vm="862">
        <f ca="1"/>
        <v>1025.6500000000001</v>
      </c>
      <c r="HU95" vm="863">
        <f ca="1"/>
        <v>1060.5999999999999</v>
      </c>
      <c r="HV95" vm="864">
        <f ca="1"/>
        <v>1090.55</v>
      </c>
      <c r="HW95" vm="865">
        <f ca="1"/>
        <v>1059.9000000000001</v>
      </c>
      <c r="HX95" vm="866">
        <f ca="1"/>
        <v>1051.3</v>
      </c>
      <c r="HY95" vm="867">
        <f ca="1"/>
        <v>1041.7</v>
      </c>
      <c r="HZ95" vm="868">
        <f ca="1"/>
        <v>1078.9000000000001</v>
      </c>
      <c r="IA95" vm="869">
        <f ca="1"/>
        <v>1092</v>
      </c>
      <c r="IB95" vm="870">
        <f ca="1"/>
        <v>1107.0999999999999</v>
      </c>
      <c r="IC95" vm="871">
        <f ca="1"/>
        <v>1095.8</v>
      </c>
      <c r="ID95" vm="872">
        <f ca="1"/>
        <v>1096</v>
      </c>
      <c r="IE95" vm="873">
        <f ca="1"/>
        <v>1082.4000000000001</v>
      </c>
      <c r="IF95" vm="874">
        <f ca="1"/>
        <v>1079.7</v>
      </c>
      <c r="IG95" vm="745">
        <f ca="1"/>
        <v>1092.25</v>
      </c>
      <c r="IH95" vm="875">
        <f ca="1"/>
        <v>1070.25</v>
      </c>
      <c r="II95" vm="876">
        <f ca="1"/>
        <v>1066.5999999999999</v>
      </c>
      <c r="IJ95" vm="877">
        <f ca="1"/>
        <v>1079</v>
      </c>
      <c r="IK95" vm="878">
        <f ca="1"/>
        <v>1082.3</v>
      </c>
      <c r="IL95" vm="879">
        <f ca="1"/>
        <v>1067.2</v>
      </c>
      <c r="IM95" vm="880">
        <f ca="1"/>
        <v>1061</v>
      </c>
      <c r="IN95" vm="881">
        <f ca="1"/>
        <v>1066</v>
      </c>
      <c r="IO95" vm="882">
        <f ca="1"/>
        <v>1075.2</v>
      </c>
      <c r="IP95" vm="883">
        <f ca="1"/>
        <v>1065.95</v>
      </c>
      <c r="IQ95" vm="884">
        <f ca="1"/>
        <v>1105.4000000000001</v>
      </c>
      <c r="IR95" vm="885">
        <f ca="1"/>
        <v>1105.75</v>
      </c>
    </row>
    <row r="96" spans="1:252" x14ac:dyDescent="0.35">
      <c r="D96" t="e" vm="3">
        <v>#VALUE!</v>
      </c>
      <c r="E96" cm="1" vm="886">
        <f t="array" aca="1" ref="E96:IR96" ca="1">TRANSPOSE((_xlfn.STOCKHISTORY('Portfolio Tracker '!$C10,TODAY()-365,TODAY(),0,0,1)))</f>
        <v>2899.55</v>
      </c>
      <c r="F96" vm="887">
        <f ca="1"/>
        <v>2929.7</v>
      </c>
      <c r="G96" vm="888">
        <f ca="1"/>
        <v>2982.85</v>
      </c>
      <c r="H96" vm="889">
        <f ca="1"/>
        <v>3012.95</v>
      </c>
      <c r="I96" vm="890">
        <f ca="1"/>
        <v>3019.45</v>
      </c>
      <c r="J96" vm="891">
        <f ca="1"/>
        <v>3034.8</v>
      </c>
      <c r="K96" vm="892">
        <f ca="1"/>
        <v>3041.4</v>
      </c>
      <c r="L96" vm="893">
        <f ca="1"/>
        <v>3139.75</v>
      </c>
      <c r="M96" vm="894">
        <f ca="1"/>
        <v>3131.1</v>
      </c>
      <c r="N96" vm="895">
        <f ca="1"/>
        <v>3132</v>
      </c>
      <c r="O96" vm="896">
        <f ca="1"/>
        <v>3138.1</v>
      </c>
      <c r="P96" vm="897">
        <f ca="1"/>
        <v>3092.45</v>
      </c>
      <c r="Q96" vm="898">
        <f ca="1"/>
        <v>3109.05</v>
      </c>
      <c r="R96" vm="899">
        <f ca="1"/>
        <v>3084.45</v>
      </c>
      <c r="S96" vm="900">
        <f ca="1"/>
        <v>3084.9</v>
      </c>
      <c r="T96" vm="901">
        <f ca="1"/>
        <v>3120.6</v>
      </c>
      <c r="U96" vm="902">
        <f ca="1"/>
        <v>3101.5</v>
      </c>
      <c r="V96" vm="903">
        <f ca="1"/>
        <v>3123.55</v>
      </c>
      <c r="W96" vm="904">
        <f ca="1"/>
        <v>3128.4</v>
      </c>
      <c r="X96" vm="905">
        <f ca="1"/>
        <v>3137.4</v>
      </c>
      <c r="Y96" vm="906">
        <f ca="1"/>
        <v>3144.4</v>
      </c>
      <c r="Z96" vm="907">
        <f ca="1"/>
        <v>3192.95</v>
      </c>
      <c r="AA96" vm="908">
        <f ca="1"/>
        <v>3240.7</v>
      </c>
      <c r="AB96" vm="909">
        <f ca="1"/>
        <v>3237.25</v>
      </c>
      <c r="AC96" vm="910">
        <f ca="1"/>
        <v>3199.75</v>
      </c>
      <c r="AD96" vm="911">
        <f ca="1"/>
        <v>3212.75</v>
      </c>
      <c r="AE96" vm="912">
        <f ca="1"/>
        <v>3224.8</v>
      </c>
      <c r="AF96" vm="913">
        <f ca="1"/>
        <v>3212.25</v>
      </c>
      <c r="AG96" vm="914">
        <f ca="1"/>
        <v>3180.55</v>
      </c>
      <c r="AH96" vm="915">
        <f ca="1"/>
        <v>3194.75</v>
      </c>
      <c r="AI96" vm="916">
        <f ca="1"/>
        <v>3262.85</v>
      </c>
      <c r="AJ96" vm="917">
        <f ca="1"/>
        <v>3270.2</v>
      </c>
      <c r="AK96" vm="918">
        <f ca="1"/>
        <v>3294.35</v>
      </c>
      <c r="AL96" vm="919">
        <f ca="1"/>
        <v>3316.85</v>
      </c>
      <c r="AM96" vm="920">
        <f ca="1"/>
        <v>3309.7</v>
      </c>
      <c r="AN96" vm="921">
        <f ca="1"/>
        <v>3318.7</v>
      </c>
      <c r="AO96" vm="922">
        <f ca="1"/>
        <v>3316.1</v>
      </c>
      <c r="AP96" vm="923">
        <f ca="1"/>
        <v>3248.05</v>
      </c>
      <c r="AQ96" vm="924">
        <f ca="1"/>
        <v>3297.7</v>
      </c>
      <c r="AR96" vm="925">
        <f ca="1"/>
        <v>3308.15</v>
      </c>
      <c r="AS96" vm="926">
        <f ca="1"/>
        <v>3326</v>
      </c>
      <c r="AT96" vm="927">
        <f ca="1"/>
        <v>3348.25</v>
      </c>
      <c r="AU96" vm="928">
        <f ca="1"/>
        <v>3362.05</v>
      </c>
      <c r="AV96" vm="929">
        <f ca="1"/>
        <v>3358.7</v>
      </c>
      <c r="AW96" vm="930">
        <f ca="1"/>
        <v>3347.7</v>
      </c>
      <c r="AX96" vm="931">
        <f ca="1"/>
        <v>3374.4</v>
      </c>
      <c r="AY96" vm="932">
        <f ca="1"/>
        <v>3399.4</v>
      </c>
      <c r="AZ96" vm="933">
        <f ca="1"/>
        <v>3343.7</v>
      </c>
      <c r="BA96" vm="934">
        <f ca="1"/>
        <v>3343.15</v>
      </c>
      <c r="BB96" vm="935">
        <f ca="1"/>
        <v>3392.55</v>
      </c>
      <c r="BC96" vm="936">
        <f ca="1"/>
        <v>3406.75</v>
      </c>
      <c r="BD96" vm="937">
        <f ca="1"/>
        <v>3398.55</v>
      </c>
      <c r="BE96" vm="938">
        <f ca="1"/>
        <v>3429.75</v>
      </c>
      <c r="BF96" vm="939">
        <f ca="1"/>
        <v>3460.4</v>
      </c>
      <c r="BG96" vm="940">
        <f ca="1"/>
        <v>3513.45</v>
      </c>
      <c r="BH96" vm="941">
        <f ca="1"/>
        <v>3514.65</v>
      </c>
      <c r="BI96" vm="942">
        <f ca="1"/>
        <v>3526</v>
      </c>
      <c r="BJ96" vm="943">
        <f ca="1"/>
        <v>3517.7</v>
      </c>
      <c r="BK96" vm="944">
        <f ca="1"/>
        <v>3543.7</v>
      </c>
      <c r="BL96" vm="945">
        <f ca="1"/>
        <v>3400.4</v>
      </c>
      <c r="BM96" vm="946">
        <f ca="1"/>
        <v>3373</v>
      </c>
      <c r="BN96" vm="947">
        <f ca="1"/>
        <v>3369.4</v>
      </c>
      <c r="BO96" vm="948">
        <f ca="1"/>
        <v>3390.7</v>
      </c>
      <c r="BP96" vm="949">
        <f ca="1"/>
        <v>3377.35</v>
      </c>
      <c r="BQ96" vm="950">
        <f ca="1"/>
        <v>3342.95</v>
      </c>
      <c r="BR96" vm="951">
        <f ca="1"/>
        <v>3362.9</v>
      </c>
      <c r="BS96" vm="952">
        <f ca="1"/>
        <v>3336.35</v>
      </c>
      <c r="BT96" vm="953">
        <f ca="1"/>
        <v>3339.65</v>
      </c>
      <c r="BU96" vm="954">
        <f ca="1"/>
        <v>3343</v>
      </c>
      <c r="BV96" vm="955">
        <f ca="1"/>
        <v>3348.05</v>
      </c>
      <c r="BW96" vm="956">
        <f ca="1"/>
        <v>3331</v>
      </c>
      <c r="BX96" vm="957">
        <f ca="1"/>
        <v>3237.9</v>
      </c>
      <c r="BY96" vm="958">
        <f ca="1"/>
        <v>3185.35</v>
      </c>
      <c r="BZ96" vm="959">
        <f ca="1"/>
        <v>3202.6</v>
      </c>
      <c r="CA96" vm="960">
        <f ca="1"/>
        <v>3194.05</v>
      </c>
      <c r="CB96" vm="961">
        <f ca="1"/>
        <v>3183.25</v>
      </c>
      <c r="CC96" vm="962">
        <f ca="1"/>
        <v>3163.55</v>
      </c>
      <c r="CD96" vm="963">
        <f ca="1"/>
        <v>3182.3</v>
      </c>
      <c r="CE96" vm="964">
        <f ca="1"/>
        <v>3179.7</v>
      </c>
      <c r="CF96" vm="965">
        <f ca="1"/>
        <v>3168.8</v>
      </c>
      <c r="CG96" vm="966">
        <f ca="1"/>
        <v>3225.6</v>
      </c>
      <c r="CH96" vm="967">
        <f ca="1"/>
        <v>3259.3</v>
      </c>
      <c r="CI96" vm="968">
        <f ca="1"/>
        <v>3259.7</v>
      </c>
      <c r="CJ96" vm="969">
        <f ca="1"/>
        <v>3285.7</v>
      </c>
      <c r="CK96" vm="970">
        <f ca="1"/>
        <v>3294.7</v>
      </c>
      <c r="CL96" vm="971">
        <f ca="1"/>
        <v>3256.1</v>
      </c>
      <c r="CM96" vm="972">
        <f ca="1"/>
        <v>3259.55</v>
      </c>
      <c r="CN96" vm="973">
        <f ca="1"/>
        <v>3235.55</v>
      </c>
      <c r="CO96" vm="974">
        <f ca="1"/>
        <v>3223.3</v>
      </c>
      <c r="CP96" vm="975">
        <f ca="1"/>
        <v>3225.3</v>
      </c>
      <c r="CQ96" vm="976">
        <f ca="1"/>
        <v>3246.35</v>
      </c>
      <c r="CR96" vm="977">
        <f ca="1"/>
        <v>3238.05</v>
      </c>
      <c r="CS96" vm="978">
        <f ca="1"/>
        <v>3259.4</v>
      </c>
      <c r="CT96" vm="979">
        <f ca="1"/>
        <v>3256.85</v>
      </c>
      <c r="CU96" vm="980">
        <f ca="1"/>
        <v>3277.75</v>
      </c>
      <c r="CV96" vm="981">
        <f ca="1"/>
        <v>3240.25</v>
      </c>
      <c r="CW96" vm="982">
        <f ca="1"/>
        <v>3196.65</v>
      </c>
      <c r="CX96" vm="983">
        <f ca="1"/>
        <v>3206.3</v>
      </c>
      <c r="CY96" vm="984">
        <f ca="1"/>
        <v>3214.35</v>
      </c>
      <c r="CZ96" vm="985">
        <f ca="1"/>
        <v>3244.2</v>
      </c>
      <c r="DA96" vm="986">
        <f ca="1"/>
        <v>3274.85</v>
      </c>
      <c r="DB96" vm="987">
        <f ca="1"/>
        <v>3323.25</v>
      </c>
      <c r="DC96" vm="988">
        <f ca="1"/>
        <v>3292.8</v>
      </c>
      <c r="DD96" vm="989">
        <f ca="1"/>
        <v>3301.8</v>
      </c>
      <c r="DE96" vm="990">
        <f ca="1"/>
        <v>3170.35</v>
      </c>
      <c r="DF96" vm="991">
        <f ca="1"/>
        <v>3161.05</v>
      </c>
      <c r="DG96" vm="992">
        <f ca="1"/>
        <v>3166.85</v>
      </c>
      <c r="DH96" vm="993">
        <f ca="1"/>
        <v>3169.9</v>
      </c>
      <c r="DI96" vm="994">
        <f ca="1"/>
        <v>3206.25</v>
      </c>
      <c r="DJ96" vm="995">
        <f ca="1"/>
        <v>3195.75</v>
      </c>
      <c r="DK96" vm="996">
        <f ca="1"/>
        <v>3152.8</v>
      </c>
      <c r="DL96" vm="997">
        <f ca="1"/>
        <v>3151.5</v>
      </c>
      <c r="DM96" vm="998">
        <f ca="1"/>
        <v>3163.9</v>
      </c>
      <c r="DN96" vm="999">
        <f ca="1"/>
        <v>3159.1</v>
      </c>
      <c r="DO96" vm="1000">
        <f ca="1"/>
        <v>3148.8</v>
      </c>
      <c r="DP96" vm="1001">
        <f ca="1"/>
        <v>3112.05</v>
      </c>
      <c r="DQ96" vm="1002">
        <f ca="1"/>
        <v>3113.55</v>
      </c>
      <c r="DR96" vm="1003">
        <f ca="1"/>
        <v>3096.45</v>
      </c>
      <c r="DS96" vm="1004">
        <f ca="1"/>
        <v>3101.8</v>
      </c>
      <c r="DT96" vm="1005">
        <f ca="1"/>
        <v>3105.85</v>
      </c>
      <c r="DU96" vm="1006">
        <f ca="1"/>
        <v>3072</v>
      </c>
      <c r="DV96" vm="1007">
        <f ca="1"/>
        <v>3060.8</v>
      </c>
      <c r="DW96" vm="1008">
        <f ca="1"/>
        <v>2960.3</v>
      </c>
      <c r="DX96" vm="1009">
        <f ca="1"/>
        <v>2955.15</v>
      </c>
      <c r="DY96" vm="1010">
        <f ca="1"/>
        <v>2967.1</v>
      </c>
      <c r="DZ96" vm="1011">
        <f ca="1"/>
        <v>2995.7</v>
      </c>
      <c r="EA96" vm="1012">
        <f ca="1"/>
        <v>2934.55</v>
      </c>
      <c r="EB96" vm="1013">
        <f ca="1"/>
        <v>2955.4</v>
      </c>
      <c r="EC96" vm="1014">
        <f ca="1"/>
        <v>2977.85</v>
      </c>
      <c r="ED96" vm="1015">
        <f ca="1"/>
        <v>3029.3</v>
      </c>
      <c r="EE96" vm="1016">
        <f ca="1"/>
        <v>3033.35</v>
      </c>
      <c r="EF96" vm="1017">
        <f ca="1"/>
        <v>3095.25</v>
      </c>
      <c r="EG96" vm="1018">
        <f ca="1"/>
        <v>3080.2</v>
      </c>
      <c r="EH96" vm="1019">
        <f ca="1"/>
        <v>3076.45</v>
      </c>
      <c r="EI96" vm="1020">
        <f ca="1"/>
        <v>3098.15</v>
      </c>
      <c r="EJ96" vm="1021">
        <f ca="1"/>
        <v>3085.6</v>
      </c>
      <c r="EK96" vm="1022">
        <f ca="1"/>
        <v>3116.2</v>
      </c>
      <c r="EL96" vm="1023">
        <f ca="1"/>
        <v>3130.3</v>
      </c>
      <c r="EM96" vm="1024">
        <f ca="1"/>
        <v>3168.9</v>
      </c>
      <c r="EN96" vm="1025">
        <f ca="1"/>
        <v>3140.35</v>
      </c>
      <c r="EO96" vm="1026">
        <f ca="1"/>
        <v>3133.25</v>
      </c>
      <c r="EP96" vm="1027">
        <f ca="1"/>
        <v>3133</v>
      </c>
      <c r="EQ96" vm="1028">
        <f ca="1"/>
        <v>3122.95</v>
      </c>
      <c r="ER96" vm="1029">
        <f ca="1"/>
        <v>3136.15</v>
      </c>
      <c r="ES96" vm="1030">
        <f ca="1"/>
        <v>3148.35</v>
      </c>
      <c r="ET96" vm="1030">
        <f ca="1"/>
        <v>3148.35</v>
      </c>
      <c r="EU96" vm="1031">
        <f ca="1"/>
        <v>3119.9</v>
      </c>
      <c r="EV96" vm="1032">
        <f ca="1"/>
        <v>3173.4</v>
      </c>
      <c r="EW96" vm="1033">
        <f ca="1"/>
        <v>3194.55</v>
      </c>
      <c r="EX96" vm="1034">
        <f ca="1"/>
        <v>3226.25</v>
      </c>
      <c r="EY96" vm="1035">
        <f ca="1"/>
        <v>3252.55</v>
      </c>
      <c r="EZ96" vm="1036">
        <f ca="1"/>
        <v>3251.8</v>
      </c>
      <c r="FA96" vm="1037">
        <f ca="1"/>
        <v>3232</v>
      </c>
      <c r="FB96" vm="1038">
        <f ca="1"/>
        <v>3233</v>
      </c>
      <c r="FC96" vm="1039">
        <f ca="1"/>
        <v>3224.75</v>
      </c>
      <c r="FD96" vm="1040">
        <f ca="1"/>
        <v>3243.65</v>
      </c>
      <c r="FE96" vm="1041">
        <f ca="1"/>
        <v>3241.35</v>
      </c>
      <c r="FF96" vm="1042">
        <f ca="1"/>
        <v>3313.9</v>
      </c>
      <c r="FG96" vm="1043">
        <f ca="1"/>
        <v>3332.05</v>
      </c>
      <c r="FH96" vm="1044">
        <f ca="1"/>
        <v>3336.05</v>
      </c>
      <c r="FI96" vm="1045">
        <f ca="1"/>
        <v>3297.15</v>
      </c>
      <c r="FJ96" vm="1046">
        <f ca="1"/>
        <v>3302.95</v>
      </c>
      <c r="FK96" vm="1047">
        <f ca="1"/>
        <v>3341.3</v>
      </c>
      <c r="FL96" vm="1048">
        <f ca="1"/>
        <v>3383.35</v>
      </c>
      <c r="FM96" vm="1049">
        <f ca="1"/>
        <v>3404.45</v>
      </c>
      <c r="FN96" vm="1050">
        <f ca="1"/>
        <v>3397.25</v>
      </c>
      <c r="FO96" vm="1051">
        <f ca="1"/>
        <v>3402.4</v>
      </c>
      <c r="FP96" vm="1052">
        <f ca="1"/>
        <v>3396.1</v>
      </c>
      <c r="FQ96" vm="1053">
        <f ca="1"/>
        <v>3391.35</v>
      </c>
      <c r="FR96" vm="1054">
        <f ca="1"/>
        <v>3373.6</v>
      </c>
      <c r="FS96" vm="1055">
        <f ca="1"/>
        <v>3379.95</v>
      </c>
      <c r="FT96" vm="1056">
        <f ca="1"/>
        <v>3355.55</v>
      </c>
      <c r="FU96" vm="1057">
        <f ca="1"/>
        <v>3298.4</v>
      </c>
      <c r="FV96" vm="1058">
        <f ca="1"/>
        <v>3267.5</v>
      </c>
      <c r="FW96" vm="1059">
        <f ca="1"/>
        <v>3286.85</v>
      </c>
      <c r="FX96" vm="1060">
        <f ca="1"/>
        <v>3288.2</v>
      </c>
      <c r="FY96" vm="1061">
        <f ca="1"/>
        <v>3277.8</v>
      </c>
      <c r="FZ96" vm="1062">
        <f ca="1"/>
        <v>3273.9</v>
      </c>
      <c r="GA96" vm="1063">
        <f ca="1"/>
        <v>3296.9</v>
      </c>
      <c r="GB96" vm="1064">
        <f ca="1"/>
        <v>3242.3</v>
      </c>
      <c r="GC96" vm="1065">
        <f ca="1"/>
        <v>3163.85</v>
      </c>
      <c r="GD96" vm="1066">
        <f ca="1"/>
        <v>3165.85</v>
      </c>
      <c r="GE96" vm="1067">
        <f ca="1"/>
        <v>3138.8</v>
      </c>
      <c r="GF96" vm="1068">
        <f ca="1"/>
        <v>3054.7</v>
      </c>
      <c r="GG96" vm="1069">
        <f ca="1"/>
        <v>2999.45</v>
      </c>
      <c r="GH96" vm="1070">
        <f ca="1"/>
        <v>2949.2</v>
      </c>
      <c r="GI96" vm="1071">
        <f ca="1"/>
        <v>2976.05</v>
      </c>
      <c r="GJ96" vm="1072">
        <f ca="1"/>
        <v>2954.1</v>
      </c>
      <c r="GK96" vm="145">
        <f ca="1"/>
        <v>2957.85</v>
      </c>
      <c r="GL96" vm="1073">
        <f ca="1"/>
        <v>2929.35</v>
      </c>
      <c r="GM96" vm="1074">
        <f ca="1"/>
        <v>2936.3</v>
      </c>
      <c r="GN96" vm="1075">
        <f ca="1"/>
        <v>2917.35</v>
      </c>
      <c r="GO96" vm="1076">
        <f ca="1"/>
        <v>2930.95</v>
      </c>
      <c r="GP96" vm="1077">
        <f ca="1"/>
        <v>2981.15</v>
      </c>
      <c r="GQ96" vm="1078">
        <f ca="1"/>
        <v>2929.6</v>
      </c>
      <c r="GR96" vm="1079">
        <f ca="1"/>
        <v>2951.65</v>
      </c>
      <c r="GS96" vm="1080">
        <f ca="1"/>
        <v>2953.8</v>
      </c>
      <c r="GT96" vm="1081">
        <f ca="1"/>
        <v>2971.6</v>
      </c>
      <c r="GU96" vm="1082">
        <f ca="1"/>
        <v>2976.4</v>
      </c>
      <c r="GV96" vm="1083">
        <f ca="1"/>
        <v>3016.55</v>
      </c>
      <c r="GW96" vm="1084">
        <f ca="1"/>
        <v>3007.9</v>
      </c>
      <c r="GX96" vm="1085">
        <f ca="1"/>
        <v>2998.1</v>
      </c>
      <c r="GY96" vm="1086">
        <f ca="1"/>
        <v>3011.65</v>
      </c>
      <c r="GZ96" vm="1087">
        <f ca="1"/>
        <v>3001.8</v>
      </c>
      <c r="HA96" vm="1088">
        <f ca="1"/>
        <v>3017.4</v>
      </c>
      <c r="HB96" vm="1089">
        <f ca="1"/>
        <v>2985.95</v>
      </c>
      <c r="HC96" vm="1090">
        <f ca="1"/>
        <v>2868.45</v>
      </c>
      <c r="HD96" vm="1091">
        <f ca="1"/>
        <v>2859.55</v>
      </c>
      <c r="HE96" vm="1092">
        <f ca="1"/>
        <v>2794.35</v>
      </c>
      <c r="HF96" vm="1093">
        <f ca="1"/>
        <v>2821.9</v>
      </c>
      <c r="HG96" vm="1094">
        <f ca="1"/>
        <v>2831.75</v>
      </c>
      <c r="HH96" vm="1095">
        <f ca="1"/>
        <v>2849.8</v>
      </c>
      <c r="HI96" vm="1094">
        <f ca="1"/>
        <v>2831.75</v>
      </c>
      <c r="HJ96" vm="1096">
        <f ca="1"/>
        <v>2820.4</v>
      </c>
      <c r="HK96" vm="1097">
        <f ca="1"/>
        <v>2827.3</v>
      </c>
      <c r="HL96" vm="1098">
        <f ca="1"/>
        <v>2870.55</v>
      </c>
      <c r="HM96" vm="1099">
        <f ca="1"/>
        <v>2876.85</v>
      </c>
      <c r="HN96" vm="1100">
        <f ca="1"/>
        <v>2876.15</v>
      </c>
      <c r="HO96" vm="1101">
        <f ca="1"/>
        <v>2860.15</v>
      </c>
      <c r="HP96" vm="1102">
        <f ca="1"/>
        <v>2892.25</v>
      </c>
      <c r="HQ96" vm="1103">
        <f ca="1"/>
        <v>2867.55</v>
      </c>
      <c r="HR96" vm="1104">
        <f ca="1"/>
        <v>2846.5</v>
      </c>
      <c r="HS96" vm="1105">
        <f ca="1"/>
        <v>2815.1</v>
      </c>
      <c r="HT96" vm="1106">
        <f ca="1"/>
        <v>2824.9</v>
      </c>
      <c r="HU96" vm="1107">
        <f ca="1"/>
        <v>2821.15</v>
      </c>
      <c r="HV96" vm="1108">
        <f ca="1"/>
        <v>2841.5</v>
      </c>
      <c r="HW96" vm="1109">
        <f ca="1"/>
        <v>2814.65</v>
      </c>
      <c r="HX96" vm="1110">
        <f ca="1"/>
        <v>2830.5</v>
      </c>
      <c r="HY96" vm="1111">
        <f ca="1"/>
        <v>2846.75</v>
      </c>
      <c r="HZ96" vm="1112">
        <f ca="1"/>
        <v>2871</v>
      </c>
      <c r="IA96" vm="1113">
        <f ca="1"/>
        <v>2874.2</v>
      </c>
      <c r="IB96" vm="1114">
        <f ca="1"/>
        <v>2869.35</v>
      </c>
      <c r="IC96" vm="1115">
        <f ca="1"/>
        <v>2918.3</v>
      </c>
      <c r="ID96" vm="1116">
        <f ca="1"/>
        <v>2883.45</v>
      </c>
      <c r="IE96" vm="1117">
        <f ca="1"/>
        <v>2892</v>
      </c>
      <c r="IF96" vm="1118">
        <f ca="1"/>
        <v>2857.15</v>
      </c>
      <c r="IG96" vm="1119">
        <f ca="1"/>
        <v>2896.75</v>
      </c>
      <c r="IH96" vm="1120">
        <f ca="1"/>
        <v>2854.5</v>
      </c>
      <c r="II96" vm="1121">
        <f ca="1"/>
        <v>2844.4</v>
      </c>
      <c r="IJ96" vm="1122">
        <f ca="1"/>
        <v>2830</v>
      </c>
      <c r="IK96" vm="1123">
        <f ca="1"/>
        <v>2807.7</v>
      </c>
      <c r="IL96" vm="1124">
        <f ca="1"/>
        <v>2808.55</v>
      </c>
      <c r="IM96" vm="1125">
        <f ca="1"/>
        <v>2841.85</v>
      </c>
      <c r="IN96" vm="1126">
        <f ca="1"/>
        <v>2874.9</v>
      </c>
      <c r="IO96" vm="1127">
        <f ca="1"/>
        <v>2867.75</v>
      </c>
      <c r="IP96" vm="1128">
        <f ca="1"/>
        <v>2861.45</v>
      </c>
      <c r="IQ96" vm="1129">
        <f ca="1"/>
        <v>2844.15</v>
      </c>
      <c r="IR96" vm="1130">
        <f ca="1"/>
        <v>2868.2</v>
      </c>
    </row>
    <row r="97" spans="4:252" x14ac:dyDescent="0.35">
      <c r="D97" t="e" vm="4">
        <v>#VALUE!</v>
      </c>
      <c r="E97" cm="1" vm="1131">
        <f t="array" aca="1" ref="E97:IR97" ca="1">TRANSPOSE((_xlfn.STOCKHISTORY('Portfolio Tracker '!$C11,TODAY()-365,TODAY(),0,0,1)))</f>
        <v>2049.15</v>
      </c>
      <c r="F97" vm="1132">
        <f ca="1"/>
        <v>2050.75</v>
      </c>
      <c r="G97" vm="1133">
        <f ca="1"/>
        <v>2061.6999999999998</v>
      </c>
      <c r="H97" vm="1134">
        <f ca="1"/>
        <v>2072.25</v>
      </c>
      <c r="I97" vm="1135">
        <f ca="1"/>
        <v>2055.0500000000002</v>
      </c>
      <c r="J97" vm="1136">
        <f ca="1"/>
        <v>2110.35</v>
      </c>
      <c r="K97" vm="1137">
        <f ca="1"/>
        <v>2088.5500000000002</v>
      </c>
      <c r="L97" vm="1138">
        <f ca="1"/>
        <v>2087</v>
      </c>
      <c r="M97" vm="1139">
        <f ca="1"/>
        <v>2057.8000000000002</v>
      </c>
      <c r="N97" vm="1140">
        <f ca="1"/>
        <v>2066</v>
      </c>
      <c r="O97" vm="1141">
        <f ca="1"/>
        <v>2075.9</v>
      </c>
      <c r="P97" vm="1142">
        <f ca="1"/>
        <v>2070.85</v>
      </c>
      <c r="Q97" vm="1143">
        <f ca="1"/>
        <v>2069.6999999999998</v>
      </c>
      <c r="R97" vm="1144">
        <f ca="1"/>
        <v>2081.6999999999998</v>
      </c>
      <c r="S97" vm="1145">
        <f ca="1"/>
        <v>2134.8000000000002</v>
      </c>
      <c r="T97" vm="1146">
        <f ca="1"/>
        <v>2190.75</v>
      </c>
      <c r="U97" vm="1147">
        <f ca="1"/>
        <v>2171.65</v>
      </c>
      <c r="V97" vm="1148">
        <f ca="1"/>
        <v>2144.9499999999998</v>
      </c>
      <c r="W97" vm="1149">
        <f ca="1"/>
        <v>2135.1</v>
      </c>
      <c r="X97" vm="1150">
        <f ca="1"/>
        <v>2138.15</v>
      </c>
      <c r="Y97" vm="1151">
        <f ca="1"/>
        <v>2142.5</v>
      </c>
      <c r="Z97" vm="1152">
        <f ca="1"/>
        <v>2216.9</v>
      </c>
      <c r="AA97" vm="1153">
        <f ca="1"/>
        <v>2229.9499999999998</v>
      </c>
      <c r="AB97" vm="1154">
        <f ca="1"/>
        <v>2197.15</v>
      </c>
      <c r="AC97" vm="1155">
        <f ca="1"/>
        <v>2195.75</v>
      </c>
      <c r="AD97" vm="1156">
        <f ca="1"/>
        <v>2174.0500000000002</v>
      </c>
      <c r="AE97" vm="1157">
        <f ca="1"/>
        <v>2180.0500000000002</v>
      </c>
      <c r="AF97" vm="1158">
        <f ca="1"/>
        <v>2168.6</v>
      </c>
      <c r="AG97" vm="1159">
        <f ca="1"/>
        <v>2151.65</v>
      </c>
      <c r="AH97" vm="1160">
        <f ca="1"/>
        <v>2162.9</v>
      </c>
      <c r="AI97" vm="1161">
        <f ca="1"/>
        <v>2163.9</v>
      </c>
      <c r="AJ97" vm="1162">
        <f ca="1"/>
        <v>2185.35</v>
      </c>
      <c r="AK97" vm="1163">
        <f ca="1"/>
        <v>2196.1999999999998</v>
      </c>
      <c r="AL97" vm="1164">
        <f ca="1"/>
        <v>2196.85</v>
      </c>
      <c r="AM97" vm="1165">
        <f ca="1"/>
        <v>2179.4</v>
      </c>
      <c r="AN97" vm="1166">
        <f ca="1"/>
        <v>2184.5500000000002</v>
      </c>
      <c r="AO97" vm="1167">
        <f ca="1"/>
        <v>2187.6999999999998</v>
      </c>
      <c r="AP97" vm="1168">
        <f ca="1"/>
        <v>2176.85</v>
      </c>
      <c r="AQ97" vm="1169">
        <f ca="1"/>
        <v>2156.8000000000002</v>
      </c>
      <c r="AR97" vm="1170">
        <f ca="1"/>
        <v>2149.75</v>
      </c>
      <c r="AS97" vm="1171">
        <f ca="1"/>
        <v>2135.4</v>
      </c>
      <c r="AT97" vm="1172">
        <f ca="1"/>
        <v>2158.85</v>
      </c>
      <c r="AU97" vm="1173">
        <f ca="1"/>
        <v>2198.5500000000002</v>
      </c>
      <c r="AV97" vm="1174">
        <f ca="1"/>
        <v>2292.5500000000002</v>
      </c>
      <c r="AW97" vm="1175">
        <f ca="1"/>
        <v>2289.6</v>
      </c>
      <c r="AX97" vm="1176">
        <f ca="1"/>
        <v>2275.0500000000002</v>
      </c>
      <c r="AY97" vm="1177">
        <f ca="1"/>
        <v>2301.3000000000002</v>
      </c>
      <c r="AZ97" vm="1178">
        <f ca="1"/>
        <v>2286.0500000000002</v>
      </c>
      <c r="BA97" vm="1179">
        <f ca="1"/>
        <v>2246.35</v>
      </c>
      <c r="BB97" vm="1180">
        <f ca="1"/>
        <v>2249</v>
      </c>
      <c r="BC97" vm="1181">
        <f ca="1"/>
        <v>2232.0500000000002</v>
      </c>
      <c r="BD97" vm="1182">
        <f ca="1"/>
        <v>2241.3000000000002</v>
      </c>
      <c r="BE97" vm="1183">
        <f ca="1"/>
        <v>2272.1</v>
      </c>
      <c r="BF97" vm="1184">
        <f ca="1"/>
        <v>2272.1999999999998</v>
      </c>
      <c r="BG97" vm="1185">
        <f ca="1"/>
        <v>2274.3000000000002</v>
      </c>
      <c r="BH97" vm="1186">
        <f ca="1"/>
        <v>2280.35</v>
      </c>
      <c r="BI97" vm="1187">
        <f ca="1"/>
        <v>2273.85</v>
      </c>
      <c r="BJ97" vm="1188">
        <f ca="1"/>
        <v>2295.3000000000002</v>
      </c>
      <c r="BK97" vm="1189">
        <f ca="1"/>
        <v>2335.9</v>
      </c>
      <c r="BL97" vm="1190">
        <f ca="1"/>
        <v>2336.85</v>
      </c>
      <c r="BM97" vm="1191">
        <f ca="1"/>
        <v>2329.6</v>
      </c>
      <c r="BN97" vm="1192">
        <f ca="1"/>
        <v>2336.4</v>
      </c>
      <c r="BO97" vm="1193">
        <f ca="1"/>
        <v>2333.6</v>
      </c>
      <c r="BP97" vm="1194">
        <f ca="1"/>
        <v>2356.9499999999998</v>
      </c>
      <c r="BQ97" vm="1195">
        <f ca="1"/>
        <v>2371.1</v>
      </c>
      <c r="BR97" vm="1196">
        <f ca="1"/>
        <v>2371.4</v>
      </c>
      <c r="BS97" vm="1197">
        <f ca="1"/>
        <v>2350.8000000000002</v>
      </c>
      <c r="BT97" vm="1198">
        <f ca="1"/>
        <v>2310.25</v>
      </c>
      <c r="BU97" vm="1199">
        <f ca="1"/>
        <v>2377.35</v>
      </c>
      <c r="BV97" vm="1200">
        <f ca="1"/>
        <v>2379.85</v>
      </c>
      <c r="BW97" vm="1201">
        <f ca="1"/>
        <v>2405.9499999999998</v>
      </c>
      <c r="BX97" vm="1202">
        <f ca="1"/>
        <v>2412.9</v>
      </c>
      <c r="BY97" vm="1203">
        <f ca="1"/>
        <v>2426.4</v>
      </c>
      <c r="BZ97" vm="1204">
        <f ca="1"/>
        <v>2454.4499999999998</v>
      </c>
      <c r="CA97" vm="1205">
        <f ca="1"/>
        <v>2497.1999999999998</v>
      </c>
      <c r="CB97" vm="1206">
        <f ca="1"/>
        <v>2536.4</v>
      </c>
      <c r="CC97" vm="1207">
        <f ca="1"/>
        <v>2538.5500000000002</v>
      </c>
      <c r="CD97" vm="1208">
        <f ca="1"/>
        <v>2501.75</v>
      </c>
      <c r="CE97" vm="1209">
        <f ca="1"/>
        <v>2500.35</v>
      </c>
      <c r="CF97" vm="1210">
        <f ca="1"/>
        <v>2494</v>
      </c>
      <c r="CG97" vm="1211">
        <f ca="1"/>
        <v>2437.5</v>
      </c>
      <c r="CH97" vm="1212">
        <f ca="1"/>
        <v>2414.6</v>
      </c>
      <c r="CI97" vm="1213">
        <f ca="1"/>
        <v>2376.0500000000002</v>
      </c>
      <c r="CJ97" vm="1214">
        <f ca="1"/>
        <v>2368.0500000000002</v>
      </c>
      <c r="CK97" vm="1215">
        <f ca="1"/>
        <v>2383.9</v>
      </c>
      <c r="CL97" vm="1216">
        <f ca="1"/>
        <v>2375.4499999999998</v>
      </c>
      <c r="CM97" vm="1217">
        <f ca="1"/>
        <v>2356.1</v>
      </c>
      <c r="CN97" vm="1218">
        <f ca="1"/>
        <v>2383.4499999999998</v>
      </c>
      <c r="CO97" vm="1219">
        <f ca="1"/>
        <v>2447.15</v>
      </c>
      <c r="CP97" vm="1220">
        <f ca="1"/>
        <v>2474.75</v>
      </c>
      <c r="CQ97" vm="1221">
        <f ca="1"/>
        <v>2442.5500000000002</v>
      </c>
      <c r="CR97" vm="1222">
        <f ca="1"/>
        <v>2464.6</v>
      </c>
      <c r="CS97" vm="1223">
        <f ca="1"/>
        <v>2604.6</v>
      </c>
      <c r="CT97" vm="1224">
        <f ca="1"/>
        <v>2602.9</v>
      </c>
      <c r="CU97" vm="1225">
        <f ca="1"/>
        <v>2590.6999999999998</v>
      </c>
      <c r="CV97" vm="1226">
        <f ca="1"/>
        <v>2615.8000000000002</v>
      </c>
      <c r="CW97" vm="1227">
        <f ca="1"/>
        <v>2596.0500000000002</v>
      </c>
      <c r="CX97" vm="1228">
        <f ca="1"/>
        <v>2537.9499999999998</v>
      </c>
      <c r="CY97" vm="1229">
        <f ca="1"/>
        <v>2544.85</v>
      </c>
      <c r="CZ97" vm="1230">
        <f ca="1"/>
        <v>2500.8000000000002</v>
      </c>
      <c r="DA97" vm="1231">
        <f ca="1"/>
        <v>2483.4</v>
      </c>
      <c r="DB97" vm="1232">
        <f ca="1"/>
        <v>2491.9499999999998</v>
      </c>
      <c r="DC97" vm="1233">
        <f ca="1"/>
        <v>2497</v>
      </c>
      <c r="DD97" vm="1234">
        <f ca="1"/>
        <v>2476.0500000000002</v>
      </c>
      <c r="DE97" vm="1235">
        <f ca="1"/>
        <v>2438.15</v>
      </c>
      <c r="DF97" vm="1236">
        <f ca="1"/>
        <v>2510.5500000000002</v>
      </c>
      <c r="DG97" vm="1237">
        <f ca="1"/>
        <v>2517.4499999999998</v>
      </c>
      <c r="DH97" vm="1238">
        <f ca="1"/>
        <v>2449.9499999999998</v>
      </c>
      <c r="DI97" vm="1239">
        <f ca="1"/>
        <v>2473.4499999999998</v>
      </c>
      <c r="DJ97" vm="1240">
        <f ca="1"/>
        <v>2489.4</v>
      </c>
      <c r="DK97" vm="1241">
        <f ca="1"/>
        <v>2412.15</v>
      </c>
      <c r="DL97" vm="1242">
        <f ca="1"/>
        <v>2413.5</v>
      </c>
      <c r="DM97" vm="1243">
        <f ca="1"/>
        <v>2415.1</v>
      </c>
      <c r="DN97" vm="1244">
        <f ca="1"/>
        <v>2562.9</v>
      </c>
      <c r="DO97" vm="1245">
        <f ca="1"/>
        <v>2520.65</v>
      </c>
      <c r="DP97" vm="1246">
        <f ca="1"/>
        <v>2495.8000000000002</v>
      </c>
      <c r="DQ97" vm="1247">
        <f ca="1"/>
        <v>2570.0500000000002</v>
      </c>
      <c r="DR97" vm="1248">
        <f ca="1"/>
        <v>2596.15</v>
      </c>
      <c r="DS97" vm="1249">
        <f ca="1"/>
        <v>2539.1</v>
      </c>
      <c r="DT97" vm="1250">
        <f ca="1"/>
        <v>2501.1</v>
      </c>
      <c r="DU97" vm="1251">
        <f ca="1"/>
        <v>2414.85</v>
      </c>
      <c r="DV97" vm="1252">
        <f ca="1"/>
        <v>2402.8000000000002</v>
      </c>
      <c r="DW97" vm="1253">
        <f ca="1"/>
        <v>2301.6</v>
      </c>
      <c r="DX97" vm="1254">
        <f ca="1"/>
        <v>2303.75</v>
      </c>
      <c r="DY97" vm="1255">
        <f ca="1"/>
        <v>2280.4</v>
      </c>
      <c r="DZ97" vm="1256">
        <f ca="1"/>
        <v>2246.9</v>
      </c>
      <c r="EA97" vm="1257">
        <f ca="1"/>
        <v>2237.5</v>
      </c>
      <c r="EB97" vm="1258">
        <f ca="1"/>
        <v>2263.4499999999998</v>
      </c>
      <c r="EC97" vm="1259">
        <f ca="1"/>
        <v>2390.65</v>
      </c>
      <c r="ED97" vm="1260">
        <f ca="1"/>
        <v>2415.4</v>
      </c>
      <c r="EE97" vm="1261">
        <f ca="1"/>
        <v>2406.9</v>
      </c>
      <c r="EF97" vm="1262">
        <f ca="1"/>
        <v>2428.6999999999998</v>
      </c>
      <c r="EG97" vm="1263">
        <f ca="1"/>
        <v>2376.3000000000002</v>
      </c>
      <c r="EH97" vm="1264">
        <f ca="1"/>
        <v>2425.4</v>
      </c>
      <c r="EI97" vm="1265">
        <f ca="1"/>
        <v>2485.75</v>
      </c>
      <c r="EJ97" vm="1266">
        <f ca="1"/>
        <v>2683.1</v>
      </c>
      <c r="EK97" vm="1267">
        <f ca="1"/>
        <v>2804.45</v>
      </c>
      <c r="EL97" vm="1268">
        <f ca="1"/>
        <v>2839.7</v>
      </c>
      <c r="EM97" vm="1269">
        <f ca="1"/>
        <v>2832.95</v>
      </c>
      <c r="EN97" vm="1270">
        <f ca="1"/>
        <v>2854.75</v>
      </c>
      <c r="EO97" vm="1271">
        <f ca="1"/>
        <v>2844.55</v>
      </c>
      <c r="EP97" vm="1272">
        <f ca="1"/>
        <v>2753.4</v>
      </c>
      <c r="EQ97" vm="1273">
        <f ca="1"/>
        <v>2791.15</v>
      </c>
      <c r="ER97" vm="1274">
        <f ca="1"/>
        <v>2786.1</v>
      </c>
      <c r="ES97" vm="1275">
        <f ca="1"/>
        <v>2760.75</v>
      </c>
      <c r="ET97" vm="1276">
        <f ca="1"/>
        <v>2784.05</v>
      </c>
      <c r="EU97" vm="1277">
        <f ca="1"/>
        <v>2801.15</v>
      </c>
      <c r="EV97" vm="1278">
        <f ca="1"/>
        <v>2793.4</v>
      </c>
      <c r="EW97" vm="1279">
        <f ca="1"/>
        <v>2893.9</v>
      </c>
      <c r="EX97" vm="1280">
        <f ca="1"/>
        <v>2874.25</v>
      </c>
      <c r="EY97" vm="1281">
        <f ca="1"/>
        <v>2755.65</v>
      </c>
      <c r="EZ97" vm="1282">
        <f ca="1"/>
        <v>2811</v>
      </c>
      <c r="FA97" vm="1283">
        <f ca="1"/>
        <v>2744.75</v>
      </c>
      <c r="FB97" vm="1284">
        <f ca="1"/>
        <v>2705.95</v>
      </c>
      <c r="FC97" vm="1285">
        <f ca="1"/>
        <v>2708.25</v>
      </c>
      <c r="FD97" vm="1286">
        <f ca="1"/>
        <v>2705.05</v>
      </c>
      <c r="FE97" vm="1287">
        <f ca="1"/>
        <v>2745.2</v>
      </c>
      <c r="FF97" vm="1288">
        <f ca="1"/>
        <v>2722.05</v>
      </c>
      <c r="FG97" vm="1289">
        <f ca="1"/>
        <v>2690.6</v>
      </c>
      <c r="FH97" vm="1290">
        <f ca="1"/>
        <v>2677.3</v>
      </c>
      <c r="FI97" vm="1291">
        <f ca="1"/>
        <v>2655.35</v>
      </c>
      <c r="FJ97" vm="1292">
        <f ca="1"/>
        <v>2712.05</v>
      </c>
      <c r="FK97" vm="1293">
        <f ca="1"/>
        <v>2678.4</v>
      </c>
      <c r="FL97" vm="1294">
        <f ca="1"/>
        <v>2657.35</v>
      </c>
      <c r="FM97" vm="1295">
        <f ca="1"/>
        <v>2659.1</v>
      </c>
      <c r="FN97" vm="1296">
        <f ca="1"/>
        <v>2663.5</v>
      </c>
      <c r="FO97" vm="1297">
        <f ca="1"/>
        <v>2651.4</v>
      </c>
      <c r="FP97" vm="1298">
        <f ca="1"/>
        <v>2648.5</v>
      </c>
      <c r="FQ97" vm="1299">
        <f ca="1"/>
        <v>2669.7</v>
      </c>
      <c r="FR97" vm="1300">
        <f ca="1"/>
        <v>2652.1</v>
      </c>
      <c r="FS97" vm="1301">
        <f ca="1"/>
        <v>2708.35</v>
      </c>
      <c r="FT97" vm="1302">
        <f ca="1"/>
        <v>2748.15</v>
      </c>
      <c r="FU97" vm="1303">
        <f ca="1"/>
        <v>2764.4</v>
      </c>
      <c r="FV97" vm="1304">
        <f ca="1"/>
        <v>2766.4</v>
      </c>
      <c r="FW97" vm="1305">
        <f ca="1"/>
        <v>2761.25</v>
      </c>
      <c r="FX97" vm="1306">
        <f ca="1"/>
        <v>2793.7</v>
      </c>
      <c r="FY97" vm="1307">
        <f ca="1"/>
        <v>2839.2</v>
      </c>
      <c r="FZ97" vm="1308">
        <f ca="1"/>
        <v>2849.95</v>
      </c>
      <c r="GA97" vm="1309">
        <f ca="1"/>
        <v>2847.7</v>
      </c>
      <c r="GB97" vm="1310">
        <f ca="1"/>
        <v>2824</v>
      </c>
      <c r="GC97" vm="1311">
        <f ca="1"/>
        <v>2803.15</v>
      </c>
      <c r="GD97" vm="1312">
        <f ca="1"/>
        <v>2804.7</v>
      </c>
      <c r="GE97" vm="1313">
        <f ca="1"/>
        <v>2765.7</v>
      </c>
      <c r="GF97" vm="1314">
        <f ca="1"/>
        <v>2739.95</v>
      </c>
      <c r="GG97" vm="1315">
        <f ca="1"/>
        <v>2732.9</v>
      </c>
      <c r="GH97" vm="1316">
        <f ca="1"/>
        <v>2747.2</v>
      </c>
      <c r="GI97" vm="1317">
        <f ca="1"/>
        <v>2742.25</v>
      </c>
      <c r="GJ97" vm="1318">
        <f ca="1"/>
        <v>2771.5</v>
      </c>
      <c r="GK97" vm="1319">
        <f ca="1"/>
        <v>2897</v>
      </c>
      <c r="GL97" vm="1320">
        <f ca="1"/>
        <v>2880.05</v>
      </c>
      <c r="GM97" vm="1321">
        <f ca="1"/>
        <v>2885.25</v>
      </c>
      <c r="GN97" vm="1322">
        <f ca="1"/>
        <v>2898.35</v>
      </c>
      <c r="GO97" vm="1323">
        <f ca="1"/>
        <v>2942.35</v>
      </c>
      <c r="GP97" vm="1324">
        <f ca="1"/>
        <v>2852</v>
      </c>
      <c r="GQ97" vm="1325">
        <f ca="1"/>
        <v>2937.9</v>
      </c>
      <c r="GR97" vm="1326">
        <f ca="1"/>
        <v>2905.25</v>
      </c>
      <c r="GS97" vm="1327">
        <f ca="1"/>
        <v>2856.9</v>
      </c>
      <c r="GT97" vm="1328">
        <f ca="1"/>
        <v>2825.75</v>
      </c>
      <c r="GU97" vm="1329">
        <f ca="1"/>
        <v>2840.2</v>
      </c>
      <c r="GV97" vm="1330">
        <f ca="1"/>
        <v>2909.5</v>
      </c>
      <c r="GW97" vm="1331">
        <f ca="1"/>
        <v>2890.15</v>
      </c>
      <c r="GX97" vm="1332">
        <f ca="1"/>
        <v>2887.45</v>
      </c>
      <c r="GY97" vm="1128">
        <f ca="1"/>
        <v>2861.45</v>
      </c>
      <c r="GZ97" vm="1333">
        <f ca="1"/>
        <v>2989.55</v>
      </c>
      <c r="HA97" vm="1334">
        <f ca="1"/>
        <v>2998</v>
      </c>
      <c r="HB97" vm="1335">
        <f ca="1"/>
        <v>3113.25</v>
      </c>
      <c r="HC97" vm="1336">
        <f ca="1"/>
        <v>3107.85</v>
      </c>
      <c r="HD97" vm="1337">
        <f ca="1"/>
        <v>3138.25</v>
      </c>
      <c r="HE97" vm="1338">
        <f ca="1"/>
        <v>3082.65</v>
      </c>
      <c r="HF97" vm="1339">
        <f ca="1"/>
        <v>3072.1</v>
      </c>
      <c r="HG97" vm="1340">
        <f ca="1"/>
        <v>3109.2</v>
      </c>
      <c r="HH97" vm="1341">
        <f ca="1"/>
        <v>3120.15</v>
      </c>
      <c r="HI97" vm="1342">
        <f ca="1"/>
        <v>3043.85</v>
      </c>
      <c r="HJ97" vm="1343">
        <f ca="1"/>
        <v>3062.75</v>
      </c>
      <c r="HK97" vm="1344">
        <f ca="1"/>
        <v>2955.95</v>
      </c>
      <c r="HL97" vm="1345">
        <f ca="1"/>
        <v>2901.9</v>
      </c>
      <c r="HM97" vm="1346">
        <f ca="1"/>
        <v>3006.45</v>
      </c>
      <c r="HN97" vm="1347">
        <f ca="1"/>
        <v>2914.2</v>
      </c>
      <c r="HO97" vm="1348">
        <f ca="1"/>
        <v>2744.9</v>
      </c>
      <c r="HP97" vm="1349">
        <f ca="1"/>
        <v>2882.25</v>
      </c>
      <c r="HQ97" vm="1350">
        <f ca="1"/>
        <v>2994.8</v>
      </c>
      <c r="HR97" vm="1351">
        <f ca="1"/>
        <v>2926.65</v>
      </c>
      <c r="HS97" vm="1352">
        <f ca="1"/>
        <v>2825.4</v>
      </c>
      <c r="HT97" vm="1353">
        <f ca="1"/>
        <v>2831.85</v>
      </c>
      <c r="HU97" vm="1354">
        <f ca="1"/>
        <v>2943.25</v>
      </c>
      <c r="HV97" vm="1355">
        <f ca="1"/>
        <v>3089.1</v>
      </c>
      <c r="HW97" vm="1356">
        <f ca="1"/>
        <v>3021.3</v>
      </c>
      <c r="HX97" vm="1357">
        <f ca="1"/>
        <v>2920.6</v>
      </c>
      <c r="HY97" vm="1358">
        <f ca="1"/>
        <v>2915.65</v>
      </c>
      <c r="HZ97" vm="1359">
        <f ca="1"/>
        <v>2992.2</v>
      </c>
      <c r="IA97" vm="1360">
        <f ca="1"/>
        <v>3186.2</v>
      </c>
      <c r="IB97" vm="1361">
        <f ca="1"/>
        <v>3149</v>
      </c>
      <c r="IC97" vm="1025">
        <f ca="1"/>
        <v>3140.35</v>
      </c>
      <c r="ID97" vm="1362">
        <f ca="1"/>
        <v>3146.75</v>
      </c>
      <c r="IE97" vm="1363">
        <f ca="1"/>
        <v>3069.4</v>
      </c>
      <c r="IF97" vm="1364">
        <f ca="1"/>
        <v>2997.4</v>
      </c>
      <c r="IG97" vm="1365">
        <f ca="1"/>
        <v>3050.15</v>
      </c>
      <c r="IH97" vm="1366">
        <f ca="1"/>
        <v>3115.45</v>
      </c>
      <c r="II97" vm="1367">
        <f ca="1"/>
        <v>3028.7</v>
      </c>
      <c r="IJ97" vm="1368">
        <f ca="1"/>
        <v>3113.8</v>
      </c>
      <c r="IK97" vm="1369">
        <f ca="1"/>
        <v>3201.7</v>
      </c>
      <c r="IL97" vm="1370">
        <f ca="1"/>
        <v>3151.55</v>
      </c>
      <c r="IM97" vm="1371">
        <f ca="1"/>
        <v>3238.55</v>
      </c>
      <c r="IN97" vm="1372">
        <f ca="1"/>
        <v>3258.65</v>
      </c>
      <c r="IO97" vm="1373">
        <f ca="1"/>
        <v>3230.1</v>
      </c>
      <c r="IP97" vm="1374">
        <f ca="1"/>
        <v>3253.4</v>
      </c>
      <c r="IQ97" vm="1375">
        <f ca="1"/>
        <v>3206.5</v>
      </c>
      <c r="IR97" vm="1376">
        <f ca="1"/>
        <v>3291.65</v>
      </c>
    </row>
    <row r="98" spans="4:252" x14ac:dyDescent="0.35">
      <c r="D98" t="e" vm="5">
        <v>#VALUE!</v>
      </c>
      <c r="E98" cm="1" vm="1377">
        <f t="array" aca="1" ref="E98:IR98" ca="1">TRANSPOSE((_xlfn.STOCKHISTORY('Portfolio Tracker '!$C12,TODAY()-365,TODAY(),0,0,1)))</f>
        <v>990.55</v>
      </c>
      <c r="F98" vm="1378">
        <f ca="1"/>
        <v>990.1</v>
      </c>
      <c r="G98" vm="1379">
        <f ca="1"/>
        <v>989.35</v>
      </c>
      <c r="H98" vm="1380">
        <f ca="1"/>
        <v>990.45</v>
      </c>
      <c r="I98" vm="1381">
        <f ca="1"/>
        <v>988.55</v>
      </c>
      <c r="J98" vm="1382">
        <f ca="1"/>
        <v>981.95</v>
      </c>
      <c r="K98" vm="1383">
        <f ca="1"/>
        <v>984.2</v>
      </c>
      <c r="L98" vm="1384">
        <f ca="1"/>
        <v>994.1</v>
      </c>
      <c r="M98" vm="1385">
        <f ca="1"/>
        <v>993.95</v>
      </c>
      <c r="N98" vm="1386">
        <f ca="1"/>
        <v>991.65</v>
      </c>
      <c r="O98" vm="666">
        <f ca="1"/>
        <v>986.35</v>
      </c>
      <c r="P98" vm="1387">
        <f ca="1"/>
        <v>978.8</v>
      </c>
      <c r="Q98" vm="1388">
        <f ca="1"/>
        <v>990.05</v>
      </c>
      <c r="R98" vm="1378">
        <f ca="1"/>
        <v>990.1</v>
      </c>
      <c r="S98" vm="1389">
        <f ca="1"/>
        <v>990.95</v>
      </c>
      <c r="T98" vm="1390">
        <f ca="1"/>
        <v>986.6</v>
      </c>
      <c r="U98" vm="1391">
        <f ca="1"/>
        <v>988.75</v>
      </c>
      <c r="V98" vm="1392">
        <f ca="1"/>
        <v>987.45</v>
      </c>
      <c r="W98" vm="1393">
        <f ca="1"/>
        <v>986.15</v>
      </c>
      <c r="X98" vm="1388">
        <f ca="1"/>
        <v>990.05</v>
      </c>
      <c r="Y98" vm="1394">
        <f ca="1"/>
        <v>983.15</v>
      </c>
      <c r="Z98" vm="1395">
        <f ca="1"/>
        <v>1038.45</v>
      </c>
      <c r="AA98" vm="1396">
        <f ca="1"/>
        <v>1068.9000000000001</v>
      </c>
      <c r="AB98" vm="1397">
        <f ca="1"/>
        <v>1067.9000000000001</v>
      </c>
      <c r="AC98" vm="1398">
        <f ca="1"/>
        <v>1049.45</v>
      </c>
      <c r="AD98" vm="1399">
        <f ca="1"/>
        <v>1029.6500000000001</v>
      </c>
      <c r="AE98" vm="1400">
        <f ca="1"/>
        <v>1033.2</v>
      </c>
      <c r="AF98" vm="1401">
        <f ca="1"/>
        <v>1038.7</v>
      </c>
      <c r="AG98" vm="215">
        <f ca="1"/>
        <v>1029.5</v>
      </c>
      <c r="AH98" vm="1402">
        <f ca="1"/>
        <v>1044.3499999999999</v>
      </c>
      <c r="AI98" vm="1403">
        <f ca="1"/>
        <v>1047.8</v>
      </c>
      <c r="AJ98" vm="1404">
        <f ca="1"/>
        <v>1014</v>
      </c>
      <c r="AK98" vm="1405">
        <f ca="1"/>
        <v>1042.95</v>
      </c>
      <c r="AL98" vm="1406">
        <f ca="1"/>
        <v>1034.9000000000001</v>
      </c>
      <c r="AM98" vm="1407">
        <f ca="1"/>
        <v>1037.3</v>
      </c>
      <c r="AN98" vm="1408">
        <f ca="1"/>
        <v>1042.5</v>
      </c>
      <c r="AO98" vm="1409">
        <f ca="1"/>
        <v>1040</v>
      </c>
      <c r="AP98" vm="1410">
        <f ca="1"/>
        <v>1050.45</v>
      </c>
      <c r="AQ98" vm="1411">
        <f ca="1"/>
        <v>1036.2</v>
      </c>
      <c r="AR98" vm="1412">
        <f ca="1"/>
        <v>1050</v>
      </c>
      <c r="AS98" vm="1413">
        <f ca="1"/>
        <v>1070.8</v>
      </c>
      <c r="AT98" vm="1414">
        <f ca="1"/>
        <v>1117.25</v>
      </c>
      <c r="AU98" vm="1415">
        <f ca="1"/>
        <v>1110.75</v>
      </c>
      <c r="AV98" vm="1416">
        <f ca="1"/>
        <v>1151.95</v>
      </c>
      <c r="AW98" vm="1417">
        <f ca="1"/>
        <v>1144.1500000000001</v>
      </c>
      <c r="AX98" vm="1418">
        <f ca="1"/>
        <v>1196.55</v>
      </c>
      <c r="AY98" vm="1419">
        <f ca="1"/>
        <v>1190.9000000000001</v>
      </c>
      <c r="AZ98" vm="1420">
        <f ca="1"/>
        <v>1178.5999999999999</v>
      </c>
      <c r="BA98" vm="1421">
        <f ca="1"/>
        <v>1207.25</v>
      </c>
      <c r="BB98" vm="1422">
        <f ca="1"/>
        <v>1200.05</v>
      </c>
      <c r="BC98" vm="1423">
        <f ca="1"/>
        <v>1216</v>
      </c>
      <c r="BD98" vm="1424">
        <f ca="1"/>
        <v>1192.95</v>
      </c>
      <c r="BE98" vm="1425">
        <f ca="1"/>
        <v>1208.1500000000001</v>
      </c>
      <c r="BF98" vm="1426">
        <f ca="1"/>
        <v>1229.75</v>
      </c>
      <c r="BG98" vm="1427">
        <f ca="1"/>
        <v>1205.1500000000001</v>
      </c>
      <c r="BH98" vm="1428">
        <f ca="1"/>
        <v>1209.4000000000001</v>
      </c>
      <c r="BI98" vm="1429">
        <f ca="1"/>
        <v>1198.55</v>
      </c>
      <c r="BJ98" vm="1430">
        <f ca="1"/>
        <v>1186.8499999999999</v>
      </c>
      <c r="BK98" vm="1431">
        <f ca="1"/>
        <v>1187.0999999999999</v>
      </c>
      <c r="BL98" vm="1432">
        <f ca="1"/>
        <v>1184.75</v>
      </c>
      <c r="BM98" vm="1433">
        <f ca="1"/>
        <v>1188.1500000000001</v>
      </c>
      <c r="BN98" vm="802">
        <f ca="1"/>
        <v>1225.0999999999999</v>
      </c>
      <c r="BO98" vm="1434">
        <f ca="1"/>
        <v>1221.05</v>
      </c>
      <c r="BP98" vm="1435">
        <f ca="1"/>
        <v>1230.6500000000001</v>
      </c>
      <c r="BQ98" vm="1436">
        <f ca="1"/>
        <v>1244.5</v>
      </c>
      <c r="BR98" vm="1437">
        <f ca="1"/>
        <v>1218.3499999999999</v>
      </c>
      <c r="BS98" vm="1438">
        <f ca="1"/>
        <v>1216.4000000000001</v>
      </c>
      <c r="BT98" vm="1439">
        <f ca="1"/>
        <v>1215.5</v>
      </c>
      <c r="BU98" vm="1440">
        <f ca="1"/>
        <v>1199.6500000000001</v>
      </c>
      <c r="BV98" vm="1441">
        <f ca="1"/>
        <v>1233.4000000000001</v>
      </c>
      <c r="BW98" vm="1442">
        <f ca="1"/>
        <v>1223.25</v>
      </c>
      <c r="BX98" vm="825">
        <f ca="1"/>
        <v>1199.75</v>
      </c>
      <c r="BY98" vm="1443">
        <f ca="1"/>
        <v>1193.05</v>
      </c>
      <c r="BZ98" vm="1444">
        <f ca="1"/>
        <v>1179.8</v>
      </c>
      <c r="CA98" vm="1445">
        <f ca="1"/>
        <v>1162.25</v>
      </c>
      <c r="CB98" vm="1446">
        <f ca="1"/>
        <v>1158.8</v>
      </c>
      <c r="CC98" vm="1447">
        <f ca="1"/>
        <v>1145.45</v>
      </c>
      <c r="CD98" vm="1448">
        <f ca="1"/>
        <v>1150.3499999999999</v>
      </c>
      <c r="CE98" vm="1449">
        <f ca="1"/>
        <v>1164.25</v>
      </c>
      <c r="CF98" vm="1450">
        <f ca="1"/>
        <v>1163.8499999999999</v>
      </c>
      <c r="CG98" vm="1451">
        <f ca="1"/>
        <v>1157.8499999999999</v>
      </c>
      <c r="CH98" vm="1452">
        <f ca="1"/>
        <v>1139.25</v>
      </c>
      <c r="CI98" vm="1453">
        <f ca="1"/>
        <v>1123.8</v>
      </c>
      <c r="CJ98" vm="1454">
        <f ca="1"/>
        <v>1129.5999999999999</v>
      </c>
      <c r="CK98" vm="1455">
        <f ca="1"/>
        <v>1143.7</v>
      </c>
      <c r="CL98" vm="1456">
        <f ca="1"/>
        <v>1138.45</v>
      </c>
      <c r="CM98" vm="1457">
        <f ca="1"/>
        <v>1141.45</v>
      </c>
      <c r="CN98" vm="1458">
        <f ca="1"/>
        <v>1151.6500000000001</v>
      </c>
      <c r="CO98" vm="1459">
        <f ca="1"/>
        <v>1225.45</v>
      </c>
      <c r="CP98" vm="1460">
        <f ca="1"/>
        <v>1220.8499999999999</v>
      </c>
      <c r="CQ98" vm="1461">
        <f ca="1"/>
        <v>1203.05</v>
      </c>
      <c r="CR98" vm="1462">
        <f ca="1"/>
        <v>1282.3</v>
      </c>
      <c r="CS98" vm="1463">
        <f ca="1"/>
        <v>1390.9</v>
      </c>
      <c r="CT98" vm="1464">
        <f ca="1"/>
        <v>1333.8</v>
      </c>
      <c r="CU98" vm="1465">
        <f ca="1"/>
        <v>1319.2</v>
      </c>
      <c r="CV98" vm="1466">
        <f ca="1"/>
        <v>1323.2</v>
      </c>
      <c r="CW98" vm="1467">
        <f ca="1"/>
        <v>1344.4</v>
      </c>
      <c r="CX98" vm="1468">
        <f ca="1"/>
        <v>1330.2</v>
      </c>
      <c r="CY98" vm="1469">
        <f ca="1"/>
        <v>1306.7</v>
      </c>
      <c r="CZ98" vm="1470">
        <f ca="1"/>
        <v>1291.8499999999999</v>
      </c>
      <c r="DA98" vm="1471">
        <f ca="1"/>
        <v>1312.9</v>
      </c>
      <c r="DB98" vm="1472">
        <f ca="1"/>
        <v>1311.9</v>
      </c>
      <c r="DC98" vm="1473">
        <f ca="1"/>
        <v>1327.7</v>
      </c>
      <c r="DD98" vm="1474">
        <f ca="1"/>
        <v>1352.15</v>
      </c>
      <c r="DE98" vm="1475">
        <f ca="1"/>
        <v>1333.1</v>
      </c>
      <c r="DF98" vm="1476">
        <f ca="1"/>
        <v>1359.8</v>
      </c>
      <c r="DG98" vm="1477">
        <f ca="1"/>
        <v>1337</v>
      </c>
      <c r="DH98" vm="1478">
        <f ca="1"/>
        <v>1316.75</v>
      </c>
      <c r="DI98" vm="1479">
        <f ca="1"/>
        <v>1325.25</v>
      </c>
      <c r="DJ98" vm="1480">
        <f ca="1"/>
        <v>1347.85</v>
      </c>
      <c r="DK98" vm="1481">
        <f ca="1"/>
        <v>1308.55</v>
      </c>
      <c r="DL98" vm="1482">
        <f ca="1"/>
        <v>1322.4</v>
      </c>
      <c r="DM98" vm="1483">
        <f ca="1"/>
        <v>1330.6</v>
      </c>
      <c r="DN98" vm="1484">
        <f ca="1"/>
        <v>1390.65</v>
      </c>
      <c r="DO98" vm="1485">
        <f ca="1"/>
        <v>1389.15</v>
      </c>
      <c r="DP98" vm="1486">
        <f ca="1"/>
        <v>1369.8</v>
      </c>
      <c r="DQ98" vm="1487">
        <f ca="1"/>
        <v>1353.75</v>
      </c>
      <c r="DR98" vm="1488">
        <f ca="1"/>
        <v>1348.45</v>
      </c>
      <c r="DS98" vm="1489">
        <f ca="1"/>
        <v>1339.5</v>
      </c>
      <c r="DT98" vm="1490">
        <f ca="1"/>
        <v>1343.15</v>
      </c>
      <c r="DU98" vm="1491">
        <f ca="1"/>
        <v>1307.1500000000001</v>
      </c>
      <c r="DV98" vm="1492">
        <f ca="1"/>
        <v>1323.25</v>
      </c>
      <c r="DW98" vm="1493">
        <f ca="1"/>
        <v>1292.25</v>
      </c>
      <c r="DX98" vm="1494">
        <f ca="1"/>
        <v>1327.1</v>
      </c>
      <c r="DY98" vm="1495">
        <f ca="1"/>
        <v>1374.35</v>
      </c>
      <c r="DZ98" vm="1496">
        <f ca="1"/>
        <v>1456.15</v>
      </c>
      <c r="EA98" vm="1497">
        <f ca="1"/>
        <v>1501.75</v>
      </c>
      <c r="EB98" vm="1498">
        <f ca="1"/>
        <v>1521.2</v>
      </c>
      <c r="EC98" vm="1499">
        <f ca="1"/>
        <v>1560.5</v>
      </c>
      <c r="ED98" vm="1500">
        <f ca="1"/>
        <v>1603.7</v>
      </c>
      <c r="EE98" vm="1501">
        <f ca="1"/>
        <v>1581.5</v>
      </c>
      <c r="EF98" vm="1502">
        <f ca="1"/>
        <v>1608.6</v>
      </c>
      <c r="EG98" vm="1503">
        <f ca="1"/>
        <v>1692.75</v>
      </c>
      <c r="EH98" vm="1504">
        <f ca="1"/>
        <v>1777.05</v>
      </c>
      <c r="EI98" vm="1505">
        <f ca="1"/>
        <v>1834.95</v>
      </c>
      <c r="EJ98" vm="1506">
        <f ca="1"/>
        <v>1843.8</v>
      </c>
      <c r="EK98" vm="1507">
        <f ca="1"/>
        <v>1811.9</v>
      </c>
      <c r="EL98" vm="1508">
        <f ca="1"/>
        <v>1784.3</v>
      </c>
      <c r="EM98" vm="1509">
        <f ca="1"/>
        <v>1779.15</v>
      </c>
      <c r="EN98" vm="1510">
        <f ca="1"/>
        <v>1749.75</v>
      </c>
      <c r="EO98" vm="1511">
        <f ca="1"/>
        <v>1724.95</v>
      </c>
      <c r="EP98" vm="1512">
        <f ca="1"/>
        <v>1719</v>
      </c>
      <c r="EQ98" vm="1513">
        <f ca="1"/>
        <v>1792.1</v>
      </c>
      <c r="ER98" vm="1514">
        <f ca="1"/>
        <v>1802</v>
      </c>
      <c r="ES98" vm="1507">
        <f ca="1"/>
        <v>1811.9</v>
      </c>
      <c r="ET98" vm="1515">
        <f ca="1"/>
        <v>1910.75</v>
      </c>
      <c r="EU98" vm="1516">
        <f ca="1"/>
        <v>1893.8</v>
      </c>
      <c r="EV98" vm="1517">
        <f ca="1"/>
        <v>1898.25</v>
      </c>
      <c r="EW98" vm="1518">
        <f ca="1"/>
        <v>1927.4</v>
      </c>
      <c r="EX98" vm="1519">
        <f ca="1"/>
        <v>1918.65</v>
      </c>
      <c r="EY98" vm="1520">
        <f ca="1"/>
        <v>1900.55</v>
      </c>
      <c r="EZ98" vm="1521">
        <f ca="1"/>
        <v>1887</v>
      </c>
      <c r="FA98" vm="1522">
        <f ca="1"/>
        <v>1862.2</v>
      </c>
      <c r="FB98" vm="1523">
        <f ca="1"/>
        <v>1891.1</v>
      </c>
      <c r="FC98" vm="1524">
        <f ca="1"/>
        <v>1875.15</v>
      </c>
      <c r="FD98" vm="1525">
        <f ca="1"/>
        <v>1954.8</v>
      </c>
      <c r="FE98" vm="1526">
        <f ca="1"/>
        <v>1947.2</v>
      </c>
      <c r="FF98" vm="1527">
        <f ca="1"/>
        <v>1890.6</v>
      </c>
      <c r="FG98" vm="1528">
        <f ca="1"/>
        <v>1895.2</v>
      </c>
      <c r="FH98" vm="1529">
        <f ca="1"/>
        <v>1911.95</v>
      </c>
      <c r="FI98" vm="1530">
        <f ca="1"/>
        <v>1806.95</v>
      </c>
      <c r="FJ98" vm="1531">
        <f ca="1"/>
        <v>1837.55</v>
      </c>
      <c r="FK98" vm="1532">
        <f ca="1"/>
        <v>1836.95</v>
      </c>
      <c r="FL98" vm="1533">
        <f ca="1"/>
        <v>1851.05</v>
      </c>
      <c r="FM98" vm="1534">
        <f ca="1"/>
        <v>1855.05</v>
      </c>
      <c r="FN98" vm="1535">
        <f ca="1"/>
        <v>1833.75</v>
      </c>
      <c r="FO98" vm="1536">
        <f ca="1"/>
        <v>1824.4</v>
      </c>
      <c r="FP98" vm="1537">
        <f ca="1"/>
        <v>1818.35</v>
      </c>
      <c r="FQ98" vm="1538">
        <f ca="1"/>
        <v>1819.1</v>
      </c>
      <c r="FR98" vm="1539">
        <f ca="1"/>
        <v>1843.15</v>
      </c>
      <c r="FS98" vm="1540">
        <f ca="1"/>
        <v>1885.05</v>
      </c>
      <c r="FT98" vm="1541">
        <f ca="1"/>
        <v>1888.65</v>
      </c>
      <c r="FU98" vm="1542">
        <f ca="1"/>
        <v>1873.8</v>
      </c>
      <c r="FV98" vm="1543">
        <f ca="1"/>
        <v>1874.3</v>
      </c>
      <c r="FW98" vm="1544">
        <f ca="1"/>
        <v>1861.3</v>
      </c>
      <c r="FX98" vm="1545">
        <f ca="1"/>
        <v>1845</v>
      </c>
      <c r="FY98" vm="1546">
        <f ca="1"/>
        <v>1852.9</v>
      </c>
      <c r="FZ98" vm="1547">
        <f ca="1"/>
        <v>1845.75</v>
      </c>
      <c r="GA98" vm="1548">
        <f ca="1"/>
        <v>1881.3</v>
      </c>
      <c r="GB98" vm="1549">
        <f ca="1"/>
        <v>1847.5</v>
      </c>
      <c r="GC98" vm="1550">
        <f ca="1"/>
        <v>1820.65</v>
      </c>
      <c r="GD98" vm="1551">
        <f ca="1"/>
        <v>1820.75</v>
      </c>
      <c r="GE98" vm="1552">
        <f ca="1"/>
        <v>1804.6</v>
      </c>
      <c r="GF98" vm="1553">
        <f ca="1"/>
        <v>1733.35</v>
      </c>
      <c r="GG98" vm="1554">
        <f ca="1"/>
        <v>1761.5</v>
      </c>
      <c r="GH98" vm="1555">
        <f ca="1"/>
        <v>1770.2</v>
      </c>
      <c r="GI98" vm="1556">
        <f ca="1"/>
        <v>1765.4</v>
      </c>
      <c r="GJ98" vm="1557">
        <f ca="1"/>
        <v>1745.05</v>
      </c>
      <c r="GK98" vm="1558">
        <f ca="1"/>
        <v>1775.05</v>
      </c>
      <c r="GL98" vm="1559">
        <f ca="1"/>
        <v>1810.95</v>
      </c>
      <c r="GM98" vm="1542">
        <f ca="1"/>
        <v>1873.8</v>
      </c>
      <c r="GN98" vm="1560">
        <f ca="1"/>
        <v>1827.55</v>
      </c>
      <c r="GO98" vm="1561">
        <f ca="1"/>
        <v>1850.35</v>
      </c>
      <c r="GP98" vm="1562">
        <f ca="1"/>
        <v>1957.95</v>
      </c>
      <c r="GQ98" vm="1563">
        <f ca="1"/>
        <v>2000.3</v>
      </c>
      <c r="GR98" vm="1564">
        <f ca="1"/>
        <v>1946.95</v>
      </c>
      <c r="GS98" vm="1565">
        <f ca="1"/>
        <v>1849.85</v>
      </c>
      <c r="GT98" vm="1566">
        <f ca="1"/>
        <v>1885.5</v>
      </c>
      <c r="GU98" vm="1567">
        <f ca="1"/>
        <v>1898.7</v>
      </c>
      <c r="GV98" vm="1568">
        <f ca="1"/>
        <v>1878.4</v>
      </c>
      <c r="GW98" vm="1569">
        <f ca="1"/>
        <v>1876.15</v>
      </c>
      <c r="GX98" vm="1570">
        <f ca="1"/>
        <v>1841.5</v>
      </c>
      <c r="GY98" vm="1571">
        <f ca="1"/>
        <v>1841.3</v>
      </c>
      <c r="GZ98" vm="1572">
        <f ca="1"/>
        <v>1799.6</v>
      </c>
      <c r="HA98" vm="1573">
        <f ca="1"/>
        <v>1824.65</v>
      </c>
      <c r="HB98" vm="1574">
        <f ca="1"/>
        <v>1859.55</v>
      </c>
      <c r="HC98" vm="1575">
        <f ca="1"/>
        <v>1900</v>
      </c>
      <c r="HD98" vm="1576">
        <f ca="1"/>
        <v>1913.95</v>
      </c>
      <c r="HE98" vm="1577">
        <f ca="1"/>
        <v>1931.05</v>
      </c>
      <c r="HF98" vm="1578">
        <f ca="1"/>
        <v>1917.15</v>
      </c>
      <c r="HG98" vm="1579">
        <f ca="1"/>
        <v>1918.55</v>
      </c>
      <c r="HH98" vm="1580">
        <f ca="1"/>
        <v>1929.6</v>
      </c>
      <c r="HI98" vm="1581">
        <f ca="1"/>
        <v>1900.75</v>
      </c>
      <c r="HJ98" vm="1582">
        <f ca="1"/>
        <v>1879.65</v>
      </c>
      <c r="HK98" vm="1583">
        <f ca="1"/>
        <v>1836.8</v>
      </c>
      <c r="HL98" vm="1584">
        <f ca="1"/>
        <v>1830.6</v>
      </c>
      <c r="HM98" vm="1585">
        <f ca="1"/>
        <v>1810.6</v>
      </c>
      <c r="HN98" vm="1586">
        <f ca="1"/>
        <v>1807.45</v>
      </c>
      <c r="HO98" vm="1587">
        <f ca="1"/>
        <v>1684.65</v>
      </c>
      <c r="HP98" vm="1588">
        <f ca="1"/>
        <v>1709.35</v>
      </c>
      <c r="HQ98" vm="1589">
        <f ca="1"/>
        <v>1719.7</v>
      </c>
      <c r="HR98" vm="1590">
        <f ca="1"/>
        <v>1687.3</v>
      </c>
      <c r="HS98" vm="1591">
        <f ca="1"/>
        <v>1677.75</v>
      </c>
      <c r="HT98" vm="1592">
        <f ca="1"/>
        <v>1657.6</v>
      </c>
      <c r="HU98" vm="1593">
        <f ca="1"/>
        <v>1766.1</v>
      </c>
      <c r="HV98" vm="1594">
        <f ca="1"/>
        <v>1787.35</v>
      </c>
      <c r="HW98" vm="1595">
        <f ca="1"/>
        <v>1788.9</v>
      </c>
      <c r="HX98" vm="1596">
        <f ca="1"/>
        <v>1686.05</v>
      </c>
      <c r="HY98" vm="1597">
        <f ca="1"/>
        <v>1711.95</v>
      </c>
      <c r="HZ98" vm="1598">
        <f ca="1"/>
        <v>1837.7</v>
      </c>
      <c r="IA98" vm="1599">
        <f ca="1"/>
        <v>1876.2</v>
      </c>
      <c r="IB98" vm="1600">
        <f ca="1"/>
        <v>1876.4</v>
      </c>
      <c r="IC98" vm="1601">
        <f ca="1"/>
        <v>1877.55</v>
      </c>
      <c r="ID98" vm="1602">
        <f ca="1"/>
        <v>1884.45</v>
      </c>
      <c r="IE98" vm="1603">
        <f ca="1"/>
        <v>1877.25</v>
      </c>
      <c r="IF98" vm="1604">
        <f ca="1"/>
        <v>1866.35</v>
      </c>
      <c r="IG98" vm="1605">
        <f ca="1"/>
        <v>1882.05</v>
      </c>
      <c r="IH98" vm="1606">
        <f ca="1"/>
        <v>2008.1</v>
      </c>
      <c r="II98" vm="1607">
        <f ca="1"/>
        <v>1975.95</v>
      </c>
      <c r="IJ98" vm="1608">
        <f ca="1"/>
        <v>1975.55</v>
      </c>
      <c r="IK98" vm="1609">
        <f ca="1"/>
        <v>1965.7</v>
      </c>
      <c r="IL98" vm="1610">
        <f ca="1"/>
        <v>1940.3</v>
      </c>
      <c r="IM98" vm="1611">
        <f ca="1"/>
        <v>2012.2</v>
      </c>
      <c r="IN98" vm="1612">
        <f ca="1"/>
        <v>2105.9</v>
      </c>
      <c r="IO98" vm="1613">
        <f ca="1"/>
        <v>2080.75</v>
      </c>
      <c r="IP98" vm="1614">
        <f ca="1"/>
        <v>2151</v>
      </c>
      <c r="IQ98" vm="1615">
        <f ca="1"/>
        <v>2119.5</v>
      </c>
      <c r="IR98" vm="1616">
        <f ca="1"/>
        <v>2109.75</v>
      </c>
    </row>
    <row r="99" spans="4:252" x14ac:dyDescent="0.35">
      <c r="D99" t="e" vm="6">
        <v>#VALUE!</v>
      </c>
      <c r="E99" cm="1" vm="1617">
        <f t="array" aca="1" ref="E99:IR99" ca="1">TRANSPOSE((_xlfn.STOCKHISTORY('Portfolio Tracker '!$C13,TODAY()-365,TODAY(),0,0,1)))</f>
        <v>1468.9</v>
      </c>
      <c r="F99" vm="1618">
        <f ca="1"/>
        <v>1468.65</v>
      </c>
      <c r="G99" vm="1619">
        <f ca="1"/>
        <v>1480.75</v>
      </c>
      <c r="H99" vm="1620">
        <f ca="1"/>
        <v>1463.45</v>
      </c>
      <c r="I99" vm="1621">
        <f ca="1"/>
        <v>1503.15</v>
      </c>
      <c r="J99" vm="1622">
        <f ca="1"/>
        <v>1492.45</v>
      </c>
      <c r="K99" vm="1623">
        <f ca="1"/>
        <v>1490.2</v>
      </c>
      <c r="L99" vm="1624">
        <f ca="1"/>
        <v>1506.3</v>
      </c>
      <c r="M99" vm="1625">
        <f ca="1"/>
        <v>1504.75</v>
      </c>
      <c r="N99" vm="1626">
        <f ca="1"/>
        <v>1535.45</v>
      </c>
      <c r="O99" vm="1627">
        <f ca="1"/>
        <v>1524.45</v>
      </c>
      <c r="P99" vm="1628">
        <f ca="1"/>
        <v>1527.4</v>
      </c>
      <c r="Q99" vm="1629">
        <f ca="1"/>
        <v>1506.35</v>
      </c>
      <c r="R99" vm="1630">
        <f ca="1"/>
        <v>1496.4</v>
      </c>
      <c r="S99" vm="1631">
        <f ca="1"/>
        <v>1500.1</v>
      </c>
      <c r="T99" vm="1632">
        <f ca="1"/>
        <v>1478.35</v>
      </c>
      <c r="U99" vm="1633">
        <f ca="1"/>
        <v>1465.4</v>
      </c>
      <c r="V99" vm="1634">
        <f ca="1"/>
        <v>1447.6</v>
      </c>
      <c r="W99" vm="1635">
        <f ca="1"/>
        <v>1434.25</v>
      </c>
      <c r="X99" vm="1636">
        <f ca="1"/>
        <v>1428.7</v>
      </c>
      <c r="Y99" vm="1637">
        <f ca="1"/>
        <v>1412.95</v>
      </c>
      <c r="Z99" vm="1638">
        <f ca="1"/>
        <v>1418.75</v>
      </c>
      <c r="AA99" vm="1639">
        <f ca="1"/>
        <v>1411.5</v>
      </c>
      <c r="AB99" vm="1640">
        <f ca="1"/>
        <v>1409.85</v>
      </c>
      <c r="AC99" vm="1641">
        <f ca="1"/>
        <v>1417.65</v>
      </c>
      <c r="AD99" vm="1642">
        <f ca="1"/>
        <v>1406.55</v>
      </c>
      <c r="AE99" vm="1643">
        <f ca="1"/>
        <v>1399.9</v>
      </c>
      <c r="AF99" vm="1644">
        <f ca="1"/>
        <v>1406.3</v>
      </c>
      <c r="AG99" vm="1645">
        <f ca="1"/>
        <v>1377.15</v>
      </c>
      <c r="AH99" vm="1646">
        <f ca="1"/>
        <v>1348.2</v>
      </c>
      <c r="AI99" vm="1647">
        <f ca="1"/>
        <v>1340.35</v>
      </c>
      <c r="AJ99" vm="1648">
        <f ca="1"/>
        <v>1368.45</v>
      </c>
      <c r="AK99" vm="1649">
        <f ca="1"/>
        <v>1363.55</v>
      </c>
      <c r="AL99" vm="1650">
        <f ca="1"/>
        <v>1383.95</v>
      </c>
      <c r="AM99" vm="1651">
        <f ca="1"/>
        <v>1384.7</v>
      </c>
      <c r="AN99" vm="1652">
        <f ca="1"/>
        <v>1363.4</v>
      </c>
      <c r="AO99" vm="1653">
        <f ca="1"/>
        <v>1369.55</v>
      </c>
      <c r="AP99" vm="1654">
        <f ca="1"/>
        <v>1362.85</v>
      </c>
      <c r="AQ99" vm="1655">
        <f ca="1"/>
        <v>1346.65</v>
      </c>
      <c r="AR99" vm="1656">
        <f ca="1"/>
        <v>1375.85</v>
      </c>
      <c r="AS99" vm="1657">
        <f ca="1"/>
        <v>1386.85</v>
      </c>
      <c r="AT99" vm="1658">
        <f ca="1"/>
        <v>1393.05</v>
      </c>
      <c r="AU99" vm="1659">
        <f ca="1"/>
        <v>1396</v>
      </c>
      <c r="AV99" vm="1660">
        <f ca="1"/>
        <v>1402.95</v>
      </c>
      <c r="AW99" vm="1661">
        <f ca="1"/>
        <v>1387.65</v>
      </c>
      <c r="AX99" vm="1662">
        <f ca="1"/>
        <v>1378.45</v>
      </c>
      <c r="AY99" vm="1663">
        <f ca="1"/>
        <v>1374.3</v>
      </c>
      <c r="AZ99" vm="1664">
        <f ca="1"/>
        <v>1359.85</v>
      </c>
      <c r="BA99" vm="1665">
        <f ca="1"/>
        <v>1353.5</v>
      </c>
      <c r="BB99" vm="1666">
        <f ca="1"/>
        <v>1323.95</v>
      </c>
      <c r="BC99" vm="1667">
        <f ca="1"/>
        <v>1309.45</v>
      </c>
      <c r="BD99" vm="1668">
        <f ca="1"/>
        <v>1298.1500000000001</v>
      </c>
      <c r="BE99" vm="1669">
        <f ca="1"/>
        <v>1309.75</v>
      </c>
      <c r="BF99" vm="1670">
        <f ca="1"/>
        <v>1318</v>
      </c>
      <c r="BG99" vm="1671">
        <f ca="1"/>
        <v>1316.4</v>
      </c>
      <c r="BH99" vm="1672">
        <f ca="1"/>
        <v>1315.45</v>
      </c>
      <c r="BI99" vm="1673">
        <f ca="1"/>
        <v>1317</v>
      </c>
      <c r="BJ99" vm="1674">
        <f ca="1"/>
        <v>1316.7</v>
      </c>
      <c r="BK99" vm="1675">
        <f ca="1"/>
        <v>1310.45</v>
      </c>
      <c r="BL99" vm="1676">
        <f ca="1"/>
        <v>1297.0999999999999</v>
      </c>
      <c r="BM99" vm="1677">
        <f ca="1"/>
        <v>1294.9000000000001</v>
      </c>
      <c r="BN99" vm="1678">
        <f ca="1"/>
        <v>1292.8499999999999</v>
      </c>
      <c r="BO99" vm="1679">
        <f ca="1"/>
        <v>1286.05</v>
      </c>
      <c r="BP99" vm="1680">
        <f ca="1"/>
        <v>1300.3</v>
      </c>
      <c r="BQ99" vm="1681">
        <f ca="1"/>
        <v>1300.8</v>
      </c>
      <c r="BR99" vm="1682">
        <f ca="1"/>
        <v>1306.5</v>
      </c>
      <c r="BS99" vm="1683">
        <f ca="1"/>
        <v>1297.6500000000001</v>
      </c>
      <c r="BT99" vm="1684">
        <f ca="1"/>
        <v>1309.55</v>
      </c>
      <c r="BU99" vm="1685">
        <f ca="1"/>
        <v>1335.7</v>
      </c>
      <c r="BV99" vm="1686">
        <f ca="1"/>
        <v>1378.65</v>
      </c>
      <c r="BW99" vm="1687">
        <f ca="1"/>
        <v>1403.7</v>
      </c>
      <c r="BX99" vm="1688">
        <f ca="1"/>
        <v>1400.2</v>
      </c>
      <c r="BY99" vm="1689">
        <f ca="1"/>
        <v>1426.55</v>
      </c>
      <c r="BZ99" vm="1690">
        <f ca="1"/>
        <v>1405.9</v>
      </c>
      <c r="CA99" vm="1691">
        <f ca="1"/>
        <v>1397.15</v>
      </c>
      <c r="CB99" vm="1692">
        <f ca="1"/>
        <v>1384.4</v>
      </c>
      <c r="CC99" vm="1693">
        <f ca="1"/>
        <v>1375.2</v>
      </c>
      <c r="CD99" vm="1694">
        <f ca="1"/>
        <v>1368.65</v>
      </c>
      <c r="CE99" vm="1695">
        <f ca="1"/>
        <v>1409.95</v>
      </c>
      <c r="CF99" vm="1696">
        <f ca="1"/>
        <v>1404</v>
      </c>
      <c r="CG99" vm="1697">
        <f ca="1"/>
        <v>1401.9</v>
      </c>
      <c r="CH99" vm="1698">
        <f ca="1"/>
        <v>1395.9</v>
      </c>
      <c r="CI99" vm="1699">
        <f ca="1"/>
        <v>1395.8</v>
      </c>
      <c r="CJ99" vm="1700">
        <f ca="1"/>
        <v>1402.45</v>
      </c>
      <c r="CK99" vm="1701">
        <f ca="1"/>
        <v>1422.45</v>
      </c>
      <c r="CL99" vm="1702">
        <f ca="1"/>
        <v>1417.75</v>
      </c>
      <c r="CM99" vm="1703">
        <f ca="1"/>
        <v>1412.15</v>
      </c>
      <c r="CN99" vm="1704">
        <f ca="1"/>
        <v>1437.5</v>
      </c>
      <c r="CO99" vm="1705">
        <f ca="1"/>
        <v>1460</v>
      </c>
      <c r="CP99" vm="1706">
        <f ca="1"/>
        <v>1466.65</v>
      </c>
      <c r="CQ99" vm="1707">
        <f ca="1"/>
        <v>1471.15</v>
      </c>
      <c r="CR99" vm="1708">
        <f ca="1"/>
        <v>1458.1</v>
      </c>
      <c r="CS99" vm="1709">
        <f ca="1"/>
        <v>1483.2</v>
      </c>
      <c r="CT99" vm="1710">
        <f ca="1"/>
        <v>1432.85</v>
      </c>
      <c r="CU99" vm="1711">
        <f ca="1"/>
        <v>1449.85</v>
      </c>
      <c r="CV99" vm="1712">
        <f ca="1"/>
        <v>1462.8</v>
      </c>
      <c r="CW99" vm="1713">
        <f ca="1"/>
        <v>1456.9</v>
      </c>
      <c r="CX99" vm="1714">
        <f ca="1"/>
        <v>1446.85</v>
      </c>
      <c r="CY99" vm="1715">
        <f ca="1"/>
        <v>1438.8</v>
      </c>
      <c r="CZ99" vm="1716">
        <f ca="1"/>
        <v>1421.9</v>
      </c>
      <c r="DA99" vm="1717">
        <f ca="1"/>
        <v>1405.6</v>
      </c>
      <c r="DB99" vm="1718">
        <f ca="1"/>
        <v>1412.05</v>
      </c>
      <c r="DC99" vm="1719">
        <f ca="1"/>
        <v>1420.9</v>
      </c>
      <c r="DD99" vm="1720">
        <f ca="1"/>
        <v>1426.85</v>
      </c>
      <c r="DE99" vm="1721">
        <f ca="1"/>
        <v>1412.25</v>
      </c>
      <c r="DF99" vm="1722">
        <f ca="1"/>
        <v>1409.25</v>
      </c>
      <c r="DG99" vm="1723">
        <f ca="1"/>
        <v>1407.85</v>
      </c>
      <c r="DH99" vm="1724">
        <f ca="1"/>
        <v>1413</v>
      </c>
      <c r="DI99" vm="1725">
        <f ca="1"/>
        <v>1409.45</v>
      </c>
      <c r="DJ99" vm="1726">
        <f ca="1"/>
        <v>1410.2</v>
      </c>
      <c r="DK99" vm="1727">
        <f ca="1"/>
        <v>1381.05</v>
      </c>
      <c r="DL99" vm="1728">
        <f ca="1"/>
        <v>1375.1</v>
      </c>
      <c r="DM99" vm="1729">
        <f ca="1"/>
        <v>1388.9</v>
      </c>
      <c r="DN99" vm="1730">
        <f ca="1"/>
        <v>1393.85</v>
      </c>
      <c r="DO99" vm="1731">
        <f ca="1"/>
        <v>1394.95</v>
      </c>
      <c r="DP99" vm="1732">
        <f ca="1"/>
        <v>1377.6</v>
      </c>
      <c r="DQ99" vm="1733">
        <f ca="1"/>
        <v>1367.8</v>
      </c>
      <c r="DR99" vm="1734">
        <f ca="1"/>
        <v>1375.9</v>
      </c>
      <c r="DS99" vm="1735">
        <f ca="1"/>
        <v>1370.65</v>
      </c>
      <c r="DT99" vm="1736">
        <f ca="1"/>
        <v>1355.65</v>
      </c>
      <c r="DU99" vm="1737">
        <f ca="1"/>
        <v>1331.35</v>
      </c>
      <c r="DV99" vm="1738">
        <f ca="1"/>
        <v>1330.7</v>
      </c>
      <c r="DW99" vm="1739">
        <f ca="1"/>
        <v>1314</v>
      </c>
      <c r="DX99" vm="1740">
        <f ca="1"/>
        <v>1321.8</v>
      </c>
      <c r="DY99" vm="1741">
        <f ca="1"/>
        <v>1304.3</v>
      </c>
      <c r="DZ99" vm="816">
        <f ca="1"/>
        <v>1304.2</v>
      </c>
      <c r="EA99" vm="1742">
        <f ca="1"/>
        <v>1345.3</v>
      </c>
      <c r="EB99" vm="1743">
        <f ca="1"/>
        <v>1373.7</v>
      </c>
      <c r="EC99" vm="1744">
        <f ca="1"/>
        <v>1341.5</v>
      </c>
      <c r="ED99" vm="1745">
        <f ca="1"/>
        <v>1387.35</v>
      </c>
      <c r="EE99" vm="1746">
        <f ca="1"/>
        <v>1364.5</v>
      </c>
      <c r="EF99" vm="1747">
        <f ca="1"/>
        <v>1372.65</v>
      </c>
      <c r="EG99" vm="1748">
        <f ca="1"/>
        <v>1375.35</v>
      </c>
      <c r="EH99" vm="1749">
        <f ca="1"/>
        <v>1371</v>
      </c>
      <c r="EI99" vm="1750">
        <f ca="1"/>
        <v>1380.1</v>
      </c>
      <c r="EJ99" vm="1751">
        <f ca="1"/>
        <v>1386.9</v>
      </c>
      <c r="EK99" vm="1752">
        <f ca="1"/>
        <v>1372.8</v>
      </c>
      <c r="EL99" vm="1753">
        <f ca="1"/>
        <v>1360.85</v>
      </c>
      <c r="EM99" vm="1754">
        <f ca="1"/>
        <v>1364.75</v>
      </c>
      <c r="EN99" vm="1755">
        <f ca="1"/>
        <v>1341.65</v>
      </c>
      <c r="EO99" vm="1756">
        <f ca="1"/>
        <v>1339.45</v>
      </c>
      <c r="EP99" vm="1757">
        <f ca="1"/>
        <v>1348.55</v>
      </c>
      <c r="EQ99" vm="1758">
        <f ca="1"/>
        <v>1349.6</v>
      </c>
      <c r="ER99" vm="1759">
        <f ca="1"/>
        <v>1344.25</v>
      </c>
      <c r="ES99" vm="1760">
        <f ca="1"/>
        <v>1343.85</v>
      </c>
      <c r="ET99" vm="1761">
        <f ca="1"/>
        <v>1344.85</v>
      </c>
      <c r="EU99" vm="1762">
        <f ca="1"/>
        <v>1363.75</v>
      </c>
      <c r="EV99" vm="1763">
        <f ca="1"/>
        <v>1444.85</v>
      </c>
      <c r="EW99" vm="1764">
        <f ca="1"/>
        <v>1431.7</v>
      </c>
      <c r="EX99" vm="1765">
        <f ca="1"/>
        <v>1409.2</v>
      </c>
      <c r="EY99" vm="1766">
        <f ca="1"/>
        <v>1429.85</v>
      </c>
      <c r="EZ99" vm="1767">
        <f ca="1"/>
        <v>1429.95</v>
      </c>
      <c r="FA99" vm="1768">
        <f ca="1"/>
        <v>1415.9</v>
      </c>
      <c r="FB99" vm="1769">
        <f ca="1"/>
        <v>1401.35</v>
      </c>
      <c r="FC99" vm="1770">
        <f ca="1"/>
        <v>1458.25</v>
      </c>
      <c r="FD99" vm="1771">
        <f ca="1"/>
        <v>1505.15</v>
      </c>
      <c r="FE99" vm="1772">
        <f ca="1"/>
        <v>1510.15</v>
      </c>
      <c r="FF99" vm="1773">
        <f ca="1"/>
        <v>1479.9</v>
      </c>
      <c r="FG99" vm="1774">
        <f ca="1"/>
        <v>1526.8</v>
      </c>
      <c r="FH99" vm="1775">
        <f ca="1"/>
        <v>1515.05</v>
      </c>
      <c r="FI99" vm="1776">
        <f ca="1"/>
        <v>1448</v>
      </c>
      <c r="FJ99" vm="1777">
        <f ca="1"/>
        <v>1471.4</v>
      </c>
      <c r="FK99" vm="1778">
        <f ca="1"/>
        <v>1517</v>
      </c>
      <c r="FL99" vm="1779">
        <f ca="1"/>
        <v>1543.6</v>
      </c>
      <c r="FM99" vm="1780">
        <f ca="1"/>
        <v>1545.55</v>
      </c>
      <c r="FN99" vm="1781">
        <f ca="1"/>
        <v>1535.25</v>
      </c>
      <c r="FO99" vm="1782">
        <f ca="1"/>
        <v>1549.1</v>
      </c>
      <c r="FP99" vm="1783">
        <f ca="1"/>
        <v>1591.2</v>
      </c>
      <c r="FQ99" vm="1784">
        <f ca="1"/>
        <v>1574.75</v>
      </c>
      <c r="FR99" vm="1785">
        <f ca="1"/>
        <v>1570.55</v>
      </c>
      <c r="FS99" vm="1786">
        <f ca="1"/>
        <v>1568</v>
      </c>
      <c r="FT99" vm="1787">
        <f ca="1"/>
        <v>1571.55</v>
      </c>
      <c r="FU99" vm="1788">
        <f ca="1"/>
        <v>1528.45</v>
      </c>
      <c r="FV99" vm="1789">
        <f ca="1"/>
        <v>1501.95</v>
      </c>
      <c r="FW99" vm="1790">
        <f ca="1"/>
        <v>1497.4</v>
      </c>
      <c r="FX99" vm="1791">
        <f ca="1"/>
        <v>1529.35</v>
      </c>
      <c r="FY99" vm="1792">
        <f ca="1"/>
        <v>1522.6</v>
      </c>
      <c r="FZ99" vm="1793">
        <f ca="1"/>
        <v>1506.65</v>
      </c>
      <c r="GA99" vm="1794">
        <f ca="1"/>
        <v>1504.5</v>
      </c>
      <c r="GB99" vm="1795">
        <f ca="1"/>
        <v>1474</v>
      </c>
      <c r="GC99" vm="1796">
        <f ca="1"/>
        <v>1486.9</v>
      </c>
      <c r="GD99" vm="1797">
        <f ca="1"/>
        <v>1499</v>
      </c>
      <c r="GE99" vm="1798">
        <f ca="1"/>
        <v>1481.2</v>
      </c>
      <c r="GF99" vm="1799">
        <f ca="1"/>
        <v>1444.9</v>
      </c>
      <c r="GG99" vm="1800">
        <f ca="1"/>
        <v>1443.25</v>
      </c>
      <c r="GH99" vm="1801">
        <f ca="1"/>
        <v>1442</v>
      </c>
      <c r="GI99" vm="1802">
        <f ca="1"/>
        <v>1425.9</v>
      </c>
      <c r="GJ99" vm="1803">
        <f ca="1"/>
        <v>1404.7</v>
      </c>
      <c r="GK99" vm="1804">
        <f ca="1"/>
        <v>1493.55</v>
      </c>
      <c r="GL99" vm="1805">
        <f ca="1"/>
        <v>1478.45</v>
      </c>
      <c r="GM99" vm="1806">
        <f ca="1"/>
        <v>1461.45</v>
      </c>
      <c r="GN99" vm="1807">
        <f ca="1"/>
        <v>1400</v>
      </c>
      <c r="GO99" vm="1808">
        <f ca="1"/>
        <v>1404.65</v>
      </c>
      <c r="GP99" vm="1809">
        <f ca="1"/>
        <v>1408.25</v>
      </c>
      <c r="GQ99" vm="1810">
        <f ca="1"/>
        <v>1372.1</v>
      </c>
      <c r="GR99" vm="1811">
        <f ca="1"/>
        <v>1405.7</v>
      </c>
      <c r="GS99" vm="1812">
        <f ca="1"/>
        <v>1395.25</v>
      </c>
      <c r="GT99" vm="1659">
        <f ca="1"/>
        <v>1396</v>
      </c>
      <c r="GU99" vm="1813">
        <f ca="1"/>
        <v>1381.85</v>
      </c>
      <c r="GV99" vm="1463">
        <f ca="1"/>
        <v>1390.9</v>
      </c>
      <c r="GW99" vm="1814">
        <f ca="1"/>
        <v>1392.35</v>
      </c>
      <c r="GX99" vm="1815">
        <f ca="1"/>
        <v>1401.6</v>
      </c>
      <c r="GY99" vm="1816">
        <f ca="1"/>
        <v>1406.45</v>
      </c>
      <c r="GZ99" vm="1817">
        <f ca="1"/>
        <v>1465.6</v>
      </c>
      <c r="HA99" vm="1818">
        <f ca="1"/>
        <v>1452</v>
      </c>
      <c r="HB99" vm="1819">
        <f ca="1"/>
        <v>1468</v>
      </c>
      <c r="HC99" vm="1820">
        <f ca="1"/>
        <v>1465.5</v>
      </c>
      <c r="HD99" vm="1821">
        <f ca="1"/>
        <v>1461.05</v>
      </c>
      <c r="HE99" vm="1822">
        <f ca="1"/>
        <v>1419.7</v>
      </c>
      <c r="HF99" vm="1823">
        <f ca="1"/>
        <v>1413.4</v>
      </c>
      <c r="HG99" vm="1824">
        <f ca="1"/>
        <v>1400.5</v>
      </c>
      <c r="HH99" vm="1825">
        <f ca="1"/>
        <v>1417.55</v>
      </c>
      <c r="HI99" vm="1826">
        <f ca="1"/>
        <v>1389.85</v>
      </c>
      <c r="HJ99" vm="1827">
        <f ca="1"/>
        <v>1407.25</v>
      </c>
      <c r="HK99" vm="1828">
        <f ca="1"/>
        <v>1379.2</v>
      </c>
      <c r="HL99" vm="1829">
        <f ca="1"/>
        <v>1375.25</v>
      </c>
      <c r="HM99" vm="1830">
        <f ca="1"/>
        <v>1343.8</v>
      </c>
      <c r="HN99" vm="1831">
        <f ca="1"/>
        <v>1336.55</v>
      </c>
      <c r="HO99" vm="1832">
        <f ca="1"/>
        <v>1290.1500000000001</v>
      </c>
      <c r="HP99" vm="1833">
        <f ca="1"/>
        <v>1301.45</v>
      </c>
      <c r="HQ99" vm="1834">
        <f ca="1"/>
        <v>1299.25</v>
      </c>
      <c r="HR99" vm="1835">
        <f ca="1"/>
        <v>1287.6500000000001</v>
      </c>
      <c r="HS99" vm="1836">
        <f ca="1"/>
        <v>1304.3499999999999</v>
      </c>
      <c r="HT99" vm="1681">
        <f ca="1"/>
        <v>1300.8</v>
      </c>
      <c r="HU99" vm="1837">
        <f ca="1"/>
        <v>1296.8499999999999</v>
      </c>
      <c r="HV99" vm="1838">
        <f ca="1"/>
        <v>1307.3</v>
      </c>
      <c r="HW99" vm="1839">
        <f ca="1"/>
        <v>1314.05</v>
      </c>
      <c r="HX99" vm="1840">
        <f ca="1"/>
        <v>1348.25</v>
      </c>
      <c r="HY99" vm="1841">
        <f ca="1"/>
        <v>1329.35</v>
      </c>
      <c r="HZ99" vm="1842">
        <f ca="1"/>
        <v>1347.65</v>
      </c>
      <c r="IA99" vm="1843">
        <f ca="1"/>
        <v>1328.45</v>
      </c>
      <c r="IB99" vm="1490">
        <f ca="1"/>
        <v>1343.15</v>
      </c>
      <c r="IC99" vm="1844">
        <f ca="1"/>
        <v>1335.95</v>
      </c>
      <c r="ID99" vm="1845">
        <f ca="1"/>
        <v>1348.8</v>
      </c>
      <c r="IE99" vm="1846">
        <f ca="1"/>
        <v>1334.95</v>
      </c>
      <c r="IF99" vm="1847">
        <f ca="1"/>
        <v>1325.35</v>
      </c>
      <c r="IG99" vm="1848">
        <f ca="1"/>
        <v>1360.35</v>
      </c>
      <c r="IH99" vm="1849">
        <f ca="1"/>
        <v>1358.5</v>
      </c>
      <c r="II99" vm="1850">
        <f ca="1"/>
        <v>1318.5</v>
      </c>
      <c r="IJ99" vm="1851">
        <f ca="1"/>
        <v>1335.2</v>
      </c>
      <c r="IK99" vm="1852">
        <f ca="1"/>
        <v>1313.35</v>
      </c>
      <c r="IL99" vm="1853">
        <f ca="1"/>
        <v>1297.75</v>
      </c>
      <c r="IM99" vm="1854">
        <f ca="1"/>
        <v>1304.8</v>
      </c>
      <c r="IN99" vm="1855">
        <f ca="1"/>
        <v>1300.2</v>
      </c>
      <c r="IO99" vm="1856">
        <f ca="1"/>
        <v>1299.75</v>
      </c>
      <c r="IP99" vm="1857">
        <f ca="1"/>
        <v>1312.7</v>
      </c>
      <c r="IQ99" vm="809">
        <f ca="1"/>
        <v>1312.95</v>
      </c>
      <c r="IR99" vm="1858">
        <f ca="1"/>
        <v>1323.15</v>
      </c>
    </row>
    <row r="100" spans="4:252" x14ac:dyDescent="0.35">
      <c r="D100" t="e" vm="7">
        <v>#VALUE!</v>
      </c>
      <c r="E100" cm="1" vm="1859">
        <f t="array" aca="1" ref="E100:IR100" ca="1">TRANSPOSE((_xlfn.STOCKHISTORY('Portfolio Tracker '!$C14,TODAY()-365,TODAY(),0,0,1)))</f>
        <v>536.45000000000005</v>
      </c>
      <c r="F100" vm="1860">
        <f ca="1"/>
        <v>537.95000000000005</v>
      </c>
      <c r="G100" vm="1861">
        <f ca="1"/>
        <v>530.4</v>
      </c>
      <c r="H100" vm="1862">
        <f ca="1"/>
        <v>505</v>
      </c>
      <c r="I100" vm="1863">
        <f ca="1"/>
        <v>513.9</v>
      </c>
      <c r="J100" vm="1864">
        <f ca="1"/>
        <v>517.9</v>
      </c>
      <c r="K100" vm="1865">
        <f ca="1"/>
        <v>514.29999999999995</v>
      </c>
      <c r="L100" vm="1866">
        <f ca="1"/>
        <v>520.20000000000005</v>
      </c>
      <c r="M100" vm="1867">
        <f ca="1"/>
        <v>518.35</v>
      </c>
      <c r="N100" vm="1868">
        <f ca="1"/>
        <v>533.04999999999995</v>
      </c>
      <c r="O100" vm="1869">
        <f ca="1"/>
        <v>530.75</v>
      </c>
      <c r="P100" vm="1870">
        <f ca="1"/>
        <v>523.95000000000005</v>
      </c>
      <c r="Q100" vm="1871">
        <f ca="1"/>
        <v>523.45000000000005</v>
      </c>
      <c r="R100" vm="1872">
        <f ca="1"/>
        <v>519.1</v>
      </c>
      <c r="S100" vm="1873">
        <f ca="1"/>
        <v>522.25</v>
      </c>
      <c r="T100" vm="1874">
        <f ca="1"/>
        <v>525.75</v>
      </c>
      <c r="U100" vm="1875">
        <f ca="1"/>
        <v>526.70000000000005</v>
      </c>
      <c r="V100" vm="1876">
        <f ca="1"/>
        <v>530.15</v>
      </c>
      <c r="W100" vm="1877">
        <f ca="1"/>
        <v>542.1</v>
      </c>
      <c r="X100" vm="1878">
        <f ca="1"/>
        <v>548.35</v>
      </c>
      <c r="Y100" vm="1879">
        <f ca="1"/>
        <v>549.9</v>
      </c>
      <c r="Z100" vm="1880">
        <f ca="1"/>
        <v>555.4</v>
      </c>
      <c r="AA100" vm="1881">
        <f ca="1"/>
        <v>556.9</v>
      </c>
      <c r="AB100" vm="1882">
        <f ca="1"/>
        <v>557.20000000000005</v>
      </c>
      <c r="AC100" vm="1883">
        <f ca="1"/>
        <v>552.25</v>
      </c>
      <c r="AD100" vm="1884">
        <f ca="1"/>
        <v>547.5</v>
      </c>
      <c r="AE100" vm="1885">
        <f ca="1"/>
        <v>556.5</v>
      </c>
      <c r="AF100" vm="1886">
        <f ca="1"/>
        <v>552.1</v>
      </c>
      <c r="AG100" vm="1887">
        <f ca="1"/>
        <v>549.95000000000005</v>
      </c>
      <c r="AH100" vm="1888">
        <f ca="1"/>
        <v>553.6</v>
      </c>
      <c r="AI100" vm="1889">
        <f ca="1"/>
        <v>560.45000000000005</v>
      </c>
      <c r="AJ100" vm="1890">
        <f ca="1"/>
        <v>562.35</v>
      </c>
      <c r="AK100" vm="1891">
        <f ca="1"/>
        <v>569.04999999999995</v>
      </c>
      <c r="AL100" vm="1892">
        <f ca="1"/>
        <v>570.9</v>
      </c>
      <c r="AM100" vm="1893">
        <f ca="1"/>
        <v>569.15</v>
      </c>
      <c r="AN100" vm="1894">
        <f ca="1"/>
        <v>572.1</v>
      </c>
      <c r="AO100" vm="1895">
        <f ca="1"/>
        <v>567.1</v>
      </c>
      <c r="AP100" vm="1896">
        <f ca="1"/>
        <v>562.65</v>
      </c>
      <c r="AQ100" vm="1897">
        <f ca="1"/>
        <v>563.35</v>
      </c>
      <c r="AR100" vm="1898">
        <f ca="1"/>
        <v>569.54999999999995</v>
      </c>
      <c r="AS100" vm="1899">
        <f ca="1"/>
        <v>570.6</v>
      </c>
      <c r="AT100" vm="1900">
        <f ca="1"/>
        <v>574.1</v>
      </c>
      <c r="AU100" vm="1901">
        <f ca="1"/>
        <v>572.95000000000005</v>
      </c>
      <c r="AV100" vm="1902">
        <f ca="1"/>
        <v>582.25</v>
      </c>
      <c r="AW100" vm="1903">
        <f ca="1"/>
        <v>579.65</v>
      </c>
      <c r="AX100" vm="1904">
        <f ca="1"/>
        <v>592.45000000000005</v>
      </c>
      <c r="AY100" vm="1905">
        <f ca="1"/>
        <v>591.95000000000005</v>
      </c>
      <c r="AZ100" vm="1906">
        <f ca="1"/>
        <v>572.20000000000005</v>
      </c>
      <c r="BA100" vm="1907">
        <f ca="1"/>
        <v>572.70000000000005</v>
      </c>
      <c r="BB100" vm="1908">
        <f ca="1"/>
        <v>581.65</v>
      </c>
      <c r="BC100" vm="1909">
        <f ca="1"/>
        <v>583.4</v>
      </c>
      <c r="BD100" vm="1910">
        <f ca="1"/>
        <v>577.70000000000005</v>
      </c>
      <c r="BE100" vm="1911">
        <f ca="1"/>
        <v>586.5</v>
      </c>
      <c r="BF100" vm="1902">
        <f ca="1"/>
        <v>582.25</v>
      </c>
      <c r="BG100" vm="1912">
        <f ca="1"/>
        <v>577</v>
      </c>
      <c r="BH100" vm="1913">
        <f ca="1"/>
        <v>574.54999999999995</v>
      </c>
      <c r="BI100" vm="1914">
        <f ca="1"/>
        <v>578.5</v>
      </c>
      <c r="BJ100" vm="1915">
        <f ca="1"/>
        <v>565.20000000000005</v>
      </c>
      <c r="BK100" vm="1916">
        <f ca="1"/>
        <v>565.29999999999995</v>
      </c>
      <c r="BL100" vm="1917">
        <f ca="1"/>
        <v>568.35</v>
      </c>
      <c r="BM100" vm="1918">
        <f ca="1"/>
        <v>575</v>
      </c>
      <c r="BN100" vm="1919">
        <f ca="1"/>
        <v>573.79999999999995</v>
      </c>
      <c r="BO100" vm="1920">
        <f ca="1"/>
        <v>581.70000000000005</v>
      </c>
      <c r="BP100" vm="1921">
        <f ca="1"/>
        <v>575.6</v>
      </c>
      <c r="BQ100" vm="1922">
        <f ca="1"/>
        <v>568.75</v>
      </c>
      <c r="BR100" vm="1923">
        <f ca="1"/>
        <v>565.65</v>
      </c>
      <c r="BS100" vm="1924">
        <f ca="1"/>
        <v>555.04999999999995</v>
      </c>
      <c r="BT100" vm="1925">
        <f ca="1"/>
        <v>569.70000000000005</v>
      </c>
      <c r="BU100" vm="1916">
        <f ca="1"/>
        <v>565.29999999999995</v>
      </c>
      <c r="BV100" vm="1926">
        <f ca="1"/>
        <v>562.4</v>
      </c>
      <c r="BW100" vm="1927">
        <f ca="1"/>
        <v>572.15</v>
      </c>
      <c r="BX100" vm="1928">
        <f ca="1"/>
        <v>571.54999999999995</v>
      </c>
      <c r="BY100" vm="1929">
        <f ca="1"/>
        <v>563.15</v>
      </c>
      <c r="BZ100" vm="1930">
        <f ca="1"/>
        <v>564.85</v>
      </c>
      <c r="CA100" vm="1931">
        <f ca="1"/>
        <v>565.35</v>
      </c>
      <c r="CB100" vm="1932">
        <f ca="1"/>
        <v>561.20000000000005</v>
      </c>
      <c r="CC100" vm="1933">
        <f ca="1"/>
        <v>565.5</v>
      </c>
      <c r="CD100" vm="1934">
        <f ca="1"/>
        <v>567.75</v>
      </c>
      <c r="CE100" vm="1935">
        <f ca="1"/>
        <v>574.75</v>
      </c>
      <c r="CF100" vm="1936">
        <f ca="1"/>
        <v>567.29999999999995</v>
      </c>
      <c r="CG100" vm="1937">
        <f ca="1"/>
        <v>564.9</v>
      </c>
      <c r="CH100" vm="1938">
        <f ca="1"/>
        <v>558.04999999999995</v>
      </c>
      <c r="CI100" vm="1939">
        <f ca="1"/>
        <v>554.15</v>
      </c>
      <c r="CJ100" vm="1940">
        <f ca="1"/>
        <v>550.15</v>
      </c>
      <c r="CK100" vm="1941">
        <f ca="1"/>
        <v>554.9</v>
      </c>
      <c r="CL100" vm="1942">
        <f ca="1"/>
        <v>553.1</v>
      </c>
      <c r="CM100" vm="1943">
        <f ca="1"/>
        <v>553.35</v>
      </c>
      <c r="CN100" vm="1944">
        <f ca="1"/>
        <v>557.9</v>
      </c>
      <c r="CO100" vm="1945">
        <f ca="1"/>
        <v>559.85</v>
      </c>
      <c r="CP100" vm="1946">
        <f ca="1"/>
        <v>561.54999999999995</v>
      </c>
      <c r="CQ100" vm="1947">
        <f ca="1"/>
        <v>566</v>
      </c>
      <c r="CR100" vm="1895">
        <f ca="1"/>
        <v>567.1</v>
      </c>
      <c r="CS100" vm="1925">
        <f ca="1"/>
        <v>569.70000000000005</v>
      </c>
      <c r="CT100" vm="1948">
        <f ca="1"/>
        <v>565.70000000000005</v>
      </c>
      <c r="CU100" vm="1933">
        <f ca="1"/>
        <v>565.5</v>
      </c>
      <c r="CV100" vm="1949">
        <f ca="1"/>
        <v>567.45000000000005</v>
      </c>
      <c r="CW100" vm="1933">
        <f ca="1"/>
        <v>565.5</v>
      </c>
      <c r="CX100" vm="1923">
        <f ca="1"/>
        <v>565.65</v>
      </c>
      <c r="CY100" vm="1950">
        <f ca="1"/>
        <v>561.15</v>
      </c>
      <c r="CZ100" vm="1951">
        <f ca="1"/>
        <v>560.15</v>
      </c>
      <c r="DA100" vm="1952">
        <f ca="1"/>
        <v>561.29999999999995</v>
      </c>
      <c r="DB100" vm="1953">
        <f ca="1"/>
        <v>554.29999999999995</v>
      </c>
      <c r="DC100" vm="1954">
        <f ca="1"/>
        <v>555.45000000000005</v>
      </c>
      <c r="DD100" vm="1955">
        <f ca="1"/>
        <v>561</v>
      </c>
      <c r="DE100" vm="1956">
        <f ca="1"/>
        <v>547.25</v>
      </c>
      <c r="DF100" vm="1957">
        <f ca="1"/>
        <v>551.6</v>
      </c>
      <c r="DG100" vm="1888">
        <f ca="1"/>
        <v>553.6</v>
      </c>
      <c r="DH100" vm="1958">
        <f ca="1"/>
        <v>555.35</v>
      </c>
      <c r="DI100" vm="1959">
        <f ca="1"/>
        <v>550.75</v>
      </c>
      <c r="DJ100" vm="1960">
        <f ca="1"/>
        <v>547.15</v>
      </c>
      <c r="DK100" vm="1961">
        <f ca="1"/>
        <v>541.75</v>
      </c>
      <c r="DL100" vm="1962">
        <f ca="1"/>
        <v>543.85</v>
      </c>
      <c r="DM100" vm="1963">
        <f ca="1"/>
        <v>543.75</v>
      </c>
      <c r="DN100" vm="1964">
        <f ca="1"/>
        <v>541</v>
      </c>
      <c r="DO100" vm="1965">
        <f ca="1"/>
        <v>538.85</v>
      </c>
      <c r="DP100" vm="1966">
        <f ca="1"/>
        <v>536.95000000000005</v>
      </c>
      <c r="DQ100" vm="1967">
        <f ca="1"/>
        <v>540.25</v>
      </c>
      <c r="DR100" vm="1968">
        <f ca="1"/>
        <v>534</v>
      </c>
      <c r="DS100" vm="1969">
        <f ca="1"/>
        <v>525.65</v>
      </c>
      <c r="DT100" vm="1970">
        <f ca="1"/>
        <v>524.79999999999995</v>
      </c>
      <c r="DU100" vm="1971">
        <f ca="1"/>
        <v>521.35</v>
      </c>
      <c r="DV100" vm="1864">
        <f ca="1"/>
        <v>517.9</v>
      </c>
      <c r="DW100" vm="1972">
        <f ca="1"/>
        <v>508.45</v>
      </c>
      <c r="DX100" vm="1973">
        <f ca="1"/>
        <v>524.54999999999995</v>
      </c>
      <c r="DY100" vm="1871">
        <f ca="1"/>
        <v>523.45000000000005</v>
      </c>
      <c r="DZ100" vm="1974">
        <f ca="1"/>
        <v>528.9</v>
      </c>
      <c r="EA100" vm="1975">
        <f ca="1"/>
        <v>517.1</v>
      </c>
      <c r="EB100" vm="1861">
        <f ca="1"/>
        <v>530.4</v>
      </c>
      <c r="EC100" vm="1976">
        <f ca="1"/>
        <v>535.5</v>
      </c>
      <c r="ED100" vm="1860">
        <f ca="1"/>
        <v>537.95000000000005</v>
      </c>
      <c r="EE100" vm="1977">
        <f ca="1"/>
        <v>536.1</v>
      </c>
      <c r="EF100" vm="1978">
        <f ca="1"/>
        <v>539.25</v>
      </c>
      <c r="EG100" vm="1979">
        <f ca="1"/>
        <v>534.85</v>
      </c>
      <c r="EH100" vm="1980">
        <f ca="1"/>
        <v>533.35</v>
      </c>
      <c r="EI100" vm="1981">
        <f ca="1"/>
        <v>535.6</v>
      </c>
      <c r="EJ100" vm="1982">
        <f ca="1"/>
        <v>530.1</v>
      </c>
      <c r="EK100" vm="1983">
        <f ca="1"/>
        <v>526</v>
      </c>
      <c r="EL100" vm="1984">
        <f ca="1"/>
        <v>534.9</v>
      </c>
      <c r="EM100" vm="1985">
        <f ca="1"/>
        <v>540.70000000000005</v>
      </c>
      <c r="EN100" vm="1986">
        <f ca="1"/>
        <v>543.20000000000005</v>
      </c>
      <c r="EO100" vm="1987">
        <f ca="1"/>
        <v>540.85</v>
      </c>
      <c r="EP100" vm="1964">
        <f ca="1"/>
        <v>541</v>
      </c>
      <c r="EQ100" vm="1988">
        <f ca="1"/>
        <v>540.35</v>
      </c>
      <c r="ER100" vm="1989">
        <f ca="1"/>
        <v>537.35</v>
      </c>
      <c r="ES100" vm="1990">
        <f ca="1"/>
        <v>533.79999999999995</v>
      </c>
      <c r="ET100" vm="1991">
        <f ca="1"/>
        <v>534.6</v>
      </c>
      <c r="EU100" vm="1992">
        <f ca="1"/>
        <v>538.04999999999995</v>
      </c>
      <c r="EV100" vm="1993">
        <f ca="1"/>
        <v>541.15</v>
      </c>
      <c r="EW100" vm="1994">
        <f ca="1"/>
        <v>547</v>
      </c>
      <c r="EX100" vm="1995">
        <f ca="1"/>
        <v>552</v>
      </c>
      <c r="EY100" vm="1996">
        <f ca="1"/>
        <v>550.04999999999995</v>
      </c>
      <c r="EZ100" vm="1997">
        <f ca="1"/>
        <v>545.79999999999995</v>
      </c>
      <c r="FA100" vm="1884">
        <f ca="1"/>
        <v>547.5</v>
      </c>
      <c r="FB100" vm="1998">
        <f ca="1"/>
        <v>550.5</v>
      </c>
      <c r="FC100" vm="1999">
        <f ca="1"/>
        <v>549</v>
      </c>
      <c r="FD100" vm="2000">
        <f ca="1"/>
        <v>547.54999999999995</v>
      </c>
      <c r="FE100" vm="2001">
        <f ca="1"/>
        <v>547.45000000000005</v>
      </c>
      <c r="FF100" vm="2002">
        <f ca="1"/>
        <v>539.70000000000005</v>
      </c>
      <c r="FG100" vm="2003">
        <f ca="1"/>
        <v>540.5</v>
      </c>
      <c r="FH100" vm="2004">
        <f ca="1"/>
        <v>548.20000000000005</v>
      </c>
      <c r="FI100" vm="2005">
        <f ca="1"/>
        <v>534.95000000000005</v>
      </c>
      <c r="FJ100" vm="2006">
        <f ca="1"/>
        <v>530.25</v>
      </c>
      <c r="FK100" vm="2007">
        <f ca="1"/>
        <v>529.29999999999995</v>
      </c>
      <c r="FL100" vm="2008">
        <f ca="1"/>
        <v>530.6</v>
      </c>
      <c r="FM100" vm="2009">
        <f ca="1"/>
        <v>534.35</v>
      </c>
      <c r="FN100" vm="2010">
        <f ca="1"/>
        <v>543.1</v>
      </c>
      <c r="FO100" vm="1882">
        <f ca="1"/>
        <v>557.20000000000005</v>
      </c>
      <c r="FP100" vm="2011">
        <f ca="1"/>
        <v>557.45000000000005</v>
      </c>
      <c r="FQ100" vm="2012">
        <f ca="1"/>
        <v>556.85</v>
      </c>
      <c r="FR100" vm="2013">
        <f ca="1"/>
        <v>551.1</v>
      </c>
      <c r="FS100" vm="2014">
        <f ca="1"/>
        <v>566.25</v>
      </c>
      <c r="FT100" vm="1891">
        <f ca="1"/>
        <v>569.04999999999995</v>
      </c>
      <c r="FU100" vm="2015">
        <f ca="1"/>
        <v>553.25</v>
      </c>
      <c r="FV100" vm="2016">
        <f ca="1"/>
        <v>547.85</v>
      </c>
      <c r="FW100" vm="2017">
        <f ca="1"/>
        <v>547.35</v>
      </c>
      <c r="FX100" vm="1995">
        <f ca="1"/>
        <v>552</v>
      </c>
      <c r="FY100" vm="2018">
        <f ca="1"/>
        <v>549.70000000000005</v>
      </c>
      <c r="FZ100" vm="1939">
        <f ca="1"/>
        <v>554.15</v>
      </c>
      <c r="GA100" vm="2019">
        <f ca="1"/>
        <v>558.79999999999995</v>
      </c>
      <c r="GB100" vm="2020">
        <f ca="1"/>
        <v>549.45000000000005</v>
      </c>
      <c r="GC100" vm="2021">
        <f ca="1"/>
        <v>539.45000000000005</v>
      </c>
      <c r="GD100" vm="2022">
        <f ca="1"/>
        <v>542.29999999999995</v>
      </c>
      <c r="GE100" vm="2023">
        <f ca="1"/>
        <v>538.4</v>
      </c>
      <c r="GF100" vm="1970">
        <f ca="1"/>
        <v>524.79999999999995</v>
      </c>
      <c r="GG100" vm="2024">
        <f ca="1"/>
        <v>536.6</v>
      </c>
      <c r="GH100" vm="2025">
        <f ca="1"/>
        <v>531.6</v>
      </c>
      <c r="GI100" vm="2026">
        <f ca="1"/>
        <v>534.25</v>
      </c>
      <c r="GJ100" vm="2027">
        <f ca="1"/>
        <v>535.95000000000005</v>
      </c>
      <c r="GK100" vm="2028">
        <f ca="1"/>
        <v>539.6</v>
      </c>
      <c r="GL100" vm="2029">
        <f ca="1"/>
        <v>554.4</v>
      </c>
      <c r="GM100" vm="2030">
        <f ca="1"/>
        <v>544.65</v>
      </c>
      <c r="GN100" vm="2031">
        <f ca="1"/>
        <v>533.65</v>
      </c>
      <c r="GO100" vm="2032">
        <f ca="1"/>
        <v>532.70000000000005</v>
      </c>
      <c r="GP100" vm="2033">
        <f ca="1"/>
        <v>537.4</v>
      </c>
      <c r="GQ100" vm="2034">
        <f ca="1"/>
        <v>533.95000000000005</v>
      </c>
      <c r="GR100" vm="2035">
        <f ca="1"/>
        <v>539.20000000000005</v>
      </c>
      <c r="GS100" vm="2036">
        <f ca="1"/>
        <v>536.54999999999995</v>
      </c>
      <c r="GT100" vm="2037">
        <f ca="1"/>
        <v>538.75</v>
      </c>
      <c r="GU100" vm="2038">
        <f ca="1"/>
        <v>544.29999999999995</v>
      </c>
      <c r="GV100" vm="2039">
        <f ca="1"/>
        <v>544.20000000000005</v>
      </c>
      <c r="GW100" vm="2040">
        <f ca="1"/>
        <v>544.5</v>
      </c>
      <c r="GX100" vm="2041">
        <f ca="1"/>
        <v>547.65</v>
      </c>
      <c r="GY100" vm="2000">
        <f ca="1"/>
        <v>547.54999999999995</v>
      </c>
      <c r="GZ100" vm="2042">
        <f ca="1"/>
        <v>546.29999999999995</v>
      </c>
      <c r="HA100" vm="2043">
        <f ca="1"/>
        <v>541.6</v>
      </c>
      <c r="HB100" vm="2044">
        <f ca="1"/>
        <v>535.29999999999995</v>
      </c>
      <c r="HC100" vm="2045">
        <f ca="1"/>
        <v>529.25</v>
      </c>
      <c r="HD100" vm="1981">
        <f ca="1"/>
        <v>535.6</v>
      </c>
      <c r="HE100" vm="2046">
        <f ca="1"/>
        <v>536.25</v>
      </c>
      <c r="HF100" vm="2047">
        <f ca="1"/>
        <v>538.15</v>
      </c>
      <c r="HG100" vm="2048">
        <f ca="1"/>
        <v>541.1</v>
      </c>
      <c r="HH100" vm="2049">
        <f ca="1"/>
        <v>538.6</v>
      </c>
      <c r="HI100" vm="2050">
        <f ca="1"/>
        <v>537.29999999999995</v>
      </c>
      <c r="HJ100" vm="2051">
        <f ca="1"/>
        <v>534.75</v>
      </c>
      <c r="HK100" vm="2052">
        <f ca="1"/>
        <v>531.5</v>
      </c>
      <c r="HL100" vm="2053">
        <f ca="1"/>
        <v>535.25</v>
      </c>
      <c r="HM100" vm="2054">
        <f ca="1"/>
        <v>533.4</v>
      </c>
      <c r="HN100" vm="2055">
        <f ca="1"/>
        <v>529</v>
      </c>
      <c r="HO100" vm="2056">
        <f ca="1"/>
        <v>519.95000000000005</v>
      </c>
      <c r="HP100" vm="2057">
        <f ca="1"/>
        <v>529.65</v>
      </c>
      <c r="HQ100" vm="2058">
        <f ca="1"/>
        <v>526.54999999999995</v>
      </c>
      <c r="HR100" vm="2059">
        <f ca="1"/>
        <v>523.6</v>
      </c>
      <c r="HS100" vm="1867">
        <f ca="1"/>
        <v>518.35</v>
      </c>
      <c r="HT100" vm="1866">
        <f ca="1"/>
        <v>520.20000000000005</v>
      </c>
      <c r="HU100" vm="1870">
        <f ca="1"/>
        <v>523.95000000000005</v>
      </c>
      <c r="HV100" vm="2060">
        <f ca="1"/>
        <v>520.79999999999995</v>
      </c>
      <c r="HW100" vm="2061">
        <f ca="1"/>
        <v>521.1</v>
      </c>
      <c r="HX100" vm="2062">
        <f ca="1"/>
        <v>521.65</v>
      </c>
      <c r="HY100" vm="2063">
        <f ca="1"/>
        <v>523.15</v>
      </c>
      <c r="HZ100" vm="2064">
        <f ca="1"/>
        <v>529.15</v>
      </c>
      <c r="IA100" vm="2025">
        <f ca="1"/>
        <v>531.6</v>
      </c>
      <c r="IB100" vm="2065">
        <f ca="1"/>
        <v>531</v>
      </c>
      <c r="IC100" vm="2066">
        <f ca="1"/>
        <v>506.05</v>
      </c>
      <c r="ID100" vm="2067">
        <f ca="1"/>
        <v>507.9</v>
      </c>
      <c r="IE100" vm="2068">
        <f ca="1"/>
        <v>503.05</v>
      </c>
      <c r="IF100" vm="2069">
        <f ca="1"/>
        <v>503.15</v>
      </c>
      <c r="IG100" vm="2070">
        <f ca="1"/>
        <v>506.25</v>
      </c>
      <c r="IH100" vm="2071">
        <f ca="1"/>
        <v>500.6</v>
      </c>
      <c r="II100" vm="2072">
        <f ca="1"/>
        <v>495.2</v>
      </c>
      <c r="IJ100" vm="2073">
        <f ca="1"/>
        <v>503.9</v>
      </c>
      <c r="IK100" vm="2074">
        <f ca="1"/>
        <v>503.85</v>
      </c>
      <c r="IL100" vm="2075">
        <f ca="1"/>
        <v>504.2</v>
      </c>
      <c r="IM100" vm="2076">
        <f ca="1"/>
        <v>506.15</v>
      </c>
      <c r="IN100" vm="2077">
        <f ca="1"/>
        <v>507.15</v>
      </c>
      <c r="IO100" vm="2078">
        <f ca="1"/>
        <v>509.45</v>
      </c>
      <c r="IP100" vm="2079">
        <f ca="1"/>
        <v>506.45</v>
      </c>
      <c r="IQ100" vm="2080">
        <f ca="1"/>
        <v>509</v>
      </c>
      <c r="IR100" vm="2081">
        <f ca="1"/>
        <v>506.7</v>
      </c>
    </row>
    <row r="101" spans="4:252" x14ac:dyDescent="0.35">
      <c r="D101" t="e" vm="8">
        <v>#VALUE!</v>
      </c>
      <c r="E101" cm="1" vm="2082">
        <f t="array" aca="1" ref="E101:IR101" ca="1">TRANSPOSE((_xlfn.STOCKHISTORY('Portfolio Tracker '!$C15,TODAY()-365,TODAY(),0,0,1)))</f>
        <v>1895.25</v>
      </c>
      <c r="F101" vm="2083">
        <f ca="1"/>
        <v>1952.2</v>
      </c>
      <c r="G101" vm="2084">
        <f ca="1"/>
        <v>1935.8</v>
      </c>
      <c r="H101" vm="2085">
        <f ca="1"/>
        <v>1914.7</v>
      </c>
      <c r="I101" vm="2086">
        <f ca="1"/>
        <v>1936.45</v>
      </c>
      <c r="J101" vm="2087">
        <f ca="1"/>
        <v>1948.55</v>
      </c>
      <c r="K101" vm="2088">
        <f ca="1"/>
        <v>1958.55</v>
      </c>
      <c r="L101" vm="2089">
        <f ca="1"/>
        <v>1926.75</v>
      </c>
      <c r="M101" vm="2090">
        <f ca="1"/>
        <v>1933.5</v>
      </c>
      <c r="N101" vm="2091">
        <f ca="1"/>
        <v>1932.05</v>
      </c>
      <c r="O101" vm="2092">
        <f ca="1"/>
        <v>1929.2</v>
      </c>
      <c r="P101" vm="2093">
        <f ca="1"/>
        <v>1972.9</v>
      </c>
      <c r="Q101" vm="2094">
        <f ca="1"/>
        <v>1966.5</v>
      </c>
      <c r="R101" vm="2095">
        <f ca="1"/>
        <v>1941.1</v>
      </c>
      <c r="S101" vm="2096">
        <f ca="1"/>
        <v>1944.95</v>
      </c>
      <c r="T101" vm="2097">
        <f ca="1"/>
        <v>1950.05</v>
      </c>
      <c r="U101" vm="1149">
        <f ca="1"/>
        <v>2135.1</v>
      </c>
      <c r="V101" vm="2098">
        <f ca="1"/>
        <v>2078.9499999999998</v>
      </c>
      <c r="W101" vm="2099">
        <f ca="1"/>
        <v>2074.5500000000002</v>
      </c>
      <c r="X101" vm="2100">
        <f ca="1"/>
        <v>2082.5</v>
      </c>
      <c r="Y101" vm="2101">
        <f ca="1"/>
        <v>2073</v>
      </c>
      <c r="Z101" vm="2102">
        <f ca="1"/>
        <v>2073.8000000000002</v>
      </c>
      <c r="AA101" vm="2103">
        <f ca="1"/>
        <v>2075.8000000000002</v>
      </c>
      <c r="AB101" vm="2104">
        <f ca="1"/>
        <v>2086.65</v>
      </c>
      <c r="AC101" vm="2105">
        <f ca="1"/>
        <v>2111.75</v>
      </c>
      <c r="AD101" vm="2106">
        <f ca="1"/>
        <v>2130.35</v>
      </c>
      <c r="AE101" vm="2107">
        <f ca="1"/>
        <v>2126.4</v>
      </c>
      <c r="AF101" vm="2108">
        <f ca="1"/>
        <v>2086.1</v>
      </c>
      <c r="AG101" vm="2109">
        <f ca="1"/>
        <v>2019.9</v>
      </c>
      <c r="AH101" vm="2110">
        <f ca="1"/>
        <v>2027.95</v>
      </c>
      <c r="AI101" vm="2111">
        <f ca="1"/>
        <v>2069.25</v>
      </c>
      <c r="AJ101" vm="2112">
        <f ca="1"/>
        <v>2114.6</v>
      </c>
      <c r="AK101" vm="2113">
        <f ca="1"/>
        <v>2136.5500000000002</v>
      </c>
      <c r="AL101" vm="2114">
        <f ca="1"/>
        <v>2163.1</v>
      </c>
      <c r="AM101" vm="2115">
        <f ca="1"/>
        <v>2174.4499999999998</v>
      </c>
      <c r="AN101" vm="2116">
        <f ca="1"/>
        <v>2243.9</v>
      </c>
      <c r="AO101" vm="2117">
        <f ca="1"/>
        <v>2260.25</v>
      </c>
      <c r="AP101" vm="2118">
        <f ca="1"/>
        <v>2268</v>
      </c>
      <c r="AQ101" vm="2119">
        <f ca="1"/>
        <v>2211.6999999999998</v>
      </c>
      <c r="AR101" vm="2120">
        <f ca="1"/>
        <v>2232.65</v>
      </c>
      <c r="AS101" vm="2121">
        <f ca="1"/>
        <v>2199.35</v>
      </c>
      <c r="AT101" vm="2122">
        <f ca="1"/>
        <v>2177.1999999999998</v>
      </c>
      <c r="AU101" vm="2123">
        <f ca="1"/>
        <v>2173.75</v>
      </c>
      <c r="AV101" vm="2124">
        <f ca="1"/>
        <v>2165.0500000000002</v>
      </c>
      <c r="AW101" vm="2125">
        <f ca="1"/>
        <v>2171.15</v>
      </c>
      <c r="AX101" vm="2126">
        <f ca="1"/>
        <v>2131.0500000000002</v>
      </c>
      <c r="AY101" vm="2127">
        <f ca="1"/>
        <v>2135.5</v>
      </c>
      <c r="AZ101" vm="2128">
        <f ca="1"/>
        <v>2062.35</v>
      </c>
      <c r="BA101" vm="2129">
        <f ca="1"/>
        <v>1986.85</v>
      </c>
      <c r="BB101" vm="2130">
        <f ca="1"/>
        <v>1932.5</v>
      </c>
      <c r="BC101" vm="2131">
        <f ca="1"/>
        <v>1936.15</v>
      </c>
      <c r="BD101" vm="2132">
        <f ca="1"/>
        <v>1925.5</v>
      </c>
      <c r="BE101" vm="2133">
        <f ca="1"/>
        <v>1943.8</v>
      </c>
      <c r="BF101" vm="2134">
        <f ca="1"/>
        <v>1987.9</v>
      </c>
      <c r="BG101" vm="2135">
        <f ca="1"/>
        <v>1976.25</v>
      </c>
      <c r="BH101" vm="2136">
        <f ca="1"/>
        <v>1992.35</v>
      </c>
      <c r="BI101" vm="2137">
        <f ca="1"/>
        <v>1991.1</v>
      </c>
      <c r="BJ101" vm="2138">
        <f ca="1"/>
        <v>1979.3</v>
      </c>
      <c r="BK101" vm="2139">
        <f ca="1"/>
        <v>1989.7</v>
      </c>
      <c r="BL101" vm="2140">
        <f ca="1"/>
        <v>2007.85</v>
      </c>
      <c r="BM101" vm="2141">
        <f ca="1"/>
        <v>2005.85</v>
      </c>
      <c r="BN101" vm="2142">
        <f ca="1"/>
        <v>1977.6</v>
      </c>
      <c r="BO101" vm="2143">
        <f ca="1"/>
        <v>2013.15</v>
      </c>
      <c r="BP101" vm="2144">
        <f ca="1"/>
        <v>2010.7</v>
      </c>
      <c r="BQ101" vm="2145">
        <f ca="1"/>
        <v>2045.7</v>
      </c>
      <c r="BR101" vm="2146">
        <f ca="1"/>
        <v>2013.2</v>
      </c>
      <c r="BS101" vm="2147">
        <f ca="1"/>
        <v>2025.95</v>
      </c>
      <c r="BT101" vm="2148">
        <f ca="1"/>
        <v>2041.35</v>
      </c>
      <c r="BU101" vm="2149">
        <f ca="1"/>
        <v>2046.75</v>
      </c>
      <c r="BV101" vm="2150">
        <f ca="1"/>
        <v>2091.9499999999998</v>
      </c>
      <c r="BW101" vm="2151">
        <f ca="1"/>
        <v>2065.4499999999998</v>
      </c>
      <c r="BX101" vm="2152">
        <f ca="1"/>
        <v>2066.0500000000002</v>
      </c>
      <c r="BY101" vm="2153">
        <f ca="1"/>
        <v>2083.65</v>
      </c>
      <c r="BZ101" vm="2154">
        <f ca="1"/>
        <v>2054</v>
      </c>
      <c r="CA101" vm="2155">
        <f ca="1"/>
        <v>2043</v>
      </c>
      <c r="CB101" vm="2156">
        <f ca="1"/>
        <v>1999.25</v>
      </c>
      <c r="CC101" vm="2157">
        <f ca="1"/>
        <v>1994.95</v>
      </c>
      <c r="CD101" vm="2158">
        <f ca="1"/>
        <v>2006.2</v>
      </c>
      <c r="CE101" vm="2159">
        <f ca="1"/>
        <v>1988.05</v>
      </c>
      <c r="CF101" vm="2160">
        <f ca="1"/>
        <v>1993.65</v>
      </c>
      <c r="CG101" vm="2161">
        <f ca="1"/>
        <v>2027.9</v>
      </c>
      <c r="CH101" vm="2162">
        <f ca="1"/>
        <v>2018.5</v>
      </c>
      <c r="CI101" vm="2163">
        <f ca="1"/>
        <v>2038.55</v>
      </c>
      <c r="CJ101" vm="2164">
        <f ca="1"/>
        <v>2170.1999999999998</v>
      </c>
      <c r="CK101" vm="2165">
        <f ca="1"/>
        <v>2218.1</v>
      </c>
      <c r="CL101" vm="2166">
        <f ca="1"/>
        <v>2220</v>
      </c>
      <c r="CM101" vm="2167">
        <f ca="1"/>
        <v>2226.0500000000002</v>
      </c>
      <c r="CN101" vm="2168">
        <f ca="1"/>
        <v>2242.5500000000002</v>
      </c>
      <c r="CO101" vm="2169">
        <f ca="1"/>
        <v>2280.9</v>
      </c>
      <c r="CP101" vm="2170">
        <f ca="1"/>
        <v>2291.9499999999998</v>
      </c>
      <c r="CQ101" vm="2171">
        <f ca="1"/>
        <v>2339.65</v>
      </c>
      <c r="CR101" vm="2172">
        <f ca="1"/>
        <v>2319.25</v>
      </c>
      <c r="CS101" vm="2173">
        <f ca="1"/>
        <v>2342.8000000000002</v>
      </c>
      <c r="CT101" vm="2174">
        <f ca="1"/>
        <v>2247.4</v>
      </c>
      <c r="CU101" vm="2175">
        <f ca="1"/>
        <v>2279.6</v>
      </c>
      <c r="CV101" vm="2176">
        <f ca="1"/>
        <v>2267.5500000000002</v>
      </c>
      <c r="CW101" vm="2177">
        <f ca="1"/>
        <v>2242.25</v>
      </c>
      <c r="CX101" vm="2178">
        <f ca="1"/>
        <v>2248.4</v>
      </c>
      <c r="CY101" vm="2179">
        <f ca="1"/>
        <v>2213.6999999999998</v>
      </c>
      <c r="CZ101" vm="2180">
        <f ca="1"/>
        <v>2180.5500000000002</v>
      </c>
      <c r="DA101" vm="2181">
        <f ca="1"/>
        <v>2128.3000000000002</v>
      </c>
      <c r="DB101" vm="2182">
        <f ca="1"/>
        <v>2138.1</v>
      </c>
      <c r="DC101" vm="2183">
        <f ca="1"/>
        <v>2108.0500000000002</v>
      </c>
      <c r="DD101" vm="2184">
        <f ca="1"/>
        <v>2141.75</v>
      </c>
      <c r="DE101" vm="2185">
        <f ca="1"/>
        <v>2100.4499999999998</v>
      </c>
      <c r="DF101" vm="2186">
        <f ca="1"/>
        <v>2120.4499999999998</v>
      </c>
      <c r="DG101" vm="1615">
        <f ca="1"/>
        <v>2119.5</v>
      </c>
      <c r="DH101" vm="2187">
        <f ca="1"/>
        <v>2090.1999999999998</v>
      </c>
      <c r="DI101" vm="2188">
        <f ca="1"/>
        <v>2103.8000000000002</v>
      </c>
      <c r="DJ101" vm="2189">
        <f ca="1"/>
        <v>2108.5</v>
      </c>
      <c r="DK101" vm="2190">
        <f ca="1"/>
        <v>2068.9499999999998</v>
      </c>
      <c r="DL101" vm="2191">
        <f ca="1"/>
        <v>2065.5</v>
      </c>
      <c r="DM101" vm="2192">
        <f ca="1"/>
        <v>2093.6999999999998</v>
      </c>
      <c r="DN101" vm="2193">
        <f ca="1"/>
        <v>2087.6999999999998</v>
      </c>
      <c r="DO101" vm="2194">
        <f ca="1"/>
        <v>2083.35</v>
      </c>
      <c r="DP101" vm="2195">
        <f ca="1"/>
        <v>2111.1</v>
      </c>
      <c r="DQ101" vm="2196">
        <f ca="1"/>
        <v>2125.4</v>
      </c>
      <c r="DR101" vm="2197">
        <f ca="1"/>
        <v>2105.6</v>
      </c>
      <c r="DS101" vm="2198">
        <f ca="1"/>
        <v>2092.65</v>
      </c>
      <c r="DT101" vm="2199">
        <f ca="1"/>
        <v>2084.6</v>
      </c>
      <c r="DU101" vm="2200">
        <f ca="1"/>
        <v>2019.15</v>
      </c>
      <c r="DV101" vm="2201">
        <f ca="1"/>
        <v>1979.05</v>
      </c>
      <c r="DW101" vm="2202">
        <f ca="1"/>
        <v>1950</v>
      </c>
      <c r="DX101" vm="2203">
        <f ca="1"/>
        <v>1988</v>
      </c>
      <c r="DY101" vm="2204">
        <f ca="1"/>
        <v>1990.95</v>
      </c>
      <c r="DZ101" vm="2205">
        <f ca="1"/>
        <v>1986.75</v>
      </c>
      <c r="EA101" vm="2206">
        <f ca="1"/>
        <v>1960.05</v>
      </c>
      <c r="EB101" vm="1563">
        <f ca="1"/>
        <v>2000.3</v>
      </c>
      <c r="EC101" vm="2207">
        <f ca="1"/>
        <v>2021.7</v>
      </c>
      <c r="ED101" vm="2208">
        <f ca="1"/>
        <v>2138.35</v>
      </c>
      <c r="EE101" vm="2209">
        <f ca="1"/>
        <v>2099.65</v>
      </c>
      <c r="EF101" vm="2210">
        <f ca="1"/>
        <v>2141.3000000000002</v>
      </c>
      <c r="EG101" vm="2211">
        <f ca="1"/>
        <v>2076.4</v>
      </c>
      <c r="EH101" vm="2212">
        <f ca="1"/>
        <v>2112</v>
      </c>
      <c r="EI101" vm="2213">
        <f ca="1"/>
        <v>2116.0500000000002</v>
      </c>
      <c r="EJ101" vm="2214">
        <f ca="1"/>
        <v>2113.35</v>
      </c>
      <c r="EK101" vm="2215">
        <f ca="1"/>
        <v>2119.6</v>
      </c>
      <c r="EL101" vm="2216">
        <f ca="1"/>
        <v>2149.35</v>
      </c>
      <c r="EM101" vm="2217">
        <f ca="1"/>
        <v>2147.9</v>
      </c>
      <c r="EN101" vm="2218">
        <f ca="1"/>
        <v>2117.9499999999998</v>
      </c>
      <c r="EO101" vm="2219">
        <f ca="1"/>
        <v>2125.1</v>
      </c>
      <c r="EP101" vm="2220">
        <f ca="1"/>
        <v>2133.4</v>
      </c>
      <c r="EQ101" vm="2221">
        <f ca="1"/>
        <v>2206.1999999999998</v>
      </c>
      <c r="ER101" vm="2222">
        <f ca="1"/>
        <v>2195.1999999999998</v>
      </c>
      <c r="ES101" vm="2223">
        <f ca="1"/>
        <v>2177.85</v>
      </c>
      <c r="ET101" vm="2224">
        <f ca="1"/>
        <v>2204.25</v>
      </c>
      <c r="EU101" vm="2225">
        <f ca="1"/>
        <v>2196.1</v>
      </c>
      <c r="EV101" vm="2226">
        <f ca="1"/>
        <v>2214.1999999999998</v>
      </c>
      <c r="EW101" vm="2227">
        <f ca="1"/>
        <v>2210.35</v>
      </c>
      <c r="EX101" vm="2228">
        <f ca="1"/>
        <v>2235.5</v>
      </c>
      <c r="EY101" vm="2229">
        <f ca="1"/>
        <v>2253.15</v>
      </c>
      <c r="EZ101" vm="2230">
        <f ca="1"/>
        <v>2259.85</v>
      </c>
      <c r="FA101" vm="2231">
        <f ca="1"/>
        <v>2215.25</v>
      </c>
      <c r="FB101" vm="2232">
        <f ca="1"/>
        <v>2223.15</v>
      </c>
      <c r="FC101" vm="2233">
        <f ca="1"/>
        <v>2227.15</v>
      </c>
      <c r="FD101" vm="2234">
        <f ca="1"/>
        <v>2245.6999999999998</v>
      </c>
      <c r="FE101" vm="2235">
        <f ca="1"/>
        <v>2269.75</v>
      </c>
      <c r="FF101" vm="2236">
        <f ca="1"/>
        <v>2306.35</v>
      </c>
      <c r="FG101" vm="2237">
        <f ca="1"/>
        <v>2311.9</v>
      </c>
      <c r="FH101" vm="2238">
        <f ca="1"/>
        <v>2288.15</v>
      </c>
      <c r="FI101" vm="2239">
        <f ca="1"/>
        <v>2217.5</v>
      </c>
      <c r="FJ101" vm="2240">
        <f ca="1"/>
        <v>2284.6999999999998</v>
      </c>
      <c r="FK101" vm="2241">
        <f ca="1"/>
        <v>2379.4499999999998</v>
      </c>
      <c r="FL101" vm="2242">
        <f ca="1"/>
        <v>2472.4</v>
      </c>
      <c r="FM101" vm="2243">
        <f ca="1"/>
        <v>2464.85</v>
      </c>
      <c r="FN101" vm="2244">
        <f ca="1"/>
        <v>2432.9499999999998</v>
      </c>
      <c r="FO101" vm="2245">
        <f ca="1"/>
        <v>2481.1999999999998</v>
      </c>
      <c r="FP101" vm="2246">
        <f ca="1"/>
        <v>2473.9</v>
      </c>
      <c r="FQ101" vm="2247">
        <f ca="1"/>
        <v>2479.1999999999998</v>
      </c>
      <c r="FR101" vm="2248">
        <f ca="1"/>
        <v>2480.0500000000002</v>
      </c>
      <c r="FS101" vm="2249">
        <f ca="1"/>
        <v>2487</v>
      </c>
      <c r="FT101" vm="2250">
        <f ca="1"/>
        <v>2447.9499999999998</v>
      </c>
      <c r="FU101" vm="2251">
        <f ca="1"/>
        <v>2431.0500000000002</v>
      </c>
      <c r="FV101" vm="2252">
        <f ca="1"/>
        <v>2439.4499999999998</v>
      </c>
      <c r="FW101" vm="2253">
        <f ca="1"/>
        <v>2429.5</v>
      </c>
      <c r="FX101" vm="2254">
        <f ca="1"/>
        <v>2470.6</v>
      </c>
      <c r="FY101" vm="2255">
        <f ca="1"/>
        <v>2433.5</v>
      </c>
      <c r="FZ101" vm="2256">
        <f ca="1"/>
        <v>2428.1</v>
      </c>
      <c r="GA101" vm="2257">
        <f ca="1"/>
        <v>2403.1999999999998</v>
      </c>
      <c r="GB101" vm="2258">
        <f ca="1"/>
        <v>2325.35</v>
      </c>
      <c r="GC101" vm="2259">
        <f ca="1"/>
        <v>2293.0500000000002</v>
      </c>
      <c r="GD101" vm="2260">
        <f ca="1"/>
        <v>2356.6999999999998</v>
      </c>
      <c r="GE101" vm="2261">
        <f ca="1"/>
        <v>2318.3000000000002</v>
      </c>
      <c r="GF101" vm="2262">
        <f ca="1"/>
        <v>2246.5500000000002</v>
      </c>
      <c r="GG101" vm="2263">
        <f ca="1"/>
        <v>2284.15</v>
      </c>
      <c r="GH101" vm="2264">
        <f ca="1"/>
        <v>2236.4</v>
      </c>
      <c r="GI101" vm="2265">
        <f ca="1"/>
        <v>2240.1</v>
      </c>
      <c r="GJ101" vm="2266">
        <f ca="1"/>
        <v>2218.5</v>
      </c>
      <c r="GK101" vm="2267">
        <f ca="1"/>
        <v>2305.9</v>
      </c>
      <c r="GL101" vm="2268">
        <f ca="1"/>
        <v>2250.5</v>
      </c>
      <c r="GM101" vm="2269">
        <f ca="1"/>
        <v>2250.15</v>
      </c>
      <c r="GN101" vm="2270">
        <f ca="1"/>
        <v>2212.0500000000002</v>
      </c>
      <c r="GO101" vm="2178">
        <f ca="1"/>
        <v>2248.4</v>
      </c>
      <c r="GP101" vm="2271">
        <f ca="1"/>
        <v>2230.1999999999998</v>
      </c>
      <c r="GQ101" vm="2272">
        <f ca="1"/>
        <v>2203.15</v>
      </c>
      <c r="GR101" vm="2273">
        <f ca="1"/>
        <v>2215.15</v>
      </c>
      <c r="GS101" vm="2274">
        <f ca="1"/>
        <v>2197.9</v>
      </c>
      <c r="GT101" vm="2275">
        <f ca="1"/>
        <v>2230.75</v>
      </c>
      <c r="GU101" vm="2276">
        <f ca="1"/>
        <v>2256.75</v>
      </c>
      <c r="GV101" vm="2277">
        <f ca="1"/>
        <v>2282.6999999999998</v>
      </c>
      <c r="GW101" vm="2278">
        <f ca="1"/>
        <v>2312.1999999999998</v>
      </c>
      <c r="GX101" vm="2279">
        <f ca="1"/>
        <v>2281.6</v>
      </c>
      <c r="GY101" vm="2280">
        <f ca="1"/>
        <v>2356.6</v>
      </c>
      <c r="GZ101" vm="2281">
        <f ca="1"/>
        <v>2326.75</v>
      </c>
      <c r="HA101" vm="2282">
        <f ca="1"/>
        <v>2341.6</v>
      </c>
      <c r="HB101" vm="2283">
        <f ca="1"/>
        <v>2305.5500000000002</v>
      </c>
      <c r="HC101" vm="2284">
        <f ca="1"/>
        <v>2283.65</v>
      </c>
      <c r="HD101" vm="2285">
        <f ca="1"/>
        <v>2263.1</v>
      </c>
      <c r="HE101" vm="2286">
        <f ca="1"/>
        <v>2190.5500000000002</v>
      </c>
      <c r="HF101" vm="2287">
        <f ca="1"/>
        <v>2212.85</v>
      </c>
      <c r="HG101" vm="2288">
        <f ca="1"/>
        <v>2221.25</v>
      </c>
      <c r="HH101" vm="2289">
        <f ca="1"/>
        <v>2218.35</v>
      </c>
      <c r="HI101" vm="2290">
        <f ca="1"/>
        <v>2187.5</v>
      </c>
      <c r="HJ101" vm="2291">
        <f ca="1"/>
        <v>2201.4</v>
      </c>
      <c r="HK101" vm="2292">
        <f ca="1"/>
        <v>2189.5500000000002</v>
      </c>
      <c r="HL101" vm="2293">
        <f ca="1"/>
        <v>2206.0500000000002</v>
      </c>
      <c r="HM101" vm="2294">
        <f ca="1"/>
        <v>2165.4499999999998</v>
      </c>
      <c r="HN101" vm="2295">
        <f ca="1"/>
        <v>2129.35</v>
      </c>
      <c r="HO101" vm="2296">
        <f ca="1"/>
        <v>2065.1999999999998</v>
      </c>
      <c r="HP101" vm="2297">
        <f ca="1"/>
        <v>2099.6</v>
      </c>
      <c r="HQ101" vm="2298">
        <f ca="1"/>
        <v>2098.65</v>
      </c>
      <c r="HR101" vm="2299">
        <f ca="1"/>
        <v>2109.25</v>
      </c>
      <c r="HS101" vm="2300">
        <f ca="1"/>
        <v>2115.6999999999998</v>
      </c>
      <c r="HT101" vm="2301">
        <f ca="1"/>
        <v>2100.0500000000002</v>
      </c>
      <c r="HU101" vm="2302">
        <f ca="1"/>
        <v>2149.85</v>
      </c>
      <c r="HV101" vm="2303">
        <f ca="1"/>
        <v>2161.15</v>
      </c>
      <c r="HW101" vm="2304">
        <f ca="1"/>
        <v>2139.0500000000002</v>
      </c>
      <c r="HX101" vm="2305">
        <f ca="1"/>
        <v>2156.5500000000002</v>
      </c>
      <c r="HY101" vm="2306">
        <f ca="1"/>
        <v>2125.5</v>
      </c>
      <c r="HZ101" vm="2307">
        <f ca="1"/>
        <v>2142.3000000000002</v>
      </c>
      <c r="IA101" vm="2308">
        <f ca="1"/>
        <v>2202.9499999999998</v>
      </c>
      <c r="IB101" vm="2309">
        <f ca="1"/>
        <v>2183.6</v>
      </c>
      <c r="IC101" vm="2310">
        <f ca="1"/>
        <v>2214.4499999999998</v>
      </c>
      <c r="ID101" vm="2311">
        <f ca="1"/>
        <v>2219.9</v>
      </c>
      <c r="IE101" vm="2312">
        <f ca="1"/>
        <v>2206.8000000000002</v>
      </c>
      <c r="IF101" vm="2313">
        <f ca="1"/>
        <v>2192</v>
      </c>
      <c r="IG101" vm="2314">
        <f ca="1"/>
        <v>2297.1</v>
      </c>
      <c r="IH101" vm="2315">
        <f ca="1"/>
        <v>2316.6999999999998</v>
      </c>
      <c r="II101" vm="2316">
        <f ca="1"/>
        <v>2298.9</v>
      </c>
      <c r="IJ101" vm="2317">
        <f ca="1"/>
        <v>2321.9</v>
      </c>
      <c r="IK101" vm="2318">
        <f ca="1"/>
        <v>2305.25</v>
      </c>
      <c r="IL101" vm="2319">
        <f ca="1"/>
        <v>2271.85</v>
      </c>
      <c r="IM101" vm="2320">
        <f ca="1"/>
        <v>2301.85</v>
      </c>
      <c r="IN101" vm="2321">
        <f ca="1"/>
        <v>2371.1999999999998</v>
      </c>
      <c r="IO101" vm="2322">
        <f ca="1"/>
        <v>2399.3000000000002</v>
      </c>
      <c r="IP101" vm="2323">
        <f ca="1"/>
        <v>2422.8000000000002</v>
      </c>
      <c r="IQ101" vm="2324">
        <f ca="1"/>
        <v>2477.0500000000002</v>
      </c>
      <c r="IR101" vm="2325">
        <f ca="1"/>
        <v>2443.85</v>
      </c>
    </row>
    <row r="102" spans="4:252" x14ac:dyDescent="0.35">
      <c r="D102" t="e" vm="9">
        <v>#VALUE!</v>
      </c>
      <c r="E102" cm="1" vm="2326">
        <f t="array" aca="1" ref="E102:IR102" ca="1">TRANSPOSE((_xlfn.STOCKHISTORY('Portfolio Tracker '!$C16,TODAY()-365,TODAY(),0,0,1)))</f>
        <v>2909.1</v>
      </c>
      <c r="F102" vm="2327">
        <f ca="1"/>
        <v>2908.25</v>
      </c>
      <c r="G102" vm="2328">
        <f ca="1"/>
        <v>2898</v>
      </c>
      <c r="H102" vm="2329">
        <f ca="1"/>
        <v>2890.55</v>
      </c>
      <c r="I102" vm="2330">
        <f ca="1"/>
        <v>2903.1</v>
      </c>
      <c r="J102" vm="2331">
        <f ca="1"/>
        <v>2898.95</v>
      </c>
      <c r="K102" vm="1102">
        <f ca="1"/>
        <v>2892.25</v>
      </c>
      <c r="L102" vm="2332">
        <f ca="1"/>
        <v>2911.7</v>
      </c>
      <c r="M102" vm="1103">
        <f ca="1"/>
        <v>2867.55</v>
      </c>
      <c r="N102" vm="2333">
        <f ca="1"/>
        <v>2937.85</v>
      </c>
      <c r="O102" vm="2334">
        <f ca="1"/>
        <v>2912.55</v>
      </c>
      <c r="P102" vm="2335">
        <f ca="1"/>
        <v>2961.1</v>
      </c>
      <c r="Q102" vm="2336">
        <f ca="1"/>
        <v>2983.7</v>
      </c>
      <c r="R102" vm="2337">
        <f ca="1"/>
        <v>3035.35</v>
      </c>
      <c r="S102" vm="2338">
        <f ca="1"/>
        <v>3231.55</v>
      </c>
      <c r="T102" vm="2339">
        <f ca="1"/>
        <v>3275.65</v>
      </c>
      <c r="U102" vm="2340">
        <f ca="1"/>
        <v>3514.3</v>
      </c>
      <c r="V102" vm="2341">
        <f ca="1"/>
        <v>3597.85</v>
      </c>
      <c r="W102" vm="2342">
        <f ca="1"/>
        <v>3661.2</v>
      </c>
      <c r="X102" vm="2343">
        <f ca="1"/>
        <v>3717</v>
      </c>
      <c r="Y102" vm="2344">
        <f ca="1"/>
        <v>3682.3</v>
      </c>
      <c r="Z102" vm="2345">
        <f ca="1"/>
        <v>3878.75</v>
      </c>
      <c r="AA102" vm="2346">
        <f ca="1"/>
        <v>3909.5</v>
      </c>
      <c r="AB102" vm="2347">
        <f ca="1"/>
        <v>3966.15</v>
      </c>
      <c r="AC102" vm="2348">
        <f ca="1"/>
        <v>3980.5</v>
      </c>
      <c r="AD102" vm="2349">
        <f ca="1"/>
        <v>3862.6</v>
      </c>
      <c r="AE102" vm="2350">
        <f ca="1"/>
        <v>3922.55</v>
      </c>
      <c r="AF102" vm="2351">
        <f ca="1"/>
        <v>4067.4</v>
      </c>
      <c r="AG102" vm="2352">
        <f ca="1"/>
        <v>4074.4</v>
      </c>
      <c r="AH102" vm="2353">
        <f ca="1"/>
        <v>4185.05</v>
      </c>
      <c r="AI102" vm="2354">
        <f ca="1"/>
        <v>4315.8999999999996</v>
      </c>
      <c r="AJ102" vm="2355">
        <f ca="1"/>
        <v>4373.1000000000004</v>
      </c>
      <c r="AK102" vm="2356">
        <f ca="1"/>
        <v>4577</v>
      </c>
      <c r="AL102" vm="2357">
        <f ca="1"/>
        <v>4546.6000000000004</v>
      </c>
      <c r="AM102" vm="2358">
        <f ca="1"/>
        <v>4655.1499999999996</v>
      </c>
      <c r="AN102" vm="2359">
        <f ca="1"/>
        <v>4538.55</v>
      </c>
      <c r="AO102" vm="2360">
        <f ca="1"/>
        <v>4587.1000000000004</v>
      </c>
      <c r="AP102" vm="2361">
        <f ca="1"/>
        <v>4446.8999999999996</v>
      </c>
      <c r="AQ102" vm="2362">
        <f ca="1"/>
        <v>4326.2</v>
      </c>
      <c r="AR102" vm="2363">
        <f ca="1"/>
        <v>4432.05</v>
      </c>
      <c r="AS102" vm="2364">
        <f ca="1"/>
        <v>4390.8999999999996</v>
      </c>
      <c r="AT102" vm="2365">
        <f ca="1"/>
        <v>4361.95</v>
      </c>
      <c r="AU102" vm="2366">
        <f ca="1"/>
        <v>4388.6000000000004</v>
      </c>
      <c r="AV102" vm="2367">
        <f ca="1"/>
        <v>4357.3999999999996</v>
      </c>
      <c r="AW102" vm="2368">
        <f ca="1"/>
        <v>4358.1499999999996</v>
      </c>
      <c r="AX102" vm="2369">
        <f ca="1"/>
        <v>4206.1000000000004</v>
      </c>
      <c r="AY102" vm="2370">
        <f ca="1"/>
        <v>4260.8</v>
      </c>
      <c r="AZ102" vm="2371">
        <f ca="1"/>
        <v>4244</v>
      </c>
      <c r="BA102" vm="2372">
        <f ca="1"/>
        <v>4238.5</v>
      </c>
      <c r="BB102" vm="2373">
        <f ca="1"/>
        <v>4386.3500000000004</v>
      </c>
      <c r="BC102" vm="2374">
        <f ca="1"/>
        <v>4336.3</v>
      </c>
      <c r="BD102" vm="2375">
        <f ca="1"/>
        <v>4297.6499999999996</v>
      </c>
      <c r="BE102" vm="2376">
        <f ca="1"/>
        <v>4319.75</v>
      </c>
      <c r="BF102" vm="2377">
        <f ca="1"/>
        <v>4333.3500000000004</v>
      </c>
      <c r="BG102" vm="2378">
        <f ca="1"/>
        <v>4325.2</v>
      </c>
      <c r="BH102" vm="2379">
        <f ca="1"/>
        <v>4330.5</v>
      </c>
      <c r="BI102" vm="2380">
        <f ca="1"/>
        <v>4265.3500000000004</v>
      </c>
      <c r="BJ102" vm="2381">
        <f ca="1"/>
        <v>4176.3999999999996</v>
      </c>
      <c r="BK102" vm="2382">
        <f ca="1"/>
        <v>4014.85</v>
      </c>
      <c r="BL102" vm="2383">
        <f ca="1"/>
        <v>4112.8999999999996</v>
      </c>
      <c r="BM102" vm="2384">
        <f ca="1"/>
        <v>4087.2</v>
      </c>
      <c r="BN102" vm="2385">
        <f ca="1"/>
        <v>4050.45</v>
      </c>
      <c r="BO102" vm="2386">
        <f ca="1"/>
        <v>4063.6</v>
      </c>
      <c r="BP102" vm="2387">
        <f ca="1"/>
        <v>4122</v>
      </c>
      <c r="BQ102" vm="2388">
        <f ca="1"/>
        <v>4135.55</v>
      </c>
      <c r="BR102" vm="2389">
        <f ca="1"/>
        <v>4127.3</v>
      </c>
      <c r="BS102" vm="2390">
        <f ca="1"/>
        <v>4443.3500000000004</v>
      </c>
      <c r="BT102" vm="2391">
        <f ca="1"/>
        <v>4616.25</v>
      </c>
      <c r="BU102" vm="2392">
        <f ca="1"/>
        <v>4690.3500000000004</v>
      </c>
      <c r="BV102" vm="2393">
        <f ca="1"/>
        <v>4859.8</v>
      </c>
      <c r="BW102" vm="2394">
        <f ca="1"/>
        <v>4901.3500000000004</v>
      </c>
      <c r="BX102" vm="2395">
        <f ca="1"/>
        <v>4800.95</v>
      </c>
      <c r="BY102" vm="2396">
        <f ca="1"/>
        <v>4780.55</v>
      </c>
      <c r="BZ102" vm="2397">
        <f ca="1"/>
        <v>4651.25</v>
      </c>
      <c r="CA102" vm="2398">
        <f ca="1"/>
        <v>4753.1000000000004</v>
      </c>
      <c r="CB102" vm="2399">
        <f ca="1"/>
        <v>4682.5</v>
      </c>
      <c r="CC102" vm="2400">
        <f ca="1"/>
        <v>4737.8</v>
      </c>
      <c r="CD102" vm="2401">
        <f ca="1"/>
        <v>4893.75</v>
      </c>
      <c r="CE102" vm="2402">
        <f ca="1"/>
        <v>4995</v>
      </c>
      <c r="CF102" vm="2403">
        <f ca="1"/>
        <v>4996.8</v>
      </c>
      <c r="CG102" vm="2404">
        <f ca="1"/>
        <v>4947.1000000000004</v>
      </c>
      <c r="CH102" vm="2405">
        <f ca="1"/>
        <v>4859.75</v>
      </c>
      <c r="CI102" vm="2406">
        <f ca="1"/>
        <v>4946.8999999999996</v>
      </c>
      <c r="CJ102" vm="2407">
        <f ca="1"/>
        <v>4917.05</v>
      </c>
      <c r="CK102" vm="2408">
        <f ca="1"/>
        <v>4958.1000000000004</v>
      </c>
      <c r="CL102" vm="2409">
        <f ca="1"/>
        <v>5003.8500000000004</v>
      </c>
      <c r="CM102" vm="2410">
        <f ca="1"/>
        <v>5057.25</v>
      </c>
      <c r="CN102" vm="2411">
        <f ca="1"/>
        <v>5123</v>
      </c>
      <c r="CO102" vm="2412">
        <f ca="1"/>
        <v>5127.55</v>
      </c>
      <c r="CP102" vm="2413">
        <f ca="1"/>
        <v>4998.1499999999996</v>
      </c>
      <c r="CQ102" vm="2414">
        <f ca="1"/>
        <v>5084.8</v>
      </c>
      <c r="CR102" vm="2415">
        <f ca="1"/>
        <v>5121.2</v>
      </c>
      <c r="CS102" vm="2416">
        <f ca="1"/>
        <v>5178.8999999999996</v>
      </c>
      <c r="CT102" vm="2417">
        <f ca="1"/>
        <v>5040.95</v>
      </c>
      <c r="CU102" vm="2418">
        <f ca="1"/>
        <v>5062.1000000000004</v>
      </c>
      <c r="CV102" vm="2419">
        <f ca="1"/>
        <v>5078.1000000000004</v>
      </c>
      <c r="CW102" vm="2420">
        <f ca="1"/>
        <v>5059</v>
      </c>
      <c r="CX102" vm="2421">
        <f ca="1"/>
        <v>4920.3</v>
      </c>
      <c r="CY102" vm="2422">
        <f ca="1"/>
        <v>4877.55</v>
      </c>
      <c r="CZ102" vm="2423">
        <f ca="1"/>
        <v>4849.45</v>
      </c>
      <c r="DA102" vm="2424">
        <f ca="1"/>
        <v>4808.3999999999996</v>
      </c>
      <c r="DB102" vm="2425">
        <f ca="1"/>
        <v>4889.55</v>
      </c>
      <c r="DC102" vm="2426">
        <f ca="1"/>
        <v>5098.1499999999996</v>
      </c>
      <c r="DD102" vm="2427">
        <f ca="1"/>
        <v>5285.35</v>
      </c>
      <c r="DE102" vm="2428">
        <f ca="1"/>
        <v>5218.3500000000004</v>
      </c>
      <c r="DF102" vm="2429">
        <f ca="1"/>
        <v>5289.25</v>
      </c>
      <c r="DG102" vm="2430">
        <f ca="1"/>
        <v>5297.45</v>
      </c>
      <c r="DH102" vm="2431">
        <f ca="1"/>
        <v>5216.45</v>
      </c>
      <c r="DI102" vm="2432">
        <f ca="1"/>
        <v>5148.1000000000004</v>
      </c>
      <c r="DJ102" vm="2433">
        <f ca="1"/>
        <v>5128.75</v>
      </c>
      <c r="DK102" vm="2434">
        <f ca="1"/>
        <v>5104.6499999999996</v>
      </c>
      <c r="DL102" vm="2435">
        <f ca="1"/>
        <v>5170.45</v>
      </c>
      <c r="DM102" vm="2436">
        <f ca="1"/>
        <v>5254.7</v>
      </c>
      <c r="DN102" vm="2437">
        <f ca="1"/>
        <v>5290.3</v>
      </c>
      <c r="DO102" vm="2438">
        <f ca="1"/>
        <v>5339.95</v>
      </c>
      <c r="DP102" vm="2439">
        <f ca="1"/>
        <v>5388.85</v>
      </c>
      <c r="DQ102" vm="2440">
        <f ca="1"/>
        <v>5474.35</v>
      </c>
      <c r="DR102" vm="2441">
        <f ca="1"/>
        <v>5475.3</v>
      </c>
      <c r="DS102" vm="2442">
        <f ca="1"/>
        <v>5501.8</v>
      </c>
      <c r="DT102" vm="2443">
        <f ca="1"/>
        <v>5520.9</v>
      </c>
      <c r="DU102" vm="2444">
        <f ca="1"/>
        <v>5418</v>
      </c>
      <c r="DV102" vm="2445">
        <f ca="1"/>
        <v>5445.6</v>
      </c>
      <c r="DW102" vm="2446">
        <f ca="1"/>
        <v>5340.95</v>
      </c>
      <c r="DX102" vm="2447">
        <f ca="1"/>
        <v>5374.75</v>
      </c>
      <c r="DY102" vm="2448">
        <f ca="1"/>
        <v>5103.8500000000004</v>
      </c>
      <c r="DZ102" vm="2449">
        <f ca="1"/>
        <v>5101.6000000000004</v>
      </c>
      <c r="EA102" vm="2450">
        <f ca="1"/>
        <v>5181.3</v>
      </c>
      <c r="EB102" vm="2451">
        <f ca="1"/>
        <v>5330</v>
      </c>
      <c r="EC102" vm="2452">
        <f ca="1"/>
        <v>5274.2</v>
      </c>
      <c r="ED102" vm="2453">
        <f ca="1"/>
        <v>5266.25</v>
      </c>
      <c r="EE102" vm="2454">
        <f ca="1"/>
        <v>5253.05</v>
      </c>
      <c r="EF102" vm="2455">
        <f ca="1"/>
        <v>5357.3</v>
      </c>
      <c r="EG102" vm="2456">
        <f ca="1"/>
        <v>5305.85</v>
      </c>
      <c r="EH102" vm="2457">
        <f ca="1"/>
        <v>5274.9</v>
      </c>
      <c r="EI102" vm="2458">
        <f ca="1"/>
        <v>5274.45</v>
      </c>
      <c r="EJ102" vm="2459">
        <f ca="1"/>
        <v>5233.8</v>
      </c>
      <c r="EK102" vm="2460">
        <f ca="1"/>
        <v>5254.25</v>
      </c>
      <c r="EL102" vm="2461">
        <f ca="1"/>
        <v>5426.95</v>
      </c>
      <c r="EM102" vm="2462">
        <f ca="1"/>
        <v>5426.85</v>
      </c>
      <c r="EN102" vm="2463">
        <f ca="1"/>
        <v>5443.9</v>
      </c>
      <c r="EO102" vm="2464">
        <f ca="1"/>
        <v>5461.5</v>
      </c>
      <c r="EP102" vm="2465">
        <f ca="1"/>
        <v>5412.2</v>
      </c>
      <c r="EQ102" vm="2466">
        <f ca="1"/>
        <v>5345.35</v>
      </c>
      <c r="ER102" vm="2467">
        <f ca="1"/>
        <v>5277.85</v>
      </c>
      <c r="ES102" vm="2468">
        <f ca="1"/>
        <v>5290.7</v>
      </c>
      <c r="ET102" vm="2469">
        <f ca="1"/>
        <v>5398.5</v>
      </c>
      <c r="EU102" vm="2470">
        <f ca="1"/>
        <v>5510.6</v>
      </c>
      <c r="EV102" vm="2471">
        <f ca="1"/>
        <v>5951.65</v>
      </c>
      <c r="EW102" vm="2472">
        <f ca="1"/>
        <v>6002.2</v>
      </c>
      <c r="EX102" vm="2473">
        <f ca="1"/>
        <v>6031.1</v>
      </c>
      <c r="EY102" vm="2474">
        <f ca="1"/>
        <v>5980.2</v>
      </c>
      <c r="EZ102" vm="2475">
        <f ca="1"/>
        <v>5988.35</v>
      </c>
      <c r="FA102" vm="2476">
        <f ca="1"/>
        <v>5964.9</v>
      </c>
      <c r="FB102" vm="2477">
        <f ca="1"/>
        <v>6372.65</v>
      </c>
      <c r="FC102" vm="2478">
        <f ca="1"/>
        <v>6356.5</v>
      </c>
      <c r="FD102" vm="2479">
        <f ca="1"/>
        <v>6290.65</v>
      </c>
      <c r="FE102" vm="2480">
        <f ca="1"/>
        <v>6308.05</v>
      </c>
      <c r="FF102" vm="2481">
        <f ca="1"/>
        <v>6316.9</v>
      </c>
      <c r="FG102" vm="2482">
        <f ca="1"/>
        <v>6271.55</v>
      </c>
      <c r="FH102" vm="2483">
        <f ca="1"/>
        <v>6366.2</v>
      </c>
      <c r="FI102" vm="2484">
        <f ca="1"/>
        <v>6268.95</v>
      </c>
      <c r="FJ102" vm="2485">
        <f ca="1"/>
        <v>6521.65</v>
      </c>
      <c r="FK102" vm="2486">
        <f ca="1"/>
        <v>6478.35</v>
      </c>
      <c r="FL102" vm="2487">
        <f ca="1"/>
        <v>6456.1</v>
      </c>
      <c r="FM102" vm="2488">
        <f ca="1"/>
        <v>6463.95</v>
      </c>
      <c r="FN102" vm="2489">
        <f ca="1"/>
        <v>6464.55</v>
      </c>
      <c r="FO102" vm="2490">
        <f ca="1"/>
        <v>6566.75</v>
      </c>
      <c r="FP102" vm="2491">
        <f ca="1"/>
        <v>6460.35</v>
      </c>
      <c r="FQ102" vm="2492">
        <f ca="1"/>
        <v>6316.5</v>
      </c>
      <c r="FR102" vm="2493">
        <f ca="1"/>
        <v>6350.7</v>
      </c>
      <c r="FS102" vm="2494">
        <f ca="1"/>
        <v>6396.55</v>
      </c>
      <c r="FT102" vm="2495">
        <f ca="1"/>
        <v>6378.4</v>
      </c>
      <c r="FU102" vm="2496">
        <f ca="1"/>
        <v>6325.45</v>
      </c>
      <c r="FV102" vm="2497">
        <f ca="1"/>
        <v>6356.7</v>
      </c>
      <c r="FW102" vm="2498">
        <f ca="1"/>
        <v>6326.95</v>
      </c>
      <c r="FX102" vm="2499">
        <f ca="1"/>
        <v>6488.65</v>
      </c>
      <c r="FY102" vm="2500">
        <f ca="1"/>
        <v>6553.95</v>
      </c>
      <c r="FZ102" vm="2501">
        <f ca="1"/>
        <v>6331.6</v>
      </c>
      <c r="GA102" vm="2502">
        <f ca="1"/>
        <v>6343.6</v>
      </c>
      <c r="GB102" vm="2503">
        <f ca="1"/>
        <v>6367.7</v>
      </c>
      <c r="GC102" vm="2504">
        <f ca="1"/>
        <v>6303.1</v>
      </c>
      <c r="GD102" vm="2505">
        <f ca="1"/>
        <v>6100.2</v>
      </c>
      <c r="GE102" vm="2506">
        <f ca="1"/>
        <v>6019.2</v>
      </c>
      <c r="GF102" vm="2507">
        <f ca="1"/>
        <v>5853.85</v>
      </c>
      <c r="GG102" vm="2508">
        <f ca="1"/>
        <v>5920.1</v>
      </c>
      <c r="GH102" vm="2509">
        <f ca="1"/>
        <v>5879.45</v>
      </c>
      <c r="GI102" vm="2510">
        <f ca="1"/>
        <v>5871.65</v>
      </c>
      <c r="GJ102" vm="2511">
        <f ca="1"/>
        <v>5862.95</v>
      </c>
      <c r="GK102" vm="2512">
        <f ca="1"/>
        <v>5991.1</v>
      </c>
      <c r="GL102" vm="2513">
        <f ca="1"/>
        <v>6124.4</v>
      </c>
      <c r="GM102" vm="2514">
        <f ca="1"/>
        <v>6237.8</v>
      </c>
      <c r="GN102" vm="2515">
        <f ca="1"/>
        <v>6259.6</v>
      </c>
      <c r="GO102" vm="2516">
        <f ca="1"/>
        <v>6358.55</v>
      </c>
      <c r="GP102" vm="2517">
        <f ca="1"/>
        <v>6308.85</v>
      </c>
      <c r="GQ102" vm="2518">
        <f ca="1"/>
        <v>6223.95</v>
      </c>
      <c r="GR102" vm="2519">
        <f ca="1"/>
        <v>6277.9</v>
      </c>
      <c r="GS102" vm="2520">
        <f ca="1"/>
        <v>6269.2</v>
      </c>
      <c r="GT102" vm="2521">
        <f ca="1"/>
        <v>6295.7</v>
      </c>
      <c r="GU102" vm="2522">
        <f ca="1"/>
        <v>6339.95</v>
      </c>
      <c r="GV102" vm="2523">
        <f ca="1"/>
        <v>6360.05</v>
      </c>
      <c r="GW102" vm="2524">
        <f ca="1"/>
        <v>6378.1</v>
      </c>
      <c r="GX102" vm="2525">
        <f ca="1"/>
        <v>6743.85</v>
      </c>
      <c r="GY102" vm="2526">
        <f ca="1"/>
        <v>6706.5</v>
      </c>
      <c r="GZ102" vm="2527">
        <f ca="1"/>
        <v>6734</v>
      </c>
      <c r="HA102" vm="2528">
        <f ca="1"/>
        <v>6776.95</v>
      </c>
      <c r="HB102" vm="2529">
        <f ca="1"/>
        <v>6867.5</v>
      </c>
      <c r="HC102" vm="2530">
        <f ca="1"/>
        <v>6945.25</v>
      </c>
      <c r="HD102" vm="2531">
        <f ca="1"/>
        <v>6761.25</v>
      </c>
      <c r="HE102" vm="2532">
        <f ca="1"/>
        <v>6542.65</v>
      </c>
      <c r="HF102" vm="2533">
        <f ca="1"/>
        <v>6683.85</v>
      </c>
      <c r="HG102" vm="2534">
        <f ca="1"/>
        <v>7004.95</v>
      </c>
      <c r="HH102" vm="2535">
        <f ca="1"/>
        <v>7043.2</v>
      </c>
      <c r="HI102" vm="2536">
        <f ca="1"/>
        <v>7162.5</v>
      </c>
      <c r="HJ102" vm="2537">
        <f ca="1"/>
        <v>7057.9</v>
      </c>
      <c r="HK102" vm="2538">
        <f ca="1"/>
        <v>7152.6</v>
      </c>
      <c r="HL102" vm="2539">
        <f ca="1"/>
        <v>7142.95</v>
      </c>
      <c r="HM102" vm="2540">
        <f ca="1"/>
        <v>7051.05</v>
      </c>
      <c r="HN102" vm="2541">
        <f ca="1"/>
        <v>6894.6</v>
      </c>
      <c r="HO102" vm="2542">
        <f ca="1"/>
        <v>6603.9</v>
      </c>
      <c r="HP102" vm="2543">
        <f ca="1"/>
        <v>6802.75</v>
      </c>
      <c r="HQ102" vm="2544">
        <f ca="1"/>
        <v>6962</v>
      </c>
      <c r="HR102" vm="2545">
        <f ca="1"/>
        <v>7022.05</v>
      </c>
      <c r="HS102" vm="2546">
        <f ca="1"/>
        <v>6946.65</v>
      </c>
      <c r="HT102" vm="2547">
        <f ca="1"/>
        <v>6952.3</v>
      </c>
      <c r="HU102" vm="2548">
        <f ca="1"/>
        <v>7067.75</v>
      </c>
      <c r="HV102" vm="2549">
        <f ca="1"/>
        <v>7165.15</v>
      </c>
      <c r="HW102" vm="2550">
        <f ca="1"/>
        <v>7245.65</v>
      </c>
      <c r="HX102" vm="2551">
        <f ca="1"/>
        <v>7424.2</v>
      </c>
      <c r="HY102" vm="2552">
        <f ca="1"/>
        <v>7479.25</v>
      </c>
      <c r="HZ102" vm="2553">
        <f ca="1"/>
        <v>7592.05</v>
      </c>
      <c r="IA102" vm="2554">
        <f ca="1"/>
        <v>7915.5</v>
      </c>
      <c r="IB102" vm="2555">
        <f ca="1"/>
        <v>7699.45</v>
      </c>
      <c r="IC102" vm="2556">
        <f ca="1"/>
        <v>7628.25</v>
      </c>
      <c r="ID102" vm="2557">
        <f ca="1"/>
        <v>7660.5</v>
      </c>
      <c r="IE102" vm="2558">
        <f ca="1"/>
        <v>7635.3</v>
      </c>
      <c r="IF102" vm="2559">
        <f ca="1"/>
        <v>7692.45</v>
      </c>
      <c r="IG102" vm="2560">
        <f ca="1"/>
        <v>7828.1</v>
      </c>
      <c r="IH102" vm="2561">
        <f ca="1"/>
        <v>7845.4</v>
      </c>
      <c r="II102" vm="2562">
        <f ca="1"/>
        <v>7633</v>
      </c>
      <c r="IJ102" vm="2563">
        <f ca="1"/>
        <v>7559.95</v>
      </c>
      <c r="IK102" vm="2564">
        <f ca="1"/>
        <v>7498.35</v>
      </c>
      <c r="IL102" vm="2565">
        <f ca="1"/>
        <v>7531.95</v>
      </c>
      <c r="IM102" vm="2566">
        <f ca="1"/>
        <v>7821.15</v>
      </c>
      <c r="IN102" vm="2567">
        <f ca="1"/>
        <v>7766.65</v>
      </c>
      <c r="IO102" vm="2568">
        <f ca="1"/>
        <v>8145.75</v>
      </c>
      <c r="IP102" vm="2569">
        <f ca="1"/>
        <v>8093.4</v>
      </c>
      <c r="IQ102" vm="2570">
        <f ca="1"/>
        <v>8580.15</v>
      </c>
      <c r="IR102" vm="2571">
        <f ca="1"/>
        <v>8470.5499999999993</v>
      </c>
    </row>
    <row r="103" spans="4:252" x14ac:dyDescent="0.35">
      <c r="D103" t="e" vm="10">
        <v>#VALUE!</v>
      </c>
      <c r="E103" cm="1" vm="2572">
        <f t="array" aca="1" ref="E103:IR103" ca="1">TRANSPOSE((_xlfn.STOCKHISTORY('Portfolio Tracker '!$C17,TODAY()-365,TODAY(),0,0,1)))</f>
        <v>3545.9</v>
      </c>
      <c r="F103" vm="2573">
        <f ca="1"/>
        <v>3554</v>
      </c>
      <c r="G103" vm="2574">
        <f ca="1"/>
        <v>3584.5</v>
      </c>
      <c r="H103" vm="2575">
        <f ca="1"/>
        <v>3598.2</v>
      </c>
      <c r="I103" vm="2576">
        <f ca="1"/>
        <v>3677.85</v>
      </c>
      <c r="J103" vm="2577">
        <f ca="1"/>
        <v>3659.7</v>
      </c>
      <c r="K103" vm="2578">
        <f ca="1"/>
        <v>3672.3</v>
      </c>
      <c r="L103" vm="2579">
        <f ca="1"/>
        <v>3704.65</v>
      </c>
      <c r="M103" vm="2580">
        <f ca="1"/>
        <v>3677.55</v>
      </c>
      <c r="N103" vm="2581">
        <f ca="1"/>
        <v>3523.4</v>
      </c>
      <c r="O103" vm="2582">
        <f ca="1"/>
        <v>3479.25</v>
      </c>
      <c r="P103" vm="2583">
        <f ca="1"/>
        <v>3400.2</v>
      </c>
      <c r="Q103" vm="2584">
        <f ca="1"/>
        <v>3368.55</v>
      </c>
      <c r="R103" vm="2585">
        <f ca="1"/>
        <v>3395.25</v>
      </c>
      <c r="S103" vm="2586">
        <f ca="1"/>
        <v>3425.1</v>
      </c>
      <c r="T103" vm="2587">
        <f ca="1"/>
        <v>3432.95</v>
      </c>
      <c r="U103" vm="2588">
        <f ca="1"/>
        <v>3429.55</v>
      </c>
      <c r="V103" vm="2589">
        <f ca="1"/>
        <v>3435.35</v>
      </c>
      <c r="W103" vm="2590">
        <f ca="1"/>
        <v>3501.75</v>
      </c>
      <c r="X103" vm="2591">
        <f ca="1"/>
        <v>3503.3</v>
      </c>
      <c r="Y103" vm="2592">
        <f ca="1"/>
        <v>3507.5</v>
      </c>
      <c r="Z103" vm="2593">
        <f ca="1"/>
        <v>3471.25</v>
      </c>
      <c r="AA103" vm="2594">
        <f ca="1"/>
        <v>3500.9</v>
      </c>
      <c r="AB103" vm="2595">
        <f ca="1"/>
        <v>3531.6</v>
      </c>
      <c r="AC103" vm="2596">
        <f ca="1"/>
        <v>3536.85</v>
      </c>
      <c r="AD103" vm="2597">
        <f ca="1"/>
        <v>3527.75</v>
      </c>
      <c r="AE103" vm="2598">
        <f ca="1"/>
        <v>3544.05</v>
      </c>
      <c r="AF103" vm="2599">
        <f ca="1"/>
        <v>3546.8</v>
      </c>
      <c r="AG103" vm="2600">
        <f ca="1"/>
        <v>3632.1</v>
      </c>
      <c r="AH103" vm="2601">
        <f ca="1"/>
        <v>3629.4</v>
      </c>
      <c r="AI103" vm="2602">
        <f ca="1"/>
        <v>3677.9</v>
      </c>
      <c r="AJ103" vm="2603">
        <f ca="1"/>
        <v>3704.85</v>
      </c>
      <c r="AK103" vm="2604">
        <f ca="1"/>
        <v>3917.7</v>
      </c>
      <c r="AL103" vm="2605">
        <f ca="1"/>
        <v>4085.6</v>
      </c>
      <c r="AM103" vm="2606">
        <f ca="1"/>
        <v>3975.7</v>
      </c>
      <c r="AN103" vm="2607">
        <f ca="1"/>
        <v>3986.9</v>
      </c>
      <c r="AO103" vm="2608">
        <f ca="1"/>
        <v>3919.5</v>
      </c>
      <c r="AP103" vm="2609">
        <f ca="1"/>
        <v>3812.15</v>
      </c>
      <c r="AQ103" vm="2610">
        <f ca="1"/>
        <v>3744.05</v>
      </c>
      <c r="AR103" vm="2611">
        <f ca="1"/>
        <v>3848.25</v>
      </c>
      <c r="AS103" vm="2612">
        <f ca="1"/>
        <v>3872.1</v>
      </c>
      <c r="AT103" vm="2613">
        <f ca="1"/>
        <v>3963.6</v>
      </c>
      <c r="AU103" vm="2614">
        <f ca="1"/>
        <v>3889.2</v>
      </c>
      <c r="AV103" vm="2615">
        <f ca="1"/>
        <v>3868.6</v>
      </c>
      <c r="AW103" vm="2616">
        <f ca="1"/>
        <v>3857.2</v>
      </c>
      <c r="AX103" vm="2617">
        <f ca="1"/>
        <v>3820.1</v>
      </c>
      <c r="AY103" vm="2618">
        <f ca="1"/>
        <v>3815.9</v>
      </c>
      <c r="AZ103" vm="2619">
        <f ca="1"/>
        <v>3808.95</v>
      </c>
      <c r="BA103" vm="2620">
        <f ca="1"/>
        <v>3767.7</v>
      </c>
      <c r="BB103" vm="2621">
        <f ca="1"/>
        <v>3827.1</v>
      </c>
      <c r="BC103" vm="2622">
        <f ca="1"/>
        <v>3806.35</v>
      </c>
      <c r="BD103" vm="2623">
        <f ca="1"/>
        <v>3821.65</v>
      </c>
      <c r="BE103" vm="2624">
        <f ca="1"/>
        <v>3838.75</v>
      </c>
      <c r="BF103" vm="2625">
        <f ca="1"/>
        <v>3713.55</v>
      </c>
      <c r="BG103" vm="2626">
        <f ca="1"/>
        <v>3676.5</v>
      </c>
      <c r="BH103" vm="2627">
        <f ca="1"/>
        <v>3705.85</v>
      </c>
      <c r="BI103" vm="2628">
        <f ca="1"/>
        <v>3678.8</v>
      </c>
      <c r="BJ103" vm="2629">
        <f ca="1"/>
        <v>3675.7</v>
      </c>
      <c r="BK103" vm="2630">
        <f ca="1"/>
        <v>3668.2</v>
      </c>
      <c r="BL103" vm="2631">
        <f ca="1"/>
        <v>3677.05</v>
      </c>
      <c r="BM103" vm="2632">
        <f ca="1"/>
        <v>3712.65</v>
      </c>
      <c r="BN103" vm="2633">
        <f ca="1"/>
        <v>3693.35</v>
      </c>
      <c r="BO103" vm="2634">
        <f ca="1"/>
        <v>3713.9</v>
      </c>
      <c r="BP103" vm="2635">
        <f ca="1"/>
        <v>3752.8</v>
      </c>
      <c r="BQ103" vm="2636">
        <f ca="1"/>
        <v>3740.3</v>
      </c>
      <c r="BR103" vm="2637">
        <f ca="1"/>
        <v>3713.4</v>
      </c>
      <c r="BS103" vm="2638">
        <f ca="1"/>
        <v>3699.9</v>
      </c>
      <c r="BT103" vm="2639">
        <f ca="1"/>
        <v>3652.1</v>
      </c>
      <c r="BU103" vm="2640">
        <f ca="1"/>
        <v>3640.35</v>
      </c>
      <c r="BV103" vm="2641">
        <f ca="1"/>
        <v>3648.45</v>
      </c>
      <c r="BW103" vm="2642">
        <f ca="1"/>
        <v>3628.75</v>
      </c>
      <c r="BX103" vm="2575">
        <f ca="1"/>
        <v>3598.2</v>
      </c>
      <c r="BY103" vm="2643">
        <f ca="1"/>
        <v>3550.05</v>
      </c>
      <c r="BZ103" vm="2644">
        <f ca="1"/>
        <v>3509.3</v>
      </c>
      <c r="CA103" vm="2645">
        <f ca="1"/>
        <v>3499.35</v>
      </c>
      <c r="CB103" vm="2646">
        <f ca="1"/>
        <v>3507.65</v>
      </c>
      <c r="CC103" vm="2647">
        <f ca="1"/>
        <v>3540.95</v>
      </c>
      <c r="CD103" vm="2648">
        <f ca="1"/>
        <v>3547.7</v>
      </c>
      <c r="CE103" vm="2649">
        <f ca="1"/>
        <v>3568.9</v>
      </c>
      <c r="CF103" vm="2650">
        <f ca="1"/>
        <v>3539.3</v>
      </c>
      <c r="CG103" vm="2651">
        <f ca="1"/>
        <v>3561.5</v>
      </c>
      <c r="CH103" vm="2652">
        <f ca="1"/>
        <v>3534.6</v>
      </c>
      <c r="CI103" vm="2653">
        <f ca="1"/>
        <v>3592.9</v>
      </c>
      <c r="CJ103" vm="2654">
        <f ca="1"/>
        <v>3664.35</v>
      </c>
      <c r="CK103" vm="2655">
        <f ca="1"/>
        <v>3736.3</v>
      </c>
      <c r="CL103" vm="2656">
        <f ca="1"/>
        <v>3720.4</v>
      </c>
      <c r="CM103" vm="2657">
        <f ca="1"/>
        <v>3761.05</v>
      </c>
      <c r="CN103" vm="2658">
        <f ca="1"/>
        <v>3755.75</v>
      </c>
      <c r="CO103" vm="2659">
        <f ca="1"/>
        <v>3776.9</v>
      </c>
      <c r="CP103" vm="2660">
        <f ca="1"/>
        <v>3796.8</v>
      </c>
      <c r="CQ103" vm="2661">
        <f ca="1"/>
        <v>3785.1</v>
      </c>
      <c r="CR103" vm="2662">
        <f ca="1"/>
        <v>3782.4</v>
      </c>
      <c r="CS103" vm="2663">
        <f ca="1"/>
        <v>3810.75</v>
      </c>
      <c r="CT103" vm="2664">
        <f ca="1"/>
        <v>3753.25</v>
      </c>
      <c r="CU103" vm="2665">
        <f ca="1"/>
        <v>3813.7</v>
      </c>
      <c r="CV103" vm="2666">
        <f ca="1"/>
        <v>3808.05</v>
      </c>
      <c r="CW103" vm="2667">
        <f ca="1"/>
        <v>3796</v>
      </c>
      <c r="CX103" vm="2668">
        <f ca="1"/>
        <v>3797.9</v>
      </c>
      <c r="CY103" vm="2669">
        <f ca="1"/>
        <v>3729.4</v>
      </c>
      <c r="CZ103" vm="2670">
        <f ca="1"/>
        <v>3686.95</v>
      </c>
      <c r="DA103" vm="2671">
        <f ca="1"/>
        <v>3689.1</v>
      </c>
      <c r="DB103" vm="2672">
        <f ca="1"/>
        <v>3664.1</v>
      </c>
      <c r="DC103" vm="2673">
        <f ca="1"/>
        <v>3633.6</v>
      </c>
      <c r="DD103" vm="2674">
        <f ca="1"/>
        <v>3640.7</v>
      </c>
      <c r="DE103" vm="2675">
        <f ca="1"/>
        <v>3671.05</v>
      </c>
      <c r="DF103" vm="2676">
        <f ca="1"/>
        <v>3675.6</v>
      </c>
      <c r="DG103" vm="2677">
        <f ca="1"/>
        <v>3725.7</v>
      </c>
      <c r="DH103" vm="2678">
        <f ca="1"/>
        <v>3872.95</v>
      </c>
      <c r="DI103" vm="2679">
        <f ca="1"/>
        <v>3861.5</v>
      </c>
      <c r="DJ103" vm="2680">
        <f ca="1"/>
        <v>3833.95</v>
      </c>
      <c r="DK103" vm="2681">
        <f ca="1"/>
        <v>3798.6</v>
      </c>
      <c r="DL103" vm="2682">
        <f ca="1"/>
        <v>3793.8</v>
      </c>
      <c r="DM103" vm="2683">
        <f ca="1"/>
        <v>3852.05</v>
      </c>
      <c r="DN103" vm="2684">
        <f ca="1"/>
        <v>3862.75</v>
      </c>
      <c r="DO103" vm="2685">
        <f ca="1"/>
        <v>3935.85</v>
      </c>
      <c r="DP103" vm="2686">
        <f ca="1"/>
        <v>3856.8</v>
      </c>
      <c r="DQ103" vm="2687">
        <f ca="1"/>
        <v>3842.85</v>
      </c>
      <c r="DR103" vm="2688">
        <f ca="1"/>
        <v>3795.95</v>
      </c>
      <c r="DS103" vm="2689">
        <f ca="1"/>
        <v>3766.85</v>
      </c>
      <c r="DT103" vm="2690">
        <f ca="1"/>
        <v>3749.5</v>
      </c>
      <c r="DU103" vm="2691">
        <f ca="1"/>
        <v>3668.95</v>
      </c>
      <c r="DV103" vm="2692">
        <f ca="1"/>
        <v>3740.55</v>
      </c>
      <c r="DW103" vm="2693">
        <f ca="1"/>
        <v>3684.65</v>
      </c>
      <c r="DX103" vm="2694">
        <f ca="1"/>
        <v>3665.45</v>
      </c>
      <c r="DY103" vm="2695">
        <f ca="1"/>
        <v>3646.65</v>
      </c>
      <c r="DZ103" vm="2696">
        <f ca="1"/>
        <v>3633.4</v>
      </c>
      <c r="EA103" vm="2697">
        <f ca="1"/>
        <v>3639.45</v>
      </c>
      <c r="EB103" vm="2698">
        <f ca="1"/>
        <v>3647.45</v>
      </c>
      <c r="EC103" vm="2699">
        <f ca="1"/>
        <v>3649.7</v>
      </c>
      <c r="ED103" vm="2700">
        <f ca="1"/>
        <v>3649.55</v>
      </c>
      <c r="EE103" vm="2701">
        <f ca="1"/>
        <v>3653.3</v>
      </c>
      <c r="EF103" vm="2702">
        <f ca="1"/>
        <v>3712.4</v>
      </c>
      <c r="EG103" vm="2703">
        <f ca="1"/>
        <v>3747.6</v>
      </c>
      <c r="EH103" vm="2704">
        <f ca="1"/>
        <v>3798.4</v>
      </c>
      <c r="EI103" vm="2705">
        <f ca="1"/>
        <v>3802.7</v>
      </c>
      <c r="EJ103" vm="2706">
        <f ca="1"/>
        <v>3798.45</v>
      </c>
      <c r="EK103" vm="2707">
        <f ca="1"/>
        <v>3791.95</v>
      </c>
      <c r="EL103" vm="2708">
        <f ca="1"/>
        <v>3790.25</v>
      </c>
      <c r="EM103" vm="2709">
        <f ca="1"/>
        <v>3810.9</v>
      </c>
      <c r="EN103" vm="2710">
        <f ca="1"/>
        <v>3792.9</v>
      </c>
      <c r="EO103" vm="2711">
        <f ca="1"/>
        <v>3814.95</v>
      </c>
      <c r="EP103" vm="2712">
        <f ca="1"/>
        <v>3838.25</v>
      </c>
      <c r="EQ103" vm="2713">
        <f ca="1"/>
        <v>3844.4</v>
      </c>
      <c r="ER103" vm="2714">
        <f ca="1"/>
        <v>3842.9</v>
      </c>
      <c r="ES103" vm="2715">
        <f ca="1"/>
        <v>3912.15</v>
      </c>
      <c r="ET103" vm="2679">
        <f ca="1"/>
        <v>3861.5</v>
      </c>
      <c r="EU103" vm="2716">
        <f ca="1"/>
        <v>3949.75</v>
      </c>
      <c r="EV103" vm="2717">
        <f ca="1"/>
        <v>3988.4</v>
      </c>
      <c r="EW103" vm="2718">
        <f ca="1"/>
        <v>3967.1</v>
      </c>
      <c r="EX103" vm="2719">
        <f ca="1"/>
        <v>4039.55</v>
      </c>
      <c r="EY103" vm="2720">
        <f ca="1"/>
        <v>4137.1499999999996</v>
      </c>
      <c r="EZ103" vm="2721">
        <f ca="1"/>
        <v>4115.45</v>
      </c>
      <c r="FA103" vm="2722">
        <f ca="1"/>
        <v>4070.65</v>
      </c>
      <c r="FB103" vm="2723">
        <f ca="1"/>
        <v>4069.75</v>
      </c>
      <c r="FC103" vm="2724">
        <f ca="1"/>
        <v>4075.4</v>
      </c>
      <c r="FD103" vm="2725">
        <f ca="1"/>
        <v>4033.05</v>
      </c>
      <c r="FE103" vm="2726">
        <f ca="1"/>
        <v>4070.05</v>
      </c>
      <c r="FF103" vm="2727">
        <f ca="1"/>
        <v>4045.65</v>
      </c>
      <c r="FG103" vm="2728">
        <f ca="1"/>
        <v>4010.15</v>
      </c>
      <c r="FH103" vm="2729">
        <f ca="1"/>
        <v>4021.35</v>
      </c>
      <c r="FI103" vm="2730">
        <f ca="1"/>
        <v>3965.9</v>
      </c>
      <c r="FJ103" vm="2731">
        <f ca="1"/>
        <v>3954.5</v>
      </c>
      <c r="FK103" vm="2732">
        <f ca="1"/>
        <v>4007.95</v>
      </c>
      <c r="FL103" vm="2733">
        <f ca="1"/>
        <v>4023.45</v>
      </c>
      <c r="FM103" vm="2734">
        <f ca="1"/>
        <v>4027.45</v>
      </c>
      <c r="FN103" vm="2735">
        <f ca="1"/>
        <v>4044.65</v>
      </c>
      <c r="FO103" vm="2736">
        <f ca="1"/>
        <v>4082.65</v>
      </c>
      <c r="FP103" vm="2737">
        <f ca="1"/>
        <v>4064.75</v>
      </c>
      <c r="FQ103" vm="2738">
        <f ca="1"/>
        <v>4103.3500000000004</v>
      </c>
      <c r="FR103" vm="2739">
        <f ca="1"/>
        <v>3932.35</v>
      </c>
      <c r="FS103" vm="2740">
        <f ca="1"/>
        <v>3897.85</v>
      </c>
      <c r="FT103" vm="2741">
        <f ca="1"/>
        <v>3863.5</v>
      </c>
      <c r="FU103" vm="2742">
        <f ca="1"/>
        <v>3804.4</v>
      </c>
      <c r="FV103" vm="2663">
        <f ca="1"/>
        <v>3810.75</v>
      </c>
      <c r="FW103" vm="2743">
        <f ca="1"/>
        <v>3822</v>
      </c>
      <c r="FX103" vm="2744">
        <f ca="1"/>
        <v>3821.35</v>
      </c>
      <c r="FY103" vm="2745">
        <f ca="1"/>
        <v>3841</v>
      </c>
      <c r="FZ103" vm="2746">
        <f ca="1"/>
        <v>3858.25</v>
      </c>
      <c r="GA103" vm="2747">
        <f ca="1"/>
        <v>3828.3</v>
      </c>
      <c r="GB103" vm="2748">
        <f ca="1"/>
        <v>3786.45</v>
      </c>
      <c r="GC103" vm="2749">
        <f ca="1"/>
        <v>3748.85</v>
      </c>
      <c r="GD103" vm="2750">
        <f ca="1"/>
        <v>3731.7</v>
      </c>
      <c r="GE103" vm="2626">
        <f ca="1"/>
        <v>3676.5</v>
      </c>
      <c r="GF103" vm="2751">
        <f ca="1"/>
        <v>3675.9</v>
      </c>
      <c r="GG103" vm="2752">
        <f ca="1"/>
        <v>3727.75</v>
      </c>
      <c r="GH103" vm="2753">
        <f ca="1"/>
        <v>3734.25</v>
      </c>
      <c r="GI103" vm="2754">
        <f ca="1"/>
        <v>3749.4</v>
      </c>
      <c r="GJ103" vm="2755">
        <f ca="1"/>
        <v>3687.3</v>
      </c>
      <c r="GK103" vm="2756">
        <f ca="1"/>
        <v>3792.7</v>
      </c>
      <c r="GL103" vm="2757">
        <f ca="1"/>
        <v>3808.2</v>
      </c>
      <c r="GM103" vm="2758">
        <f ca="1"/>
        <v>3784.3</v>
      </c>
      <c r="GN103" vm="2759">
        <f ca="1"/>
        <v>3729.6</v>
      </c>
      <c r="GO103" vm="2760">
        <f ca="1"/>
        <v>3727.4</v>
      </c>
      <c r="GP103" vm="2761">
        <f ca="1"/>
        <v>3717.7</v>
      </c>
      <c r="GQ103" vm="2762">
        <f ca="1"/>
        <v>3731.05</v>
      </c>
      <c r="GR103" vm="2763">
        <f ca="1"/>
        <v>3719.2</v>
      </c>
      <c r="GS103" vm="2676">
        <f ca="1"/>
        <v>3675.6</v>
      </c>
      <c r="GT103" vm="2764">
        <f ca="1"/>
        <v>3703.2</v>
      </c>
      <c r="GU103" vm="2765">
        <f ca="1"/>
        <v>3722.4</v>
      </c>
      <c r="GV103" vm="2766">
        <f ca="1"/>
        <v>3678.6</v>
      </c>
      <c r="GW103" vm="2767">
        <f ca="1"/>
        <v>3693.3</v>
      </c>
      <c r="GX103" vm="2768">
        <f ca="1"/>
        <v>3707.25</v>
      </c>
      <c r="GY103" vm="2769">
        <f ca="1"/>
        <v>3756.2</v>
      </c>
      <c r="GZ103" vm="2770">
        <f ca="1"/>
        <v>3835.75</v>
      </c>
      <c r="HA103" vm="2771">
        <f ca="1"/>
        <v>3851.45</v>
      </c>
      <c r="HB103" vm="2772">
        <f ca="1"/>
        <v>3840.55</v>
      </c>
      <c r="HC103" vm="2773">
        <f ca="1"/>
        <v>3850.35</v>
      </c>
      <c r="HD103" vm="2774">
        <f ca="1"/>
        <v>3852.2</v>
      </c>
      <c r="HE103" vm="2775">
        <f ca="1"/>
        <v>3850</v>
      </c>
      <c r="HF103" vm="2776">
        <f ca="1"/>
        <v>3918.9</v>
      </c>
      <c r="HG103" vm="2777">
        <f ca="1"/>
        <v>3884.15</v>
      </c>
      <c r="HH103" vm="2778">
        <f ca="1"/>
        <v>3868.25</v>
      </c>
      <c r="HI103" vm="2779">
        <f ca="1"/>
        <v>3846.35</v>
      </c>
      <c r="HJ103" vm="2780">
        <f ca="1"/>
        <v>3834.5</v>
      </c>
      <c r="HK103" vm="2781">
        <f ca="1"/>
        <v>3888.65</v>
      </c>
      <c r="HL103" vm="2782">
        <f ca="1"/>
        <v>3925.95</v>
      </c>
      <c r="HM103" vm="2783">
        <f ca="1"/>
        <v>3979.65</v>
      </c>
      <c r="HN103" vm="2784">
        <f ca="1"/>
        <v>4031.7</v>
      </c>
      <c r="HO103" vm="2785">
        <f ca="1"/>
        <v>3967.8</v>
      </c>
      <c r="HP103" vm="2786">
        <f ca="1"/>
        <v>4019.25</v>
      </c>
      <c r="HQ103" vm="2787">
        <f ca="1"/>
        <v>3932.1</v>
      </c>
      <c r="HR103" vm="2788">
        <f ca="1"/>
        <v>4010.55</v>
      </c>
      <c r="HS103" vm="2789">
        <f ca="1"/>
        <v>4014.1</v>
      </c>
      <c r="HT103" vm="2790">
        <f ca="1"/>
        <v>4056.35</v>
      </c>
      <c r="HU103" vm="2791">
        <f ca="1"/>
        <v>4163.1000000000004</v>
      </c>
      <c r="HV103" vm="2792">
        <f ca="1"/>
        <v>4297.6000000000004</v>
      </c>
      <c r="HW103" vm="2793">
        <f ca="1"/>
        <v>4486.2</v>
      </c>
      <c r="HX103" vm="2794">
        <f ca="1"/>
        <v>4420.55</v>
      </c>
      <c r="HY103" vm="2795">
        <f ca="1"/>
        <v>4525.6000000000004</v>
      </c>
      <c r="HZ103" vm="2796">
        <f ca="1"/>
        <v>4483.3</v>
      </c>
      <c r="IA103" vm="2797">
        <f ca="1"/>
        <v>4411.8500000000004</v>
      </c>
      <c r="IB103" vm="2798">
        <f ca="1"/>
        <v>4460.8999999999996</v>
      </c>
      <c r="IC103" vm="2799">
        <f ca="1"/>
        <v>4645.05</v>
      </c>
      <c r="ID103" vm="2800">
        <f ca="1"/>
        <v>4619.25</v>
      </c>
      <c r="IE103" vm="2801">
        <f ca="1"/>
        <v>4672.8</v>
      </c>
      <c r="IF103" vm="2802">
        <f ca="1"/>
        <v>4716.1499999999996</v>
      </c>
      <c r="IG103" vm="2803">
        <f ca="1"/>
        <v>4754</v>
      </c>
      <c r="IH103" vm="2804">
        <f ca="1"/>
        <v>4765.05</v>
      </c>
      <c r="II103" vm="2805">
        <f ca="1"/>
        <v>4686.8</v>
      </c>
      <c r="IJ103" vm="2806">
        <f ca="1"/>
        <v>4644.3</v>
      </c>
      <c r="IK103" vm="2807">
        <f ca="1"/>
        <v>4627.1000000000004</v>
      </c>
      <c r="IL103" vm="2808">
        <f ca="1"/>
        <v>4696</v>
      </c>
      <c r="IM103" vm="2809">
        <f ca="1"/>
        <v>4758</v>
      </c>
      <c r="IN103" vm="2810">
        <f ca="1"/>
        <v>4800.55</v>
      </c>
      <c r="IO103" vm="2811">
        <f ca="1"/>
        <v>4797.55</v>
      </c>
      <c r="IP103" vm="2812">
        <f ca="1"/>
        <v>4657.1000000000004</v>
      </c>
      <c r="IQ103" vm="2813">
        <f ca="1"/>
        <v>4553.1499999999996</v>
      </c>
      <c r="IR103" vm="2814">
        <f ca="1"/>
        <v>4483.8</v>
      </c>
    </row>
    <row r="104" spans="4:252" x14ac:dyDescent="0.35">
      <c r="D104" t="e" vm="11">
        <v>#VALUE!</v>
      </c>
      <c r="E104" cm="1" vm="2815">
        <f t="array" aca="1" ref="E104:IR104" ca="1">TRANSPOSE((_xlfn.STOCKHISTORY('Portfolio Tracker '!$C18,TODAY()-365,TODAY(),0,0,1)))</f>
        <v>432.4</v>
      </c>
      <c r="F104" vm="2816">
        <f ca="1"/>
        <v>430.5</v>
      </c>
      <c r="G104" vm="2817">
        <f ca="1"/>
        <v>439.65</v>
      </c>
      <c r="H104" vm="2818">
        <f ca="1"/>
        <v>444.25</v>
      </c>
      <c r="I104" vm="2819">
        <f ca="1"/>
        <v>448.65</v>
      </c>
      <c r="J104" vm="2820">
        <f ca="1"/>
        <v>441.8</v>
      </c>
      <c r="K104" vm="2821">
        <f ca="1"/>
        <v>437</v>
      </c>
      <c r="L104" vm="2822">
        <f ca="1"/>
        <v>456.1</v>
      </c>
      <c r="M104" vm="2823">
        <f ca="1"/>
        <v>504.4</v>
      </c>
      <c r="N104" vm="2824">
        <f ca="1"/>
        <v>518.79999999999995</v>
      </c>
      <c r="O104" vm="2825">
        <f ca="1"/>
        <v>533.75</v>
      </c>
      <c r="P104" vm="2826">
        <f ca="1"/>
        <v>538.70000000000005</v>
      </c>
      <c r="Q104" vm="2827">
        <f ca="1"/>
        <v>552.4</v>
      </c>
      <c r="R104" vm="2828">
        <f ca="1"/>
        <v>563.1</v>
      </c>
      <c r="S104" vm="1943">
        <f ca="1"/>
        <v>553.35</v>
      </c>
      <c r="T104" vm="2829">
        <f ca="1"/>
        <v>557.04999999999995</v>
      </c>
      <c r="U104" vm="2830">
        <f ca="1"/>
        <v>559.20000000000005</v>
      </c>
      <c r="V104" vm="2831">
        <f ca="1"/>
        <v>592.5</v>
      </c>
      <c r="W104" vm="2832">
        <f ca="1"/>
        <v>580.85</v>
      </c>
      <c r="X104" vm="2833">
        <f ca="1"/>
        <v>539.35</v>
      </c>
      <c r="Y104" vm="2834">
        <f ca="1"/>
        <v>524.45000000000005</v>
      </c>
      <c r="Z104" vm="2835">
        <f ca="1"/>
        <v>528.79999999999995</v>
      </c>
      <c r="AA104" vm="2836">
        <f ca="1"/>
        <v>543.04999999999995</v>
      </c>
      <c r="AB104" vm="2837">
        <f ca="1"/>
        <v>537.54999999999995</v>
      </c>
      <c r="AC104" vm="2838">
        <f ca="1"/>
        <v>552.70000000000005</v>
      </c>
      <c r="AD104" vm="2839">
        <f ca="1"/>
        <v>550.70000000000005</v>
      </c>
      <c r="AE104" vm="2840">
        <f ca="1"/>
        <v>561.5</v>
      </c>
      <c r="AF104" vm="2841">
        <f ca="1"/>
        <v>564.75</v>
      </c>
      <c r="AG104" vm="2842">
        <f ca="1"/>
        <v>565.04999999999995</v>
      </c>
      <c r="AH104" vm="2843">
        <f ca="1"/>
        <v>567.95000000000005</v>
      </c>
      <c r="AI104" vm="2844">
        <f ca="1"/>
        <v>575.25</v>
      </c>
      <c r="AJ104" vm="2845">
        <f ca="1"/>
        <v>575.29999999999995</v>
      </c>
      <c r="AK104" vm="2846">
        <f ca="1"/>
        <v>583</v>
      </c>
      <c r="AL104" vm="2847">
        <f ca="1"/>
        <v>581.5</v>
      </c>
      <c r="AM104" vm="2848">
        <f ca="1"/>
        <v>588.4</v>
      </c>
      <c r="AN104" vm="2849">
        <f ca="1"/>
        <v>586.75</v>
      </c>
      <c r="AO104" vm="1891">
        <f ca="1"/>
        <v>569.04999999999995</v>
      </c>
      <c r="AP104" vm="1890">
        <f ca="1"/>
        <v>562.35</v>
      </c>
      <c r="AQ104" vm="2850">
        <f ca="1"/>
        <v>551.75</v>
      </c>
      <c r="AR104" vm="2851">
        <f ca="1"/>
        <v>549.35</v>
      </c>
      <c r="AS104" vm="2852">
        <f ca="1"/>
        <v>589.15</v>
      </c>
      <c r="AT104" vm="2853">
        <f ca="1"/>
        <v>574.45000000000005</v>
      </c>
      <c r="AU104" vm="2854">
        <f ca="1"/>
        <v>584.35</v>
      </c>
      <c r="AV104" vm="2855">
        <f ca="1"/>
        <v>624.35</v>
      </c>
      <c r="AW104" vm="2856">
        <f ca="1"/>
        <v>614.5</v>
      </c>
      <c r="AX104" vm="2857">
        <f ca="1"/>
        <v>636.95000000000005</v>
      </c>
      <c r="AY104" vm="2858">
        <f ca="1"/>
        <v>639.4</v>
      </c>
      <c r="AZ104" vm="2859">
        <f ca="1"/>
        <v>643.35</v>
      </c>
      <c r="BA104" vm="2860">
        <f ca="1"/>
        <v>633.29999999999995</v>
      </c>
      <c r="BB104" vm="2861">
        <f ca="1"/>
        <v>722.1</v>
      </c>
      <c r="BC104" vm="2862">
        <f ca="1"/>
        <v>729.85</v>
      </c>
      <c r="BD104" vm="2863">
        <f ca="1"/>
        <v>718.15</v>
      </c>
      <c r="BE104" vm="2864">
        <f ca="1"/>
        <v>721.75</v>
      </c>
      <c r="BF104" vm="2865">
        <f ca="1"/>
        <v>727.15</v>
      </c>
      <c r="BG104" vm="2866">
        <f ca="1"/>
        <v>721.8</v>
      </c>
      <c r="BH104" vm="2867">
        <f ca="1"/>
        <v>754.6</v>
      </c>
      <c r="BI104" vm="2868">
        <f ca="1"/>
        <v>739.25</v>
      </c>
      <c r="BJ104" vm="2869">
        <f ca="1"/>
        <v>737.8</v>
      </c>
      <c r="BK104" vm="2870">
        <f ca="1"/>
        <v>734.75</v>
      </c>
      <c r="BL104" vm="2871">
        <f ca="1"/>
        <v>750.35</v>
      </c>
      <c r="BM104" vm="2872">
        <f ca="1"/>
        <v>755.7</v>
      </c>
      <c r="BN104" vm="2873">
        <f ca="1"/>
        <v>750.75</v>
      </c>
      <c r="BO104" vm="2874">
        <f ca="1"/>
        <v>734.25</v>
      </c>
      <c r="BP104" vm="2875">
        <f ca="1"/>
        <v>757.6</v>
      </c>
      <c r="BQ104" vm="2876">
        <f ca="1"/>
        <v>782.6</v>
      </c>
      <c r="BR104" vm="2877">
        <f ca="1"/>
        <v>793.4</v>
      </c>
      <c r="BS104" vm="2878">
        <f ca="1"/>
        <v>819.05</v>
      </c>
      <c r="BT104" vm="2879">
        <f ca="1"/>
        <v>799.05</v>
      </c>
      <c r="BU104" vm="2880">
        <f ca="1"/>
        <v>797.65</v>
      </c>
      <c r="BV104" vm="2881">
        <f ca="1"/>
        <v>777.15</v>
      </c>
      <c r="BW104" vm="2882">
        <f ca="1"/>
        <v>792.35</v>
      </c>
      <c r="BX104" vm="2883">
        <f ca="1"/>
        <v>791.8</v>
      </c>
      <c r="BY104" vm="2884">
        <f ca="1"/>
        <v>835.95</v>
      </c>
      <c r="BZ104" vm="2885">
        <f ca="1"/>
        <v>830.65</v>
      </c>
      <c r="CA104" vm="2886">
        <f ca="1"/>
        <v>828.25</v>
      </c>
      <c r="CB104" vm="2887">
        <f ca="1"/>
        <v>817.1</v>
      </c>
      <c r="CC104" vm="2888">
        <f ca="1"/>
        <v>830.2</v>
      </c>
      <c r="CD104" vm="2889">
        <f ca="1"/>
        <v>844.3</v>
      </c>
      <c r="CE104" vm="2890">
        <f ca="1"/>
        <v>849.9</v>
      </c>
      <c r="CF104" vm="2891">
        <f ca="1"/>
        <v>848.55</v>
      </c>
      <c r="CG104" vm="2892">
        <f ca="1"/>
        <v>848.9</v>
      </c>
      <c r="CH104" vm="2893">
        <f ca="1"/>
        <v>849.5</v>
      </c>
      <c r="CI104" vm="2894">
        <f ca="1"/>
        <v>846.85</v>
      </c>
      <c r="CJ104" vm="2895">
        <f ca="1"/>
        <v>848.3</v>
      </c>
      <c r="CK104" vm="2896">
        <f ca="1"/>
        <v>853.85</v>
      </c>
      <c r="CL104" vm="2897">
        <f ca="1"/>
        <v>883</v>
      </c>
      <c r="CM104" vm="2898">
        <f ca="1"/>
        <v>900.45</v>
      </c>
      <c r="CN104" vm="2899">
        <f ca="1"/>
        <v>929.1</v>
      </c>
      <c r="CO104" vm="2900">
        <f ca="1"/>
        <v>946</v>
      </c>
      <c r="CP104" vm="2901">
        <f ca="1"/>
        <v>902.8</v>
      </c>
      <c r="CQ104" vm="2902">
        <f ca="1"/>
        <v>884.05</v>
      </c>
      <c r="CR104" vm="2903">
        <f ca="1"/>
        <v>851.5</v>
      </c>
      <c r="CS104" vm="2904">
        <f ca="1"/>
        <v>808.7</v>
      </c>
      <c r="CT104" vm="2905">
        <f ca="1"/>
        <v>791.9</v>
      </c>
      <c r="CU104" vm="2906">
        <f ca="1"/>
        <v>783.35</v>
      </c>
      <c r="CV104" vm="2907">
        <f ca="1"/>
        <v>782.05</v>
      </c>
      <c r="CW104" vm="2908">
        <f ca="1"/>
        <v>761.25</v>
      </c>
      <c r="CX104" vm="2909">
        <f ca="1"/>
        <v>744.7</v>
      </c>
      <c r="CY104" vm="2910">
        <f ca="1"/>
        <v>730.35</v>
      </c>
      <c r="CZ104" vm="2911">
        <f ca="1"/>
        <v>705.1</v>
      </c>
      <c r="DA104" vm="2912">
        <f ca="1"/>
        <v>719.25</v>
      </c>
      <c r="DB104" vm="2913">
        <f ca="1"/>
        <v>758.45</v>
      </c>
      <c r="DC104" vm="2914">
        <f ca="1"/>
        <v>733.5</v>
      </c>
      <c r="DD104" vm="2915">
        <f ca="1"/>
        <v>762.3</v>
      </c>
      <c r="DE104" vm="2916">
        <f ca="1"/>
        <v>769.6</v>
      </c>
      <c r="DF104" vm="2917">
        <f ca="1"/>
        <v>773.35</v>
      </c>
      <c r="DG104" vm="2918">
        <f ca="1"/>
        <v>793.55</v>
      </c>
      <c r="DH104" vm="2919">
        <f ca="1"/>
        <v>799.1</v>
      </c>
      <c r="DI104" vm="2920">
        <f ca="1"/>
        <v>797.3</v>
      </c>
      <c r="DJ104" vm="2921">
        <f ca="1"/>
        <v>771.6</v>
      </c>
      <c r="DK104" vm="2922">
        <f ca="1"/>
        <v>762.65</v>
      </c>
      <c r="DL104" vm="2923">
        <f ca="1"/>
        <v>783.1</v>
      </c>
      <c r="DM104" vm="2924">
        <f ca="1"/>
        <v>802.05</v>
      </c>
      <c r="DN104" vm="2925">
        <f ca="1"/>
        <v>827.45</v>
      </c>
      <c r="DO104" vm="2926">
        <f ca="1"/>
        <v>837.55</v>
      </c>
      <c r="DP104" vm="2927">
        <f ca="1"/>
        <v>812.9</v>
      </c>
      <c r="DQ104" vm="2928">
        <f ca="1"/>
        <v>812.05</v>
      </c>
      <c r="DR104" vm="2929">
        <f ca="1"/>
        <v>792.85</v>
      </c>
      <c r="DS104" vm="2930">
        <f ca="1"/>
        <v>786.95</v>
      </c>
      <c r="DT104" vm="2931">
        <f ca="1"/>
        <v>807.15</v>
      </c>
      <c r="DU104" vm="2932">
        <f ca="1"/>
        <v>777.4</v>
      </c>
      <c r="DV104" vm="2933">
        <f ca="1"/>
        <v>747.95</v>
      </c>
      <c r="DW104" vm="2934">
        <f ca="1"/>
        <v>774.8</v>
      </c>
      <c r="DX104" vm="2935">
        <f ca="1"/>
        <v>789.9</v>
      </c>
      <c r="DY104" vm="2936">
        <f ca="1"/>
        <v>805.15</v>
      </c>
      <c r="DZ104" vm="2937">
        <f ca="1"/>
        <v>844</v>
      </c>
      <c r="EA104" vm="2938">
        <f ca="1"/>
        <v>867.15</v>
      </c>
      <c r="EB104" vm="2939">
        <f ca="1"/>
        <v>879.6</v>
      </c>
      <c r="EC104" vm="2940">
        <f ca="1"/>
        <v>884.75</v>
      </c>
      <c r="ED104" vm="2941">
        <f ca="1"/>
        <v>922.85</v>
      </c>
      <c r="EE104" vm="2942">
        <f ca="1"/>
        <v>901.85</v>
      </c>
      <c r="EF104" vm="2943">
        <f ca="1"/>
        <v>875.95</v>
      </c>
      <c r="EG104" vm="2944">
        <f ca="1"/>
        <v>901.15</v>
      </c>
      <c r="EH104" vm="2945">
        <f ca="1"/>
        <v>905.25</v>
      </c>
      <c r="EI104" vm="2946">
        <f ca="1"/>
        <v>908.5</v>
      </c>
      <c r="EJ104" vm="2947">
        <f ca="1"/>
        <v>902.05</v>
      </c>
      <c r="EK104" vm="2948">
        <f ca="1"/>
        <v>890.6</v>
      </c>
      <c r="EL104" vm="2949">
        <f ca="1"/>
        <v>873.65</v>
      </c>
      <c r="EM104" vm="2950">
        <f ca="1"/>
        <v>886.8</v>
      </c>
      <c r="EN104" vm="2951">
        <f ca="1"/>
        <v>898</v>
      </c>
      <c r="EO104" vm="2952">
        <f ca="1"/>
        <v>890.25</v>
      </c>
      <c r="EP104" vm="2953">
        <f ca="1"/>
        <v>882.8</v>
      </c>
      <c r="EQ104" vm="2954">
        <f ca="1"/>
        <v>883.15</v>
      </c>
      <c r="ER104" vm="2955">
        <f ca="1"/>
        <v>956.25</v>
      </c>
      <c r="ES104" vm="2956">
        <f ca="1"/>
        <v>931.2</v>
      </c>
      <c r="ET104" vm="2957">
        <f ca="1"/>
        <v>912.8</v>
      </c>
      <c r="EU104" vm="2958">
        <f ca="1"/>
        <v>942.9</v>
      </c>
      <c r="EV104" vm="2959">
        <f ca="1"/>
        <v>936.85</v>
      </c>
      <c r="EW104" vm="2960">
        <f ca="1"/>
        <v>953.6</v>
      </c>
      <c r="EX104" vm="2961">
        <f ca="1"/>
        <v>934</v>
      </c>
      <c r="EY104" vm="2962">
        <f ca="1"/>
        <v>930.4</v>
      </c>
      <c r="EZ104" vm="2963">
        <f ca="1"/>
        <v>948.3</v>
      </c>
      <c r="FA104" vm="2964">
        <f ca="1"/>
        <v>937.35</v>
      </c>
      <c r="FB104" vm="2965">
        <f ca="1"/>
        <v>933.45</v>
      </c>
      <c r="FC104" vm="2966">
        <f ca="1"/>
        <v>913.5</v>
      </c>
      <c r="FD104" vm="2967">
        <f ca="1"/>
        <v>931.55</v>
      </c>
      <c r="FE104" vm="2968">
        <f ca="1"/>
        <v>922.1</v>
      </c>
      <c r="FF104" vm="2969">
        <f ca="1"/>
        <v>915.65</v>
      </c>
      <c r="FG104" vm="2970">
        <f ca="1"/>
        <v>913</v>
      </c>
      <c r="FH104" vm="2971">
        <f ca="1"/>
        <v>906.05</v>
      </c>
      <c r="FI104" vm="2972">
        <f ca="1"/>
        <v>881.45</v>
      </c>
      <c r="FJ104" vm="2973">
        <f ca="1"/>
        <v>889.95</v>
      </c>
      <c r="FK104" vm="2974">
        <f ca="1"/>
        <v>893.5</v>
      </c>
      <c r="FL104" vm="2975">
        <f ca="1"/>
        <v>940.25</v>
      </c>
      <c r="FM104" vm="2976">
        <f ca="1"/>
        <v>939</v>
      </c>
      <c r="FN104" vm="2977">
        <f ca="1"/>
        <v>937.55</v>
      </c>
      <c r="FO104" vm="2978">
        <f ca="1"/>
        <v>926.95</v>
      </c>
      <c r="FP104" vm="2979">
        <f ca="1"/>
        <v>937.4</v>
      </c>
      <c r="FQ104" vm="2980">
        <f ca="1"/>
        <v>919.25</v>
      </c>
      <c r="FR104" vm="2981">
        <f ca="1"/>
        <v>921.75</v>
      </c>
      <c r="FS104" vm="2982">
        <f ca="1"/>
        <v>928.35</v>
      </c>
      <c r="FT104" vm="2983">
        <f ca="1"/>
        <v>934.85</v>
      </c>
      <c r="FU104" vm="2984">
        <f ca="1"/>
        <v>991.5</v>
      </c>
      <c r="FV104" vm="2985">
        <f ca="1"/>
        <v>1004.95</v>
      </c>
      <c r="FW104" vm="2986">
        <f ca="1"/>
        <v>1002.9</v>
      </c>
      <c r="FX104" vm="2987">
        <f ca="1"/>
        <v>1014.05</v>
      </c>
      <c r="FY104" vm="2988">
        <f ca="1"/>
        <v>1020.65</v>
      </c>
      <c r="FZ104" vm="2989">
        <f ca="1"/>
        <v>1073.55</v>
      </c>
      <c r="GA104" vm="1400">
        <f ca="1"/>
        <v>1033.2</v>
      </c>
      <c r="GB104" vm="774">
        <f ca="1"/>
        <v>1018.8</v>
      </c>
      <c r="GC104" vm="2990">
        <f ca="1"/>
        <v>1016.15</v>
      </c>
      <c r="GD104" vm="2991">
        <f ca="1"/>
        <v>1085.55</v>
      </c>
      <c r="GE104" vm="753">
        <f ca="1"/>
        <v>1075.8</v>
      </c>
      <c r="GF104" vm="2992">
        <f ca="1"/>
        <v>1010.55</v>
      </c>
      <c r="GG104" vm="2993">
        <f ca="1"/>
        <v>1059.0999999999999</v>
      </c>
      <c r="GH104" vm="1411">
        <f ca="1"/>
        <v>1036.2</v>
      </c>
      <c r="GI104" vm="698">
        <f ca="1"/>
        <v>1064.25</v>
      </c>
      <c r="GJ104" vm="2994">
        <f ca="1"/>
        <v>1085.8</v>
      </c>
      <c r="GK104" vm="2995">
        <f ca="1"/>
        <v>1100.5999999999999</v>
      </c>
      <c r="GL104" vm="2996">
        <f ca="1"/>
        <v>1069.8499999999999</v>
      </c>
      <c r="GM104" vm="2997">
        <f ca="1"/>
        <v>1067.3</v>
      </c>
      <c r="GN104" vm="2998">
        <f ca="1"/>
        <v>1067.8499999999999</v>
      </c>
      <c r="GO104" vm="2999">
        <f ca="1"/>
        <v>1048</v>
      </c>
      <c r="GP104" vm="3000">
        <f ca="1"/>
        <v>1056.8499999999999</v>
      </c>
      <c r="GQ104" vm="3001">
        <f ca="1"/>
        <v>1042.55</v>
      </c>
      <c r="GR104" vm="3002">
        <f ca="1"/>
        <v>1014.15</v>
      </c>
      <c r="GS104" vm="3003">
        <f ca="1"/>
        <v>985.15</v>
      </c>
      <c r="GT104" vm="3004">
        <f ca="1"/>
        <v>1005.9</v>
      </c>
      <c r="GU104" vm="3005">
        <f ca="1"/>
        <v>1038.4000000000001</v>
      </c>
      <c r="GV104" vm="3006">
        <f ca="1"/>
        <v>1026.45</v>
      </c>
      <c r="GW104" vm="3007">
        <f ca="1"/>
        <v>1020.2</v>
      </c>
      <c r="GX104" vm="3008">
        <f ca="1"/>
        <v>1043.4000000000001</v>
      </c>
      <c r="GY104" vm="3009">
        <f ca="1"/>
        <v>1021.55</v>
      </c>
      <c r="GZ104" vm="3010">
        <f ca="1"/>
        <v>999.4</v>
      </c>
      <c r="HA104" vm="3011">
        <f ca="1"/>
        <v>997.3</v>
      </c>
      <c r="HB104" vm="3012">
        <f ca="1"/>
        <v>1018.9</v>
      </c>
      <c r="HC104" vm="3013">
        <f ca="1"/>
        <v>999.25</v>
      </c>
      <c r="HD104" vm="3014">
        <f ca="1"/>
        <v>951</v>
      </c>
      <c r="HE104" vm="3015">
        <f ca="1"/>
        <v>938.8</v>
      </c>
      <c r="HF104" vm="3016">
        <f ca="1"/>
        <v>1002.15</v>
      </c>
      <c r="HG104" vm="3017">
        <f ca="1"/>
        <v>989.9</v>
      </c>
      <c r="HH104" vm="3018">
        <f ca="1"/>
        <v>998.9</v>
      </c>
      <c r="HI104" vm="3019">
        <f ca="1"/>
        <v>991.05</v>
      </c>
      <c r="HJ104" vm="3020">
        <f ca="1"/>
        <v>981.7</v>
      </c>
      <c r="HK104" vm="3021">
        <f ca="1"/>
        <v>942.6</v>
      </c>
      <c r="HL104" vm="3022">
        <f ca="1"/>
        <v>962.35</v>
      </c>
      <c r="HM104" vm="3023">
        <f ca="1"/>
        <v>942.85</v>
      </c>
      <c r="HN104" vm="3024">
        <f ca="1"/>
        <v>870.25</v>
      </c>
      <c r="HO104" vm="3025">
        <f ca="1"/>
        <v>809.8</v>
      </c>
      <c r="HP104" vm="2937">
        <f ca="1"/>
        <v>844</v>
      </c>
      <c r="HQ104" vm="3026">
        <f ca="1"/>
        <v>872.95</v>
      </c>
      <c r="HR104" vm="3027">
        <f ca="1"/>
        <v>848.45</v>
      </c>
      <c r="HS104" vm="3028">
        <f ca="1"/>
        <v>839.1</v>
      </c>
      <c r="HT104" vm="3029">
        <f ca="1"/>
        <v>840.85</v>
      </c>
      <c r="HU104" vm="3030">
        <f ca="1"/>
        <v>889.8</v>
      </c>
      <c r="HV104" vm="3031">
        <f ca="1"/>
        <v>920.25</v>
      </c>
      <c r="HW104" vm="3032">
        <f ca="1"/>
        <v>943.25</v>
      </c>
      <c r="HX104" vm="3033">
        <f ca="1"/>
        <v>960.15</v>
      </c>
      <c r="HY104" vm="3034">
        <f ca="1"/>
        <v>948.75</v>
      </c>
      <c r="HZ104" vm="3035">
        <f ca="1"/>
        <v>977.55</v>
      </c>
      <c r="IA104" vm="3036">
        <f ca="1"/>
        <v>973</v>
      </c>
      <c r="IB104" vm="3037">
        <f ca="1"/>
        <v>977.75</v>
      </c>
      <c r="IC104" vm="3038">
        <f ca="1"/>
        <v>983.3</v>
      </c>
      <c r="ID104" vm="3039">
        <f ca="1"/>
        <v>1005.25</v>
      </c>
      <c r="IE104" vm="3040">
        <f ca="1"/>
        <v>1023.8</v>
      </c>
      <c r="IF104" vm="3041">
        <f ca="1"/>
        <v>1001.3</v>
      </c>
      <c r="IG104" vm="3042">
        <f ca="1"/>
        <v>998.95</v>
      </c>
      <c r="IH104" vm="3043">
        <f ca="1"/>
        <v>972</v>
      </c>
      <c r="II104" vm="3044">
        <f ca="1"/>
        <v>988.25</v>
      </c>
      <c r="IJ104" vm="3045">
        <f ca="1"/>
        <v>1014.4</v>
      </c>
      <c r="IK104" vm="880">
        <f ca="1"/>
        <v>1061</v>
      </c>
      <c r="IL104" vm="3046">
        <f ca="1"/>
        <v>1166.25</v>
      </c>
      <c r="IM104" vm="3047">
        <f ca="1"/>
        <v>1155.7</v>
      </c>
      <c r="IN104" vm="3048">
        <f ca="1"/>
        <v>1126.45</v>
      </c>
      <c r="IO104" vm="3049">
        <f ca="1"/>
        <v>1148.5</v>
      </c>
      <c r="IP104" vm="3050">
        <f ca="1"/>
        <v>1142</v>
      </c>
      <c r="IQ104" vm="3051">
        <f ca="1"/>
        <v>1126.2</v>
      </c>
      <c r="IR104" vm="3052">
        <f ca="1"/>
        <v>1158.75</v>
      </c>
    </row>
    <row r="105" spans="4:252" x14ac:dyDescent="0.35">
      <c r="D105" t="e" vm="12">
        <v>#VALUE!</v>
      </c>
      <c r="E105" cm="1" vm="3053">
        <f t="array" aca="1" ref="E105:HA105" ca="1">TRANSPOSE((_xlfn.STOCKHISTORY('Portfolio Tracker '!$C19,TODAY()-365,TODAY(),0,0,1)))</f>
        <v>452.47879999999998</v>
      </c>
      <c r="F105" vm="3054">
        <f ca="1"/>
        <v>461.81200000000001</v>
      </c>
      <c r="G105" vm="3055">
        <f ca="1"/>
        <v>468.81200000000001</v>
      </c>
      <c r="H105" vm="3056">
        <f ca="1"/>
        <v>461.7287</v>
      </c>
      <c r="I105" vm="3057">
        <f ca="1"/>
        <v>464.9787</v>
      </c>
      <c r="J105" vm="3058">
        <f ca="1"/>
        <v>478.67849999999999</v>
      </c>
      <c r="K105" vm="3059">
        <f ca="1"/>
        <v>459.29539999999997</v>
      </c>
      <c r="L105" vm="3060">
        <f ca="1"/>
        <v>458.3954</v>
      </c>
      <c r="M105" vm="3061">
        <f ca="1"/>
        <v>460.07870000000003</v>
      </c>
      <c r="N105" vm="3062">
        <f ca="1"/>
        <v>457.99540000000002</v>
      </c>
      <c r="O105" vm="3063">
        <f ca="1"/>
        <v>459.87869999999998</v>
      </c>
      <c r="P105" vm="3064">
        <f ca="1"/>
        <v>459.67869999999999</v>
      </c>
      <c r="Q105" vm="3065">
        <f ca="1"/>
        <v>466.87869999999998</v>
      </c>
      <c r="R105" vm="3066">
        <f ca="1"/>
        <v>469.66199999999998</v>
      </c>
      <c r="S105" vm="3067">
        <f ca="1"/>
        <v>463.9787</v>
      </c>
      <c r="T105" vm="3068">
        <f ca="1"/>
        <v>461.87869999999998</v>
      </c>
      <c r="U105" vm="3069">
        <f ca="1"/>
        <v>484.96179999999998</v>
      </c>
      <c r="V105" vm="3070">
        <f ca="1"/>
        <v>509.19490000000002</v>
      </c>
      <c r="W105" vm="3071">
        <f ca="1"/>
        <v>528.22810000000004</v>
      </c>
      <c r="X105" vm="3072">
        <f ca="1"/>
        <v>526.3614</v>
      </c>
      <c r="Y105" vm="3073">
        <f ca="1"/>
        <v>552.67780000000005</v>
      </c>
      <c r="Z105" vm="3074">
        <f ca="1"/>
        <v>564.31100000000004</v>
      </c>
      <c r="AA105" vm="3075">
        <f ca="1"/>
        <v>559.22770000000003</v>
      </c>
      <c r="AB105" vm="3076">
        <f ca="1"/>
        <v>555.01110000000006</v>
      </c>
      <c r="AC105" vm="3077">
        <f ca="1"/>
        <v>562.74440000000004</v>
      </c>
      <c r="AD105" vm="3078">
        <f ca="1"/>
        <v>560.49440000000004</v>
      </c>
      <c r="AE105" vm="3079">
        <f ca="1"/>
        <v>566.06100000000004</v>
      </c>
      <c r="AF105" vm="3080">
        <f ca="1"/>
        <v>581.17750000000001</v>
      </c>
      <c r="AG105" vm="3081">
        <f ca="1"/>
        <v>578.49419999999998</v>
      </c>
      <c r="AH105" vm="3082">
        <f ca="1"/>
        <v>580.71090000000004</v>
      </c>
      <c r="AI105" vm="3083">
        <f ca="1"/>
        <v>609.74390000000005</v>
      </c>
      <c r="AJ105" vm="3084">
        <f ca="1"/>
        <v>597.29399999999998</v>
      </c>
      <c r="AK105" vm="3085">
        <f ca="1"/>
        <v>581.89419999999996</v>
      </c>
      <c r="AL105" vm="3086">
        <f ca="1"/>
        <v>569.77760000000001</v>
      </c>
      <c r="AM105" vm="3087">
        <f ca="1"/>
        <v>583.79420000000005</v>
      </c>
      <c r="AN105" vm="3088">
        <f ca="1"/>
        <v>579.62750000000005</v>
      </c>
      <c r="AO105" vm="3089">
        <f ca="1"/>
        <v>582.87750000000005</v>
      </c>
      <c r="AP105" vm="3090">
        <f ca="1"/>
        <v>580.72749999999996</v>
      </c>
      <c r="AQ105" vm="3091">
        <f ca="1"/>
        <v>572.92759999999998</v>
      </c>
      <c r="AR105" vm="3092">
        <f ca="1"/>
        <v>559.2944</v>
      </c>
      <c r="AS105" vm="3093">
        <f ca="1"/>
        <v>587.01080000000002</v>
      </c>
      <c r="AT105" vm="3094">
        <f ca="1"/>
        <v>580.51089999999999</v>
      </c>
      <c r="AU105" vm="3095">
        <f ca="1"/>
        <v>609.52719999999999</v>
      </c>
      <c r="AV105" vm="3096">
        <f ca="1"/>
        <v>639.99360000000001</v>
      </c>
      <c r="AW105" vm="3097">
        <f ca="1"/>
        <v>645.66020000000003</v>
      </c>
      <c r="AX105" vm="3098">
        <f ca="1"/>
        <v>673.54330000000004</v>
      </c>
      <c r="AY105" vm="3099">
        <f ca="1"/>
        <v>673.95989999999995</v>
      </c>
      <c r="AZ105" vm="3100">
        <f ca="1"/>
        <v>661.24339999999995</v>
      </c>
      <c r="BA105" vm="3101">
        <f ca="1"/>
        <v>652.14350000000002</v>
      </c>
      <c r="BB105" vm="3102">
        <f ca="1"/>
        <v>627.81039999999996</v>
      </c>
      <c r="BC105" vm="3103">
        <f ca="1"/>
        <v>613.66049999999996</v>
      </c>
      <c r="BD105" vm="3104">
        <f ca="1"/>
        <v>606.12729999999999</v>
      </c>
      <c r="BE105" vm="3105">
        <f ca="1"/>
        <v>616.04380000000003</v>
      </c>
      <c r="BF105" vm="3106">
        <f ca="1"/>
        <v>625.14369999999997</v>
      </c>
      <c r="BG105" vm="3107">
        <f ca="1"/>
        <v>622.99379999999996</v>
      </c>
      <c r="BH105" vm="3108">
        <f ca="1"/>
        <v>622.89380000000006</v>
      </c>
      <c r="BI105" vm="3109">
        <f ca="1"/>
        <v>630.84370000000001</v>
      </c>
      <c r="BJ105" vm="3110">
        <f ca="1"/>
        <v>662.37670000000003</v>
      </c>
      <c r="BK105" vm="3111">
        <f ca="1"/>
        <v>662.09339999999997</v>
      </c>
      <c r="BL105" vm="3112">
        <f ca="1"/>
        <v>658.22680000000003</v>
      </c>
      <c r="BM105" vm="3113">
        <f ca="1"/>
        <v>662.12670000000003</v>
      </c>
      <c r="BN105" vm="3114">
        <f ca="1"/>
        <v>668.57659999999998</v>
      </c>
      <c r="BO105" vm="3115">
        <f ca="1"/>
        <v>671.06</v>
      </c>
      <c r="BP105" vm="3116">
        <f ca="1"/>
        <v>660.61009999999999</v>
      </c>
      <c r="BQ105" vm="3117">
        <f ca="1"/>
        <v>649.71019999999999</v>
      </c>
      <c r="BR105" vm="3118">
        <f ca="1"/>
        <v>651.32680000000005</v>
      </c>
      <c r="BS105" vm="3119">
        <f ca="1"/>
        <v>676.25990000000002</v>
      </c>
      <c r="BT105" vm="3120">
        <f ca="1"/>
        <v>705.72630000000004</v>
      </c>
      <c r="BU105" vm="3121">
        <f ca="1"/>
        <v>734.39269999999999</v>
      </c>
      <c r="BV105" vm="3122">
        <f ca="1"/>
        <v>807.82529999999997</v>
      </c>
      <c r="BW105" vm="3123">
        <f ca="1"/>
        <v>805.32529999999997</v>
      </c>
      <c r="BX105" vm="3124">
        <f ca="1"/>
        <v>797.34199999999998</v>
      </c>
      <c r="BY105" vm="3125">
        <f ca="1"/>
        <v>801.97529999999995</v>
      </c>
      <c r="BZ105" vm="3126">
        <f ca="1"/>
        <v>882.2</v>
      </c>
      <c r="CA105" vm="3127">
        <f ca="1"/>
        <v>916.9</v>
      </c>
      <c r="CB105" vm="3128">
        <f ca="1"/>
        <v>887.2</v>
      </c>
      <c r="CC105" vm="3129">
        <f ca="1"/>
        <v>862.7</v>
      </c>
      <c r="CD105" vm="3130">
        <f ca="1"/>
        <v>838.45</v>
      </c>
      <c r="CE105" vm="3131">
        <f ca="1"/>
        <v>881.75</v>
      </c>
      <c r="CF105" vm="3132">
        <f ca="1"/>
        <v>861.5</v>
      </c>
      <c r="CG105" vm="3133">
        <f ca="1"/>
        <v>870.95</v>
      </c>
      <c r="CH105" vm="3134">
        <f ca="1"/>
        <v>854.05</v>
      </c>
      <c r="CI105" vm="3135">
        <f ca="1"/>
        <v>867.7</v>
      </c>
      <c r="CJ105" vm="3136">
        <f ca="1"/>
        <v>816.8</v>
      </c>
      <c r="CK105" vm="3137">
        <f ca="1"/>
        <v>810.95</v>
      </c>
      <c r="CL105" vm="3138">
        <f ca="1"/>
        <v>789.3</v>
      </c>
      <c r="CM105" vm="3139">
        <f ca="1"/>
        <v>797.25</v>
      </c>
      <c r="CN105" vm="3140">
        <f ca="1"/>
        <v>796.7</v>
      </c>
      <c r="CO105" vm="3141">
        <f ca="1"/>
        <v>820.85</v>
      </c>
      <c r="CP105" vm="3142">
        <f ca="1"/>
        <v>815.05</v>
      </c>
      <c r="CQ105" vm="3143">
        <f ca="1"/>
        <v>802.5</v>
      </c>
      <c r="CR105" vm="3144">
        <f ca="1"/>
        <v>806.9</v>
      </c>
      <c r="CS105" vm="3145">
        <f ca="1"/>
        <v>804.35</v>
      </c>
      <c r="CT105" vm="3146">
        <f ca="1"/>
        <v>787.45</v>
      </c>
      <c r="CU105" vm="3147">
        <f ca="1"/>
        <v>802.35</v>
      </c>
      <c r="CV105" vm="3148">
        <f ca="1"/>
        <v>793.6</v>
      </c>
      <c r="CW105" vm="3149">
        <f ca="1"/>
        <v>787.9</v>
      </c>
      <c r="CX105" vm="3150">
        <f ca="1"/>
        <v>779.9</v>
      </c>
      <c r="CY105" vm="3151">
        <f ca="1"/>
        <v>775.9</v>
      </c>
      <c r="CZ105" vm="3152">
        <f ca="1"/>
        <v>768.35</v>
      </c>
      <c r="DA105" vm="3153">
        <f ca="1"/>
        <v>760.1</v>
      </c>
      <c r="DB105" vm="3154">
        <f ca="1"/>
        <v>770.5</v>
      </c>
      <c r="DC105" vm="3155">
        <f ca="1"/>
        <v>776.65</v>
      </c>
      <c r="DD105" vm="3156">
        <f ca="1"/>
        <v>777.85</v>
      </c>
      <c r="DE105" vm="3157">
        <f ca="1"/>
        <v>764.9</v>
      </c>
      <c r="DF105" vm="3158">
        <f ca="1"/>
        <v>765.1</v>
      </c>
      <c r="DG105" vm="3159">
        <f ca="1"/>
        <v>753.65</v>
      </c>
      <c r="DH105" vm="3160">
        <f ca="1"/>
        <v>734</v>
      </c>
      <c r="DI105" vm="3161">
        <f ca="1"/>
        <v>736.15</v>
      </c>
      <c r="DJ105" vm="3162">
        <f ca="1"/>
        <v>726.3</v>
      </c>
      <c r="DK105" vm="3163">
        <f ca="1"/>
        <v>746.7</v>
      </c>
      <c r="DL105" vm="3164">
        <f ca="1"/>
        <v>767.6</v>
      </c>
      <c r="DM105" vm="3165">
        <f ca="1"/>
        <v>805.9</v>
      </c>
      <c r="DN105" vm="3166">
        <f ca="1"/>
        <v>816.75</v>
      </c>
      <c r="DO105" vm="3167">
        <f ca="1"/>
        <v>795.05</v>
      </c>
      <c r="DP105" vm="3168">
        <f ca="1"/>
        <v>799.15</v>
      </c>
      <c r="DQ105" vm="3169">
        <f ca="1"/>
        <v>792.05</v>
      </c>
      <c r="DR105" vm="3170">
        <f ca="1"/>
        <v>761.65</v>
      </c>
      <c r="DS105" vm="3171">
        <f ca="1"/>
        <v>769.65</v>
      </c>
      <c r="DT105" vm="3172">
        <f ca="1"/>
        <v>768.8</v>
      </c>
      <c r="DU105" vm="3173">
        <f ca="1"/>
        <v>767.05</v>
      </c>
      <c r="DV105" vm="3174">
        <f ca="1"/>
        <v>768.25</v>
      </c>
      <c r="DW105" vm="3175">
        <f ca="1"/>
        <v>806.6</v>
      </c>
      <c r="DX105" vm="3176">
        <f ca="1"/>
        <v>845.55</v>
      </c>
      <c r="DY105" vm="3177">
        <f ca="1"/>
        <v>849.65</v>
      </c>
      <c r="DZ105" vm="3178">
        <f ca="1"/>
        <v>842.15</v>
      </c>
      <c r="EA105" vm="3179">
        <f ca="1"/>
        <v>837.35</v>
      </c>
      <c r="EB105" vm="3180">
        <f ca="1"/>
        <v>828.4</v>
      </c>
      <c r="EC105" vm="3181">
        <f ca="1"/>
        <v>818.9</v>
      </c>
      <c r="ED105" vm="3182">
        <f ca="1"/>
        <v>808.65</v>
      </c>
      <c r="EE105" vm="3183">
        <f ca="1"/>
        <v>834.6</v>
      </c>
      <c r="EF105" vm="3184">
        <f ca="1"/>
        <v>876.3</v>
      </c>
      <c r="EG105" vm="3185">
        <f ca="1"/>
        <v>874.7</v>
      </c>
      <c r="EH105" vm="3186">
        <f ca="1"/>
        <v>847.9</v>
      </c>
      <c r="EI105" vm="3187">
        <f ca="1"/>
        <v>833.3</v>
      </c>
      <c r="EJ105" vm="3188">
        <f ca="1"/>
        <v>829.35</v>
      </c>
      <c r="EK105" vm="3189">
        <f ca="1"/>
        <v>822.3</v>
      </c>
      <c r="EL105" vm="3141">
        <f ca="1"/>
        <v>820.85</v>
      </c>
      <c r="EM105" vm="3190">
        <f ca="1"/>
        <v>831.5</v>
      </c>
      <c r="EN105" vm="3177">
        <f ca="1"/>
        <v>849.65</v>
      </c>
      <c r="EO105" vm="3191">
        <f ca="1"/>
        <v>891.35</v>
      </c>
      <c r="EP105" vm="3192">
        <f ca="1"/>
        <v>884.15</v>
      </c>
      <c r="EQ105" vm="3193">
        <f ca="1"/>
        <v>865.05</v>
      </c>
      <c r="ER105" vm="3194">
        <f ca="1"/>
        <v>864.2</v>
      </c>
      <c r="ES105" vm="3195">
        <f ca="1"/>
        <v>892.35</v>
      </c>
      <c r="ET105" vm="3196">
        <f ca="1"/>
        <v>866.2</v>
      </c>
      <c r="EU105" vm="3197">
        <f ca="1"/>
        <v>909.5</v>
      </c>
      <c r="EV105" vm="3198">
        <f ca="1"/>
        <v>953.75</v>
      </c>
      <c r="EW105" vm="3199">
        <f ca="1"/>
        <v>993.35</v>
      </c>
      <c r="EX105" vm="3200">
        <f ca="1"/>
        <v>1043</v>
      </c>
      <c r="EY105" vm="3201">
        <f ca="1"/>
        <v>1147.3</v>
      </c>
      <c r="EZ105" vm="3202">
        <f ca="1"/>
        <v>1162.5</v>
      </c>
      <c r="FA105" vm="3203">
        <f ca="1"/>
        <v>1111.95</v>
      </c>
      <c r="FB105" vm="3204">
        <f ca="1"/>
        <v>1153.75</v>
      </c>
      <c r="FC105" vm="3205">
        <f ca="1"/>
        <v>1124.2</v>
      </c>
      <c r="FD105" vm="3206">
        <f ca="1"/>
        <v>1152</v>
      </c>
      <c r="FE105" vm="3207">
        <f ca="1"/>
        <v>1267.2</v>
      </c>
      <c r="FF105" vm="3208">
        <f ca="1"/>
        <v>1282</v>
      </c>
      <c r="FG105" vm="3209">
        <f ca="1"/>
        <v>1264.0999999999999</v>
      </c>
      <c r="FH105" vm="3210">
        <f ca="1"/>
        <v>1331</v>
      </c>
      <c r="FI105" vm="3211">
        <f ca="1"/>
        <v>1298.8499999999999</v>
      </c>
      <c r="FJ105" vm="3212">
        <f ca="1"/>
        <v>1268.05</v>
      </c>
      <c r="FK105" vm="1438">
        <f ca="1"/>
        <v>1216.4000000000001</v>
      </c>
      <c r="FL105" vm="3213">
        <f ca="1"/>
        <v>1238.4000000000001</v>
      </c>
      <c r="FM105" vm="3214">
        <f ca="1"/>
        <v>1190.5</v>
      </c>
      <c r="FN105" vm="3215">
        <f ca="1"/>
        <v>1196.05</v>
      </c>
      <c r="FO105" vm="3216">
        <f ca="1"/>
        <v>1171.9000000000001</v>
      </c>
      <c r="FP105" vm="3217">
        <f ca="1"/>
        <v>1160.45</v>
      </c>
      <c r="FQ105" vm="3218">
        <f ca="1"/>
        <v>1102.45</v>
      </c>
      <c r="FR105" vm="3219">
        <f ca="1"/>
        <v>992.2</v>
      </c>
      <c r="FS105" vm="3220">
        <f ca="1"/>
        <v>1030.0999999999999</v>
      </c>
      <c r="FT105" vm="3221">
        <f ca="1"/>
        <v>1007.95</v>
      </c>
      <c r="FU105" vm="3222">
        <f ca="1"/>
        <v>1012.7</v>
      </c>
      <c r="FV105" vm="3223">
        <f ca="1"/>
        <v>919.75</v>
      </c>
      <c r="FW105" vm="3224">
        <f ca="1"/>
        <v>873.1</v>
      </c>
      <c r="FX105" vm="3225">
        <f ca="1"/>
        <v>829.45</v>
      </c>
      <c r="FY105" vm="3226">
        <f ca="1"/>
        <v>788.45</v>
      </c>
      <c r="FZ105" vm="2908">
        <f ca="1"/>
        <v>761.25</v>
      </c>
      <c r="GA105" vm="3227">
        <f ca="1"/>
        <v>799.3</v>
      </c>
      <c r="GB105" vm="3228">
        <f ca="1"/>
        <v>839.25</v>
      </c>
      <c r="GC105" vm="3229">
        <f ca="1"/>
        <v>881.2</v>
      </c>
      <c r="GD105" vm="3230">
        <f ca="1"/>
        <v>879.55</v>
      </c>
      <c r="GE105" vm="3231">
        <f ca="1"/>
        <v>923.5</v>
      </c>
      <c r="GF105" vm="3232">
        <f ca="1"/>
        <v>959.25</v>
      </c>
      <c r="GG105" vm="3233">
        <f ca="1"/>
        <v>911.3</v>
      </c>
      <c r="GH105" vm="3234">
        <f ca="1"/>
        <v>881.25</v>
      </c>
      <c r="GI105" vm="3235">
        <f ca="1"/>
        <v>909.6</v>
      </c>
      <c r="GJ105" vm="3236">
        <f ca="1"/>
        <v>903.1</v>
      </c>
      <c r="GK105" vm="3237">
        <f ca="1"/>
        <v>948.25</v>
      </c>
      <c r="GL105" vm="3238">
        <f ca="1"/>
        <v>995.65</v>
      </c>
      <c r="GM105" vm="3239">
        <f ca="1"/>
        <v>1008.7</v>
      </c>
      <c r="GN105" vm="3240">
        <f ca="1"/>
        <v>993.3</v>
      </c>
      <c r="GO105" vm="3241">
        <f ca="1"/>
        <v>988.7</v>
      </c>
      <c r="GP105" vm="3242">
        <f ca="1"/>
        <v>991.95</v>
      </c>
      <c r="GQ105" vm="3243">
        <f ca="1"/>
        <v>979.9</v>
      </c>
      <c r="GR105" vm="3244">
        <f ca="1"/>
        <v>930.9</v>
      </c>
      <c r="GS105" vm="3245">
        <f ca="1"/>
        <v>920.1</v>
      </c>
      <c r="GT105" vm="3246">
        <f ca="1"/>
        <v>902.85</v>
      </c>
      <c r="GU105" vm="3247">
        <f ca="1"/>
        <v>884.35</v>
      </c>
      <c r="GV105" vm="3248">
        <f ca="1"/>
        <v>928.55</v>
      </c>
      <c r="GW105" vm="3249">
        <f ca="1"/>
        <v>974.95</v>
      </c>
      <c r="GX105" vm="3250">
        <f ca="1"/>
        <v>957.7</v>
      </c>
      <c r="GY105" vm="3251">
        <f ca="1"/>
        <v>961.25</v>
      </c>
      <c r="GZ105" vm="3252">
        <f ca="1"/>
        <v>943.05</v>
      </c>
      <c r="HA105" vm="3253">
        <f ca="1"/>
        <v>921</v>
      </c>
    </row>
    <row r="106" spans="4:252" x14ac:dyDescent="0.35">
      <c r="D106" t="e" vm="13">
        <v>#VALUE!</v>
      </c>
      <c r="E106" cm="1" vm="2886">
        <f t="array" aca="1" ref="E106:IR106" ca="1">TRANSPOSE((_xlfn.STOCKHISTORY('Portfolio Tracker '!$C20,TODAY()-365,TODAY(),0,0,1)))</f>
        <v>828.25</v>
      </c>
      <c r="F106" vm="3254">
        <f ca="1"/>
        <v>829.25</v>
      </c>
      <c r="G106" vm="3255">
        <f ca="1"/>
        <v>828.95</v>
      </c>
      <c r="H106" vm="3256">
        <f ca="1"/>
        <v>871.45</v>
      </c>
      <c r="I106" vm="3257">
        <f ca="1"/>
        <v>855.6</v>
      </c>
      <c r="J106" vm="3258">
        <f ca="1"/>
        <v>854.8</v>
      </c>
      <c r="K106" vm="3259">
        <f ca="1"/>
        <v>848.1</v>
      </c>
      <c r="L106" vm="3260">
        <f ca="1"/>
        <v>848.65</v>
      </c>
      <c r="M106" vm="3261">
        <f ca="1"/>
        <v>855.55</v>
      </c>
      <c r="N106" vm="3262">
        <f ca="1"/>
        <v>864.3</v>
      </c>
      <c r="O106" vm="3263">
        <f ca="1"/>
        <v>868.15</v>
      </c>
      <c r="P106" vm="3264">
        <f ca="1"/>
        <v>868.7</v>
      </c>
      <c r="Q106" vm="3265">
        <f ca="1"/>
        <v>875.85</v>
      </c>
      <c r="R106" vm="3266">
        <f ca="1"/>
        <v>875</v>
      </c>
      <c r="S106" vm="3267">
        <f ca="1"/>
        <v>903.25</v>
      </c>
      <c r="T106" vm="3268">
        <f ca="1"/>
        <v>890.8</v>
      </c>
      <c r="U106" vm="3269">
        <f ca="1"/>
        <v>878.5</v>
      </c>
      <c r="V106" vm="3270">
        <f ca="1"/>
        <v>881.9</v>
      </c>
      <c r="W106" vm="3271">
        <f ca="1"/>
        <v>888.45</v>
      </c>
      <c r="X106" vm="3272">
        <f ca="1"/>
        <v>889.75</v>
      </c>
      <c r="Y106" vm="3273">
        <f ca="1"/>
        <v>895.95</v>
      </c>
      <c r="Z106" vm="3274">
        <f ca="1"/>
        <v>920.5</v>
      </c>
      <c r="AA106" vm="3275">
        <f ca="1"/>
        <v>918.85</v>
      </c>
      <c r="AB106" vm="645">
        <f ca="1"/>
        <v>928.9</v>
      </c>
      <c r="AC106" vm="3276">
        <f ca="1"/>
        <v>928.45</v>
      </c>
      <c r="AD106" vm="3277">
        <f ca="1"/>
        <v>912.65</v>
      </c>
      <c r="AE106" vm="3278">
        <f ca="1"/>
        <v>919.6</v>
      </c>
      <c r="AF106" vm="3279">
        <f ca="1"/>
        <v>913.45</v>
      </c>
      <c r="AG106" vm="3280">
        <f ca="1"/>
        <v>907.4</v>
      </c>
      <c r="AH106" vm="3281">
        <f ca="1"/>
        <v>917.9</v>
      </c>
      <c r="AI106" vm="3282">
        <f ca="1"/>
        <v>914.05</v>
      </c>
      <c r="AJ106" vm="3283">
        <f ca="1"/>
        <v>916.6</v>
      </c>
      <c r="AK106" vm="3284">
        <f ca="1"/>
        <v>917.1</v>
      </c>
      <c r="AL106" vm="3285">
        <f ca="1"/>
        <v>908</v>
      </c>
      <c r="AM106" vm="3286">
        <f ca="1"/>
        <v>916.4</v>
      </c>
      <c r="AN106" vm="3287">
        <f ca="1"/>
        <v>945.2</v>
      </c>
      <c r="AO106" vm="3288">
        <f ca="1"/>
        <v>1005.1</v>
      </c>
      <c r="AP106" vm="3289">
        <f ca="1"/>
        <v>982.35</v>
      </c>
      <c r="AQ106" vm="3290">
        <f ca="1"/>
        <v>955.5</v>
      </c>
      <c r="AR106" vm="3291">
        <f ca="1"/>
        <v>951.65</v>
      </c>
      <c r="AS106" vm="3292">
        <f ca="1"/>
        <v>956.8</v>
      </c>
      <c r="AT106" vm="3293">
        <f ca="1"/>
        <v>951.1</v>
      </c>
      <c r="AU106" vm="3294">
        <f ca="1"/>
        <v>978.5</v>
      </c>
      <c r="AV106" vm="3295">
        <f ca="1"/>
        <v>984</v>
      </c>
      <c r="AW106" vm="3296">
        <f ca="1"/>
        <v>987.65</v>
      </c>
      <c r="AX106" vm="3297">
        <f ca="1"/>
        <v>996.15</v>
      </c>
      <c r="AY106" vm="3298">
        <f ca="1"/>
        <v>985.25</v>
      </c>
      <c r="AZ106" vm="3299">
        <f ca="1"/>
        <v>981.15</v>
      </c>
      <c r="BA106" vm="3300">
        <f ca="1"/>
        <v>957.4</v>
      </c>
      <c r="BB106" vm="3301">
        <f ca="1"/>
        <v>994.6</v>
      </c>
      <c r="BC106" vm="3302">
        <f ca="1"/>
        <v>980.8</v>
      </c>
      <c r="BD106" vm="3303">
        <f ca="1"/>
        <v>962.55</v>
      </c>
      <c r="BE106" vm="3304">
        <f ca="1"/>
        <v>973.5</v>
      </c>
      <c r="BF106" vm="3305">
        <f ca="1"/>
        <v>995.45</v>
      </c>
      <c r="BG106" vm="3306">
        <f ca="1"/>
        <v>935.7</v>
      </c>
      <c r="BH106" vm="3307">
        <f ca="1"/>
        <v>943.7</v>
      </c>
      <c r="BI106" vm="3308">
        <f ca="1"/>
        <v>942</v>
      </c>
      <c r="BJ106" vm="3309">
        <f ca="1"/>
        <v>934.6</v>
      </c>
      <c r="BK106" vm="3310">
        <f ca="1"/>
        <v>931.5</v>
      </c>
      <c r="BL106" vm="3311">
        <f ca="1"/>
        <v>922.9</v>
      </c>
      <c r="BM106" vm="3312">
        <f ca="1"/>
        <v>923.85</v>
      </c>
      <c r="BN106" vm="3313">
        <f ca="1"/>
        <v>926.45</v>
      </c>
      <c r="BO106" vm="3314">
        <f ca="1"/>
        <v>925</v>
      </c>
      <c r="BP106" vm="3315">
        <f ca="1"/>
        <v>924.85</v>
      </c>
      <c r="BQ106" vm="3316">
        <f ca="1"/>
        <v>930.85</v>
      </c>
      <c r="BR106" vm="3317">
        <f ca="1"/>
        <v>922.55</v>
      </c>
      <c r="BS106" vm="3318">
        <f ca="1"/>
        <v>916.7</v>
      </c>
      <c r="BT106" vm="2980">
        <f ca="1"/>
        <v>919.25</v>
      </c>
      <c r="BU106" vm="3319">
        <f ca="1"/>
        <v>931.25</v>
      </c>
      <c r="BV106" vm="3320">
        <f ca="1"/>
        <v>926.5</v>
      </c>
      <c r="BW106" vm="3312">
        <f ca="1"/>
        <v>923.85</v>
      </c>
      <c r="BX106" vm="3321">
        <f ca="1"/>
        <v>912.45</v>
      </c>
      <c r="BY106" vm="3322">
        <f ca="1"/>
        <v>904.25</v>
      </c>
      <c r="BZ106" vm="3323">
        <f ca="1"/>
        <v>893</v>
      </c>
      <c r="CA106" vm="3324">
        <f ca="1"/>
        <v>898.65</v>
      </c>
      <c r="CB106" vm="3325">
        <f ca="1"/>
        <v>897</v>
      </c>
      <c r="CC106" vm="3326">
        <f ca="1"/>
        <v>891.55</v>
      </c>
      <c r="CD106" vm="3327">
        <f ca="1"/>
        <v>899.2</v>
      </c>
      <c r="CE106" vm="3328">
        <f ca="1"/>
        <v>911.45</v>
      </c>
      <c r="CF106" vm="3329">
        <f ca="1"/>
        <v>917.05</v>
      </c>
      <c r="CG106" vm="3127">
        <f ca="1"/>
        <v>916.9</v>
      </c>
      <c r="CH106" vm="3330">
        <f ca="1"/>
        <v>912.05</v>
      </c>
      <c r="CI106" vm="3331">
        <f ca="1"/>
        <v>898.3</v>
      </c>
      <c r="CJ106" vm="3332">
        <f ca="1"/>
        <v>902.35</v>
      </c>
      <c r="CK106" vm="3333">
        <f ca="1"/>
        <v>908.75</v>
      </c>
      <c r="CL106" vm="3334">
        <f ca="1"/>
        <v>928.25</v>
      </c>
      <c r="CM106" vm="3335">
        <f ca="1"/>
        <v>924.7</v>
      </c>
      <c r="CN106" vm="3283">
        <f ca="1"/>
        <v>916.6</v>
      </c>
      <c r="CO106" vm="3336">
        <f ca="1"/>
        <v>918</v>
      </c>
      <c r="CP106" vm="3337">
        <f ca="1"/>
        <v>919.85</v>
      </c>
      <c r="CQ106" vm="3338">
        <f ca="1"/>
        <v>919.65</v>
      </c>
      <c r="CR106" vm="3339">
        <f ca="1"/>
        <v>939.5</v>
      </c>
      <c r="CS106" vm="3340">
        <f ca="1"/>
        <v>955.7</v>
      </c>
      <c r="CT106" vm="3341">
        <f ca="1"/>
        <v>933</v>
      </c>
      <c r="CU106" vm="3342">
        <f ca="1"/>
        <v>915</v>
      </c>
      <c r="CV106" vm="2962">
        <f ca="1"/>
        <v>930.4</v>
      </c>
      <c r="CW106" vm="3343">
        <f ca="1"/>
        <v>941.95</v>
      </c>
      <c r="CX106" vm="3344">
        <f ca="1"/>
        <v>930.05</v>
      </c>
      <c r="CY106" vm="3345">
        <f ca="1"/>
        <v>924.1</v>
      </c>
      <c r="CZ106" vm="3346">
        <f ca="1"/>
        <v>922.95</v>
      </c>
      <c r="DA106" vm="3347">
        <f ca="1"/>
        <v>911.6</v>
      </c>
      <c r="DB106" vm="3348">
        <f ca="1"/>
        <v>906.7</v>
      </c>
      <c r="DC106" vm="3349">
        <f ca="1"/>
        <v>903.7</v>
      </c>
      <c r="DD106" vm="3350">
        <f ca="1"/>
        <v>910.7</v>
      </c>
      <c r="DE106" vm="3026">
        <f ca="1"/>
        <v>872.95</v>
      </c>
      <c r="DF106" vm="3351">
        <f ca="1"/>
        <v>874.8</v>
      </c>
      <c r="DG106" vm="3352">
        <f ca="1"/>
        <v>855.95</v>
      </c>
      <c r="DH106" vm="3353">
        <f ca="1"/>
        <v>852.75</v>
      </c>
      <c r="DI106" vm="3354">
        <f ca="1"/>
        <v>856.5</v>
      </c>
      <c r="DJ106" vm="3355">
        <f ca="1"/>
        <v>856.8</v>
      </c>
      <c r="DK106" vm="3356">
        <f ca="1"/>
        <v>839.5</v>
      </c>
      <c r="DL106" vm="3357">
        <f ca="1"/>
        <v>847.15</v>
      </c>
      <c r="DM106" vm="3358">
        <f ca="1"/>
        <v>857.45</v>
      </c>
      <c r="DN106" vm="3359">
        <f ca="1"/>
        <v>847.4</v>
      </c>
      <c r="DO106" vm="3360">
        <f ca="1"/>
        <v>845.65</v>
      </c>
      <c r="DP106" vm="3361">
        <f ca="1"/>
        <v>858.05</v>
      </c>
      <c r="DQ106" vm="3362">
        <f ca="1"/>
        <v>860.7</v>
      </c>
      <c r="DR106" vm="3363">
        <f ca="1"/>
        <v>836.6</v>
      </c>
      <c r="DS106" vm="3364">
        <f ca="1"/>
        <v>832.15</v>
      </c>
      <c r="DT106" vm="3365">
        <f ca="1"/>
        <v>829.15</v>
      </c>
      <c r="DU106" vm="3366">
        <f ca="1"/>
        <v>811.35</v>
      </c>
      <c r="DV106" vm="3367">
        <f ca="1"/>
        <v>816.55</v>
      </c>
      <c r="DW106" vm="3368">
        <f ca="1"/>
        <v>813.55</v>
      </c>
      <c r="DX106" vm="3369">
        <f ca="1"/>
        <v>832</v>
      </c>
      <c r="DY106" vm="3370">
        <f ca="1"/>
        <v>829.05</v>
      </c>
      <c r="DZ106" vm="3371">
        <f ca="1"/>
        <v>819.3</v>
      </c>
      <c r="EA106" vm="3372">
        <f ca="1"/>
        <v>811.5</v>
      </c>
      <c r="EB106" vm="3373">
        <f ca="1"/>
        <v>811</v>
      </c>
      <c r="EC106" vm="2887">
        <f ca="1"/>
        <v>817.1</v>
      </c>
      <c r="ED106" vm="3374">
        <f ca="1"/>
        <v>824.85</v>
      </c>
      <c r="EE106" vm="3375">
        <f ca="1"/>
        <v>840.95</v>
      </c>
      <c r="EF106" vm="3376">
        <f ca="1"/>
        <v>834.75</v>
      </c>
      <c r="EG106" vm="3225">
        <f ca="1"/>
        <v>829.45</v>
      </c>
      <c r="EH106" vm="3377">
        <f ca="1"/>
        <v>825.85</v>
      </c>
      <c r="EI106" vm="3378">
        <f ca="1"/>
        <v>841.05</v>
      </c>
      <c r="EJ106" vm="3183">
        <f ca="1"/>
        <v>834.6</v>
      </c>
      <c r="EK106" vm="3379">
        <f ca="1"/>
        <v>840.25</v>
      </c>
      <c r="EL106" vm="3380">
        <f ca="1"/>
        <v>853.7</v>
      </c>
      <c r="EM106" vm="3381">
        <f ca="1"/>
        <v>848.25</v>
      </c>
      <c r="EN106" vm="3260">
        <f ca="1"/>
        <v>848.65</v>
      </c>
      <c r="EO106" vm="3382">
        <f ca="1"/>
        <v>844.15</v>
      </c>
      <c r="EP106" vm="3383">
        <f ca="1"/>
        <v>845.1</v>
      </c>
      <c r="EQ106" vm="3384">
        <f ca="1"/>
        <v>836.75</v>
      </c>
      <c r="ER106" vm="3385">
        <f ca="1"/>
        <v>832.35</v>
      </c>
      <c r="ES106" vm="3386">
        <f ca="1"/>
        <v>831.35</v>
      </c>
      <c r="ET106" vm="3387">
        <f ca="1"/>
        <v>834.15</v>
      </c>
      <c r="EU106" vm="3388">
        <f ca="1"/>
        <v>836.65</v>
      </c>
      <c r="EV106" vm="3389">
        <f ca="1"/>
        <v>837.8</v>
      </c>
      <c r="EW106" vm="3028">
        <f ca="1"/>
        <v>839.1</v>
      </c>
      <c r="EX106" vm="3390">
        <f ca="1"/>
        <v>837.5</v>
      </c>
      <c r="EY106" vm="3391">
        <f ca="1"/>
        <v>840.35</v>
      </c>
      <c r="EZ106" vm="3392">
        <f ca="1"/>
        <v>867.2</v>
      </c>
      <c r="FA106" vm="3393">
        <f ca="1"/>
        <v>882.7</v>
      </c>
      <c r="FB106" vm="3394">
        <f ca="1"/>
        <v>879.1</v>
      </c>
      <c r="FC106" vm="3395">
        <f ca="1"/>
        <v>904.3</v>
      </c>
      <c r="FD106" vm="3396">
        <f ca="1"/>
        <v>894.65</v>
      </c>
      <c r="FE106" vm="3397">
        <f ca="1"/>
        <v>913.2</v>
      </c>
      <c r="FF106" vm="3398">
        <f ca="1"/>
        <v>935.2</v>
      </c>
      <c r="FG106" vm="3399">
        <f ca="1"/>
        <v>936.4</v>
      </c>
      <c r="FH106" vm="3400">
        <f ca="1"/>
        <v>925.7</v>
      </c>
      <c r="FI106" vm="3401">
        <f ca="1"/>
        <v>884.85</v>
      </c>
      <c r="FJ106" vm="3402">
        <f ca="1"/>
        <v>914.3</v>
      </c>
      <c r="FK106" vm="3403">
        <f ca="1"/>
        <v>916.65</v>
      </c>
      <c r="FL106" vm="3404">
        <f ca="1"/>
        <v>908.8</v>
      </c>
      <c r="FM106" vm="2901">
        <f ca="1"/>
        <v>902.8</v>
      </c>
      <c r="FN106" vm="3405">
        <f ca="1"/>
        <v>897.9</v>
      </c>
      <c r="FO106" vm="3406">
        <f ca="1"/>
        <v>896.05</v>
      </c>
      <c r="FP106" vm="3407">
        <f ca="1"/>
        <v>903.65</v>
      </c>
      <c r="FQ106" vm="3197">
        <f ca="1"/>
        <v>909.5</v>
      </c>
      <c r="FR106" vm="3408">
        <f ca="1"/>
        <v>903.75</v>
      </c>
      <c r="FS106" vm="3409">
        <f ca="1"/>
        <v>900.7</v>
      </c>
      <c r="FT106" vm="3410">
        <f ca="1"/>
        <v>903.8</v>
      </c>
      <c r="FU106" vm="3411">
        <f ca="1"/>
        <v>890.75</v>
      </c>
      <c r="FV106" vm="3412">
        <f ca="1"/>
        <v>895.15</v>
      </c>
      <c r="FW106" vm="3413">
        <f ca="1"/>
        <v>892.65</v>
      </c>
      <c r="FX106" vm="3414">
        <f ca="1"/>
        <v>889.85</v>
      </c>
      <c r="FY106" vm="3415">
        <f ca="1"/>
        <v>922.5</v>
      </c>
      <c r="FZ106" vm="3416">
        <f ca="1"/>
        <v>945.3</v>
      </c>
      <c r="GA106" vm="3417">
        <f ca="1"/>
        <v>934.9</v>
      </c>
      <c r="GB106" vm="3400">
        <f ca="1"/>
        <v>925.7</v>
      </c>
      <c r="GC106" vm="3418">
        <f ca="1"/>
        <v>883.95</v>
      </c>
      <c r="GD106" vm="3419">
        <f ca="1"/>
        <v>889.6</v>
      </c>
      <c r="GE106" vm="3420">
        <f ca="1"/>
        <v>884.4</v>
      </c>
      <c r="GF106" vm="3421">
        <f ca="1"/>
        <v>856.3</v>
      </c>
      <c r="GG106" vm="3422">
        <f ca="1"/>
        <v>867.75</v>
      </c>
      <c r="GH106" vm="3423">
        <f ca="1"/>
        <v>866.55</v>
      </c>
      <c r="GI106" vm="3424">
        <f ca="1"/>
        <v>856.2</v>
      </c>
      <c r="GJ106" vm="3425">
        <f ca="1"/>
        <v>857.4</v>
      </c>
      <c r="GK106" vm="3426">
        <f ca="1"/>
        <v>876.05</v>
      </c>
      <c r="GL106" vm="3194">
        <f ca="1"/>
        <v>864.2</v>
      </c>
      <c r="GM106" vm="3427">
        <f ca="1"/>
        <v>873.9</v>
      </c>
      <c r="GN106" vm="3428">
        <f ca="1"/>
        <v>855.8</v>
      </c>
      <c r="GO106" vm="3429">
        <f ca="1"/>
        <v>869.1</v>
      </c>
      <c r="GP106" vm="3430">
        <f ca="1"/>
        <v>862.3</v>
      </c>
      <c r="GQ106" vm="3431">
        <f ca="1"/>
        <v>852.8</v>
      </c>
      <c r="GR106" vm="3432">
        <f ca="1"/>
        <v>841.95</v>
      </c>
      <c r="GS106" vm="3433">
        <f ca="1"/>
        <v>829.85</v>
      </c>
      <c r="GT106" vm="3434">
        <f ca="1"/>
        <v>835.6</v>
      </c>
      <c r="GU106" vm="3435">
        <f ca="1"/>
        <v>827.35</v>
      </c>
      <c r="GV106" vm="3436">
        <f ca="1"/>
        <v>836.4</v>
      </c>
      <c r="GW106" vm="3437">
        <f ca="1"/>
        <v>836.5</v>
      </c>
      <c r="GX106" vm="3438">
        <f ca="1"/>
        <v>838.4</v>
      </c>
      <c r="GY106" vm="3439">
        <f ca="1"/>
        <v>834.1</v>
      </c>
      <c r="GZ106" vm="3440">
        <f ca="1"/>
        <v>826</v>
      </c>
      <c r="HA106" vm="3441">
        <f ca="1"/>
        <v>822.5</v>
      </c>
      <c r="HB106" vm="3260">
        <f ca="1"/>
        <v>848.65</v>
      </c>
      <c r="HC106" vm="3376">
        <f ca="1"/>
        <v>834.75</v>
      </c>
      <c r="HD106" vm="3442">
        <f ca="1"/>
        <v>872.65</v>
      </c>
      <c r="HE106" vm="3443">
        <f ca="1"/>
        <v>849.05</v>
      </c>
      <c r="HF106" vm="3444">
        <f ca="1"/>
        <v>846.95</v>
      </c>
      <c r="HG106" vm="3381">
        <f ca="1"/>
        <v>848.25</v>
      </c>
      <c r="HH106" vm="3445">
        <f ca="1"/>
        <v>856</v>
      </c>
      <c r="HI106" vm="3446">
        <f ca="1"/>
        <v>839.9</v>
      </c>
      <c r="HJ106" vm="3447">
        <f ca="1"/>
        <v>827.9</v>
      </c>
      <c r="HK106" vm="3448">
        <f ca="1"/>
        <v>824.55</v>
      </c>
      <c r="HL106" vm="3449">
        <f ca="1"/>
        <v>831.4</v>
      </c>
      <c r="HM106" vm="3450">
        <f ca="1"/>
        <v>823.3</v>
      </c>
      <c r="HN106" vm="3165">
        <f ca="1"/>
        <v>805.9</v>
      </c>
      <c r="HO106" vm="3451">
        <f ca="1"/>
        <v>785.15</v>
      </c>
      <c r="HP106" vm="3452">
        <f ca="1"/>
        <v>801.85</v>
      </c>
      <c r="HQ106" vm="3453">
        <f ca="1"/>
        <v>792.6</v>
      </c>
      <c r="HR106" vm="3454">
        <f ca="1"/>
        <v>787.15</v>
      </c>
      <c r="HS106" vm="3455">
        <f ca="1"/>
        <v>783.7</v>
      </c>
      <c r="HT106" vm="3456">
        <f ca="1"/>
        <v>775.6</v>
      </c>
      <c r="HU106" vm="3457">
        <f ca="1"/>
        <v>779.65</v>
      </c>
      <c r="HV106" vm="3458">
        <f ca="1"/>
        <v>777.6</v>
      </c>
      <c r="HW106" vm="3459">
        <f ca="1"/>
        <v>765.55</v>
      </c>
      <c r="HX106" vm="3460">
        <f ca="1"/>
        <v>752</v>
      </c>
      <c r="HY106" vm="3461">
        <f ca="1"/>
        <v>744.4</v>
      </c>
      <c r="HZ106" vm="3462">
        <f ca="1"/>
        <v>796.5</v>
      </c>
      <c r="IA106" vm="3463">
        <f ca="1"/>
        <v>806.8</v>
      </c>
      <c r="IB106" vm="3464">
        <f ca="1"/>
        <v>818.45</v>
      </c>
      <c r="IC106" vm="3465">
        <f ca="1"/>
        <v>821.75</v>
      </c>
      <c r="ID106" vm="3466">
        <f ca="1"/>
        <v>824.35</v>
      </c>
      <c r="IE106" vm="3467">
        <f ca="1"/>
        <v>816.65</v>
      </c>
      <c r="IF106" vm="3468">
        <f ca="1"/>
        <v>821.6</v>
      </c>
      <c r="IG106" vm="3469">
        <f ca="1"/>
        <v>818.85</v>
      </c>
      <c r="IH106" vm="3470">
        <f ca="1"/>
        <v>821.95</v>
      </c>
      <c r="II106" vm="3471">
        <f ca="1"/>
        <v>801.05</v>
      </c>
      <c r="IJ106" vm="3472">
        <f ca="1"/>
        <v>813.05</v>
      </c>
      <c r="IK106" vm="3473">
        <f ca="1"/>
        <v>808.9</v>
      </c>
      <c r="IL106" vm="3474">
        <f ca="1"/>
        <v>812.35</v>
      </c>
      <c r="IM106" vm="3475">
        <f ca="1"/>
        <v>809.35</v>
      </c>
      <c r="IN106" vm="3476">
        <f ca="1"/>
        <v>811.15</v>
      </c>
      <c r="IO106" vm="2878">
        <f ca="1"/>
        <v>819.05</v>
      </c>
      <c r="IP106" vm="3477">
        <f ca="1"/>
        <v>819.85</v>
      </c>
      <c r="IQ106" vm="3478">
        <f ca="1"/>
        <v>817.45</v>
      </c>
      <c r="IR106" vm="3479">
        <f ca="1"/>
        <v>814.3</v>
      </c>
    </row>
    <row r="107" spans="4:252" x14ac:dyDescent="0.35">
      <c r="D107" t="e" vm="14">
        <v>#VALUE!</v>
      </c>
      <c r="E107" cm="1" vm="3480">
        <f t="array" aca="1" ref="E107:IR107" ca="1">TRANSPOSE((_xlfn.STOCKHISTORY('Portfolio Tracker '!$C21,TODAY()-365,TODAY(),0,0,1)))</f>
        <v>112.6</v>
      </c>
      <c r="F107" vm="3481">
        <f ca="1"/>
        <v>113.65</v>
      </c>
      <c r="G107" vm="3482">
        <f ca="1"/>
        <v>112</v>
      </c>
      <c r="H107" vm="3483">
        <f ca="1"/>
        <v>103.4</v>
      </c>
      <c r="I107" vm="3484">
        <f ca="1"/>
        <v>103.8</v>
      </c>
      <c r="J107" vm="3485">
        <f ca="1"/>
        <v>102.85</v>
      </c>
      <c r="K107" vm="3486">
        <f ca="1"/>
        <v>100.75</v>
      </c>
      <c r="L107" vm="3487">
        <f ca="1"/>
        <v>100.25</v>
      </c>
      <c r="M107" vm="3488">
        <f ca="1"/>
        <v>101.6</v>
      </c>
      <c r="N107" vm="3489">
        <f ca="1"/>
        <v>102.4</v>
      </c>
      <c r="O107" vm="3490">
        <f ca="1"/>
        <v>101.5</v>
      </c>
      <c r="P107" vm="3483">
        <f ca="1"/>
        <v>103.4</v>
      </c>
      <c r="Q107" vm="3491">
        <f ca="1"/>
        <v>104.55</v>
      </c>
      <c r="R107" vm="3492">
        <f ca="1"/>
        <v>103.05</v>
      </c>
      <c r="S107" vm="3493">
        <f ca="1"/>
        <v>105.7</v>
      </c>
      <c r="T107" vm="3494">
        <f ca="1"/>
        <v>109.75</v>
      </c>
      <c r="U107" vm="3495">
        <f ca="1"/>
        <v>106.4</v>
      </c>
      <c r="V107" vm="3496">
        <f ca="1"/>
        <v>108.1</v>
      </c>
      <c r="W107" vm="3497">
        <f ca="1"/>
        <v>104.3</v>
      </c>
      <c r="X107" vm="3498">
        <f ca="1"/>
        <v>105.55</v>
      </c>
      <c r="Y107" vm="3499">
        <f ca="1"/>
        <v>105.25</v>
      </c>
      <c r="Z107" vm="3500">
        <f ca="1"/>
        <v>107.25</v>
      </c>
      <c r="AA107" vm="3501">
        <f ca="1"/>
        <v>108.4</v>
      </c>
      <c r="AB107" vm="3502">
        <f ca="1"/>
        <v>112.3</v>
      </c>
      <c r="AC107" vm="3503">
        <f ca="1"/>
        <v>120.95</v>
      </c>
      <c r="AD107" vm="3504">
        <f ca="1"/>
        <v>136</v>
      </c>
      <c r="AE107" vm="3505">
        <f ca="1"/>
        <v>137.19999999999999</v>
      </c>
      <c r="AF107" vm="3506">
        <f ca="1"/>
        <v>130.55000000000001</v>
      </c>
      <c r="AG107" vm="3507">
        <f ca="1"/>
        <v>139.75</v>
      </c>
      <c r="AH107" vm="3508">
        <f ca="1"/>
        <v>143.30000000000001</v>
      </c>
      <c r="AI107" vm="3509">
        <f ca="1"/>
        <v>152.75</v>
      </c>
      <c r="AJ107" vm="3510">
        <f ca="1"/>
        <v>147</v>
      </c>
      <c r="AK107" vm="3511">
        <f ca="1"/>
        <v>145.69999999999999</v>
      </c>
      <c r="AL107" vm="3512">
        <f ca="1"/>
        <v>144.15</v>
      </c>
      <c r="AM107" vm="3513">
        <f ca="1"/>
        <v>152.6</v>
      </c>
      <c r="AN107" vm="3514">
        <f ca="1"/>
        <v>149.80000000000001</v>
      </c>
      <c r="AO107" vm="3515">
        <f ca="1"/>
        <v>148.35</v>
      </c>
      <c r="AP107" vm="3516">
        <f ca="1"/>
        <v>149.75</v>
      </c>
      <c r="AQ107" vm="3517">
        <f ca="1"/>
        <v>146.05000000000001</v>
      </c>
      <c r="AR107" vm="3518">
        <f ca="1"/>
        <v>152.05000000000001</v>
      </c>
      <c r="AS107" vm="3519">
        <f ca="1"/>
        <v>157.4</v>
      </c>
      <c r="AT107" vm="3520">
        <f ca="1"/>
        <v>153.19999999999999</v>
      </c>
      <c r="AU107" vm="3521">
        <f ca="1"/>
        <v>155</v>
      </c>
      <c r="AV107" vm="3522">
        <f ca="1"/>
        <v>153.35</v>
      </c>
      <c r="AW107" vm="3523">
        <f ca="1"/>
        <v>155.25</v>
      </c>
      <c r="AX107" vm="3524">
        <f ca="1"/>
        <v>156.05000000000001</v>
      </c>
      <c r="AY107" vm="3525">
        <f ca="1"/>
        <v>153.80000000000001</v>
      </c>
      <c r="AZ107" vm="3526">
        <f ca="1"/>
        <v>167</v>
      </c>
      <c r="BA107" vm="574">
        <f ca="1"/>
        <v>159.9</v>
      </c>
      <c r="BB107" vm="3527">
        <f ca="1"/>
        <v>161.6</v>
      </c>
      <c r="BC107" vm="444">
        <f ca="1"/>
        <v>166.75</v>
      </c>
      <c r="BD107" vm="442">
        <f ca="1"/>
        <v>163.9</v>
      </c>
      <c r="BE107" vm="3528">
        <f ca="1"/>
        <v>166.9</v>
      </c>
      <c r="BF107" vm="3529">
        <f ca="1"/>
        <v>167.75</v>
      </c>
      <c r="BG107" vm="3530">
        <f ca="1"/>
        <v>167.5</v>
      </c>
      <c r="BH107" vm="3531">
        <f ca="1"/>
        <v>166.15</v>
      </c>
      <c r="BI107" vm="578">
        <f ca="1"/>
        <v>166.05</v>
      </c>
      <c r="BJ107" vm="3532">
        <f ca="1"/>
        <v>168.55</v>
      </c>
      <c r="BK107" vm="3533">
        <f ca="1"/>
        <v>169.45</v>
      </c>
      <c r="BL107" vm="3530">
        <f ca="1"/>
        <v>167.5</v>
      </c>
      <c r="BM107" vm="3534">
        <f ca="1"/>
        <v>166.8</v>
      </c>
      <c r="BN107" vm="3535">
        <f ca="1"/>
        <v>176.65</v>
      </c>
      <c r="BO107" vm="3536">
        <f ca="1"/>
        <v>178.1</v>
      </c>
      <c r="BP107" vm="3537">
        <f ca="1"/>
        <v>191.75</v>
      </c>
      <c r="BQ107" vm="635">
        <f ca="1"/>
        <v>200.9</v>
      </c>
      <c r="BR107" vm="3538">
        <f ca="1"/>
        <v>191.65</v>
      </c>
      <c r="BS107" vm="3539">
        <f ca="1"/>
        <v>195.95</v>
      </c>
      <c r="BT107" vm="3540">
        <f ca="1"/>
        <v>211.4</v>
      </c>
      <c r="BU107" vm="3541">
        <f ca="1"/>
        <v>233.2</v>
      </c>
      <c r="BV107" vm="3542">
        <f ca="1"/>
        <v>224</v>
      </c>
      <c r="BW107" vm="3543">
        <f ca="1"/>
        <v>228.3</v>
      </c>
      <c r="BX107" vm="3544">
        <f ca="1"/>
        <v>219.2</v>
      </c>
      <c r="BY107" vm="3545">
        <f ca="1"/>
        <v>222.45</v>
      </c>
      <c r="BZ107" vm="3546">
        <f ca="1"/>
        <v>232</v>
      </c>
      <c r="CA107" vm="3547">
        <f ca="1"/>
        <v>245.55</v>
      </c>
      <c r="CB107" vm="3548">
        <f ca="1"/>
        <v>257.64999999999998</v>
      </c>
      <c r="CC107" vm="3549">
        <f ca="1"/>
        <v>264.7</v>
      </c>
      <c r="CD107" vm="3550">
        <f ca="1"/>
        <v>260.05</v>
      </c>
      <c r="CE107" vm="3551">
        <f ca="1"/>
        <v>279.85000000000002</v>
      </c>
      <c r="CF107" vm="3552">
        <f ca="1"/>
        <v>286.10000000000002</v>
      </c>
      <c r="CG107" vm="3553">
        <f ca="1"/>
        <v>288.75</v>
      </c>
      <c r="CH107" vm="3554">
        <f ca="1"/>
        <v>282.60000000000002</v>
      </c>
      <c r="CI107" vm="3555">
        <f ca="1"/>
        <v>282.64999999999998</v>
      </c>
      <c r="CJ107" vm="3556">
        <f ca="1"/>
        <v>278.10000000000002</v>
      </c>
      <c r="CK107" vm="3557">
        <f ca="1"/>
        <v>262.2</v>
      </c>
      <c r="CL107" vm="3558">
        <f ca="1"/>
        <v>268.14999999999998</v>
      </c>
      <c r="CM107" vm="3559">
        <f ca="1"/>
        <v>274.3</v>
      </c>
      <c r="CN107" vm="3560">
        <f ca="1"/>
        <v>281.85000000000002</v>
      </c>
      <c r="CO107" vm="3561">
        <f ca="1"/>
        <v>279.10000000000002</v>
      </c>
      <c r="CP107" vm="3562">
        <f ca="1"/>
        <v>271.8</v>
      </c>
      <c r="CQ107" vm="3563">
        <f ca="1"/>
        <v>273.64999999999998</v>
      </c>
      <c r="CR107" vm="3564">
        <f ca="1"/>
        <v>269.60000000000002</v>
      </c>
      <c r="CS107" vm="3565">
        <f ca="1"/>
        <v>269.45</v>
      </c>
      <c r="CT107" vm="3566">
        <f ca="1"/>
        <v>244.35</v>
      </c>
      <c r="CU107" vm="3567">
        <f ca="1"/>
        <v>262.89999999999998</v>
      </c>
      <c r="CV107" vm="3568">
        <f ca="1"/>
        <v>261.10000000000002</v>
      </c>
      <c r="CW107" vm="3569">
        <f ca="1"/>
        <v>265.7</v>
      </c>
      <c r="CX107" vm="3570">
        <f ca="1"/>
        <v>264.8</v>
      </c>
      <c r="CY107" vm="3571">
        <f ca="1"/>
        <v>255.5</v>
      </c>
      <c r="CZ107" vm="3572">
        <f ca="1"/>
        <v>247.55</v>
      </c>
      <c r="DA107" vm="3573">
        <f ca="1"/>
        <v>249.55</v>
      </c>
      <c r="DB107" vm="3574">
        <f ca="1"/>
        <v>257.35000000000002</v>
      </c>
      <c r="DC107" vm="3575">
        <f ca="1"/>
        <v>255.8</v>
      </c>
      <c r="DD107" vm="3576">
        <f ca="1"/>
        <v>253.85</v>
      </c>
      <c r="DE107" vm="3577">
        <f ca="1"/>
        <v>251</v>
      </c>
      <c r="DF107" vm="3578">
        <f ca="1"/>
        <v>266.89999999999998</v>
      </c>
      <c r="DG107" vm="3579">
        <f ca="1"/>
        <v>281.14999999999998</v>
      </c>
      <c r="DH107" vm="3580">
        <f ca="1"/>
        <v>277.8</v>
      </c>
      <c r="DI107" vm="3581">
        <f ca="1"/>
        <v>277.7</v>
      </c>
      <c r="DJ107" vm="3582">
        <f ca="1"/>
        <v>290.95</v>
      </c>
      <c r="DK107" vm="3583">
        <f ca="1"/>
        <v>278.2</v>
      </c>
      <c r="DL107" vm="3584">
        <f ca="1"/>
        <v>286.7</v>
      </c>
      <c r="DM107" vm="3585">
        <f ca="1"/>
        <v>303.75</v>
      </c>
      <c r="DN107" vm="3586">
        <f ca="1"/>
        <v>297.39999999999998</v>
      </c>
      <c r="DO107" vm="3587">
        <f ca="1"/>
        <v>292.25</v>
      </c>
      <c r="DP107" vm="3588">
        <f ca="1"/>
        <v>284.10000000000002</v>
      </c>
      <c r="DQ107" vm="3589">
        <f ca="1"/>
        <v>291.64999999999998</v>
      </c>
      <c r="DR107" vm="3590">
        <f ca="1"/>
        <v>288.45</v>
      </c>
      <c r="DS107" vm="3591">
        <f ca="1"/>
        <v>295.60000000000002</v>
      </c>
      <c r="DT107" vm="3592">
        <f ca="1"/>
        <v>288.64999999999998</v>
      </c>
      <c r="DU107" vm="3569">
        <f ca="1"/>
        <v>265.7</v>
      </c>
      <c r="DV107" vm="3593">
        <f ca="1"/>
        <v>273.05</v>
      </c>
      <c r="DW107" vm="3594">
        <f ca="1"/>
        <v>271.45</v>
      </c>
      <c r="DX107" vm="3595">
        <f ca="1"/>
        <v>277.05</v>
      </c>
      <c r="DY107" vm="3596">
        <f ca="1"/>
        <v>290.64999999999998</v>
      </c>
      <c r="DZ107" vm="3597">
        <f ca="1"/>
        <v>295.25</v>
      </c>
      <c r="EA107" vm="3598">
        <f ca="1"/>
        <v>290.14999999999998</v>
      </c>
      <c r="EB107" vm="3599">
        <f ca="1"/>
        <v>292.75</v>
      </c>
      <c r="EC107" vm="3600">
        <f ca="1"/>
        <v>287.3</v>
      </c>
      <c r="ED107" vm="3601">
        <f ca="1"/>
        <v>308.2</v>
      </c>
      <c r="EE107" vm="3602">
        <f ca="1"/>
        <v>309.5</v>
      </c>
      <c r="EF107" vm="3603">
        <f ca="1"/>
        <v>303.85000000000002</v>
      </c>
      <c r="EG107" vm="3604">
        <f ca="1"/>
        <v>303.3</v>
      </c>
      <c r="EH107" vm="3605">
        <f ca="1"/>
        <v>319.25</v>
      </c>
      <c r="EI107" vm="3606">
        <f ca="1"/>
        <v>322.14999999999998</v>
      </c>
      <c r="EJ107" vm="3607">
        <f ca="1"/>
        <v>324.85000000000002</v>
      </c>
      <c r="EK107" vm="3608">
        <f ca="1"/>
        <v>321.95</v>
      </c>
      <c r="EL107" vm="3609">
        <f ca="1"/>
        <v>317.7</v>
      </c>
      <c r="EM107" vm="3610">
        <f ca="1"/>
        <v>331.75</v>
      </c>
      <c r="EN107" vm="3611">
        <f ca="1"/>
        <v>342.4</v>
      </c>
      <c r="EO107" vm="3612">
        <f ca="1"/>
        <v>344.9</v>
      </c>
      <c r="EP107" vm="3613">
        <f ca="1"/>
        <v>343.05</v>
      </c>
      <c r="EQ107" vm="3614">
        <f ca="1"/>
        <v>338</v>
      </c>
      <c r="ER107" vm="3615">
        <f ca="1"/>
        <v>343.35</v>
      </c>
      <c r="ES107" vm="3616">
        <f ca="1"/>
        <v>345.65</v>
      </c>
      <c r="ET107" vm="3617">
        <f ca="1"/>
        <v>339.9</v>
      </c>
      <c r="EU107" vm="3618">
        <f ca="1"/>
        <v>359.85</v>
      </c>
      <c r="EV107" vm="3619">
        <f ca="1"/>
        <v>383.8</v>
      </c>
      <c r="EW107" vm="3620">
        <f ca="1"/>
        <v>402.3</v>
      </c>
      <c r="EX107" vm="3621">
        <f ca="1"/>
        <v>391.95</v>
      </c>
      <c r="EY107" vm="3622">
        <f ca="1"/>
        <v>390.45</v>
      </c>
      <c r="EZ107" vm="3623">
        <f ca="1"/>
        <v>394.4</v>
      </c>
      <c r="FA107" vm="3624">
        <f ca="1"/>
        <v>409.5</v>
      </c>
      <c r="FB107" vm="3625">
        <f ca="1"/>
        <v>410.25</v>
      </c>
      <c r="FC107" vm="3626">
        <f ca="1"/>
        <v>427.6</v>
      </c>
      <c r="FD107" vm="3627">
        <f ca="1"/>
        <v>457.55</v>
      </c>
      <c r="FE107" vm="3628">
        <f ca="1"/>
        <v>454.85</v>
      </c>
      <c r="FF107" vm="3629">
        <f ca="1"/>
        <v>467.45</v>
      </c>
      <c r="FG107" vm="3630">
        <f ca="1"/>
        <v>454.5</v>
      </c>
      <c r="FH107" vm="3631">
        <f ca="1"/>
        <v>440.3</v>
      </c>
      <c r="FI107" vm="3632">
        <f ca="1"/>
        <v>410</v>
      </c>
      <c r="FJ107" vm="3633">
        <f ca="1"/>
        <v>438.9</v>
      </c>
      <c r="FK107" vm="3634">
        <f ca="1"/>
        <v>443.3</v>
      </c>
      <c r="FL107" vm="3635">
        <f ca="1"/>
        <v>445.8</v>
      </c>
      <c r="FM107" vm="3636">
        <f ca="1"/>
        <v>452.8</v>
      </c>
      <c r="FN107" vm="3637">
        <f ca="1"/>
        <v>445.55</v>
      </c>
      <c r="FO107" vm="3638">
        <f ca="1"/>
        <v>436.4</v>
      </c>
      <c r="FP107" vm="3639">
        <f ca="1"/>
        <v>435.75</v>
      </c>
      <c r="FQ107" vm="3640">
        <f ca="1"/>
        <v>452.45</v>
      </c>
      <c r="FR107" vm="3641">
        <f ca="1"/>
        <v>458.8</v>
      </c>
      <c r="FS107" vm="3642">
        <f ca="1"/>
        <v>455.65</v>
      </c>
      <c r="FT107" vm="3643">
        <f ca="1"/>
        <v>453.85</v>
      </c>
      <c r="FU107" vm="3644">
        <f ca="1"/>
        <v>445.85</v>
      </c>
      <c r="FV107" vm="3645">
        <f ca="1"/>
        <v>443.5</v>
      </c>
      <c r="FW107" vm="3646">
        <f ca="1"/>
        <v>451.35</v>
      </c>
      <c r="FX107" vm="3647">
        <f ca="1"/>
        <v>457.95</v>
      </c>
      <c r="FY107" vm="3648">
        <f ca="1"/>
        <v>461.1</v>
      </c>
      <c r="FZ107" vm="3649">
        <f ca="1"/>
        <v>464.3</v>
      </c>
      <c r="GA107" vm="3650">
        <f ca="1"/>
        <v>459.85</v>
      </c>
      <c r="GB107" vm="3651">
        <f ca="1"/>
        <v>461.65</v>
      </c>
      <c r="GC107" vm="3652">
        <f ca="1"/>
        <v>478.6</v>
      </c>
      <c r="GD107" vm="3653">
        <f ca="1"/>
        <v>488.35</v>
      </c>
      <c r="GE107" vm="3654">
        <f ca="1"/>
        <v>483</v>
      </c>
      <c r="GF107" vm="3655">
        <f ca="1"/>
        <v>454.7</v>
      </c>
      <c r="GG107" vm="3656">
        <f ca="1"/>
        <v>480.7</v>
      </c>
      <c r="GH107" vm="3657">
        <f ca="1"/>
        <v>488.95</v>
      </c>
      <c r="GI107" vm="3658">
        <f ca="1"/>
        <v>494.95</v>
      </c>
      <c r="GJ107" vm="3659">
        <f ca="1"/>
        <v>504.05</v>
      </c>
      <c r="GK107" vm="3660">
        <f ca="1"/>
        <v>537.25</v>
      </c>
      <c r="GL107" vm="3661">
        <f ca="1"/>
        <v>530.04999999999995</v>
      </c>
      <c r="GM107" vm="1869">
        <f ca="1"/>
        <v>530.75</v>
      </c>
      <c r="GN107" vm="3662">
        <f ca="1"/>
        <v>518.95000000000005</v>
      </c>
      <c r="GO107" vm="3663">
        <f ca="1"/>
        <v>536</v>
      </c>
      <c r="GP107" vm="3664">
        <f ca="1"/>
        <v>550.9</v>
      </c>
      <c r="GQ107" vm="3665">
        <f ca="1"/>
        <v>591.79999999999995</v>
      </c>
      <c r="GR107" vm="3666">
        <f ca="1"/>
        <v>593.70000000000005</v>
      </c>
      <c r="GS107" vm="1981">
        <f ca="1"/>
        <v>535.6</v>
      </c>
      <c r="GT107" vm="3667">
        <f ca="1"/>
        <v>524.04999999999995</v>
      </c>
      <c r="GU107" vm="3668">
        <f ca="1"/>
        <v>551.5</v>
      </c>
      <c r="GV107" vm="3669">
        <f ca="1"/>
        <v>558.15</v>
      </c>
      <c r="GW107" vm="3670">
        <f ca="1"/>
        <v>538.35</v>
      </c>
      <c r="GX107" vm="3671">
        <f ca="1"/>
        <v>528.35</v>
      </c>
      <c r="GY107" vm="3672">
        <f ca="1"/>
        <v>529.45000000000005</v>
      </c>
      <c r="GZ107" vm="3673">
        <f ca="1"/>
        <v>513.29999999999995</v>
      </c>
      <c r="HA107" vm="3674">
        <f ca="1"/>
        <v>515.1</v>
      </c>
      <c r="HB107" vm="3675">
        <f ca="1"/>
        <v>513.25</v>
      </c>
      <c r="HC107" vm="3676">
        <f ca="1"/>
        <v>506.2</v>
      </c>
      <c r="HD107" vm="3677">
        <f ca="1"/>
        <v>513.6</v>
      </c>
      <c r="HE107" vm="3678">
        <f ca="1"/>
        <v>504.1</v>
      </c>
      <c r="HF107" vm="3679">
        <f ca="1"/>
        <v>520.9</v>
      </c>
      <c r="HG107" vm="3680">
        <f ca="1"/>
        <v>525.79999999999995</v>
      </c>
      <c r="HH107" vm="3681">
        <f ca="1"/>
        <v>517.6</v>
      </c>
      <c r="HI107" vm="3682">
        <f ca="1"/>
        <v>510.5</v>
      </c>
      <c r="HJ107" vm="3683">
        <f ca="1"/>
        <v>508.3</v>
      </c>
      <c r="HK107" vm="3684">
        <f ca="1"/>
        <v>488.85</v>
      </c>
      <c r="HL107" vm="3685">
        <f ca="1"/>
        <v>466.65</v>
      </c>
      <c r="HM107" vm="3686">
        <f ca="1"/>
        <v>448.9</v>
      </c>
      <c r="HN107" vm="3687">
        <f ca="1"/>
        <v>441.6</v>
      </c>
      <c r="HO107" vm="3688">
        <f ca="1"/>
        <v>401.4</v>
      </c>
      <c r="HP107" vm="3689">
        <f ca="1"/>
        <v>438.75</v>
      </c>
      <c r="HQ107" vm="3690">
        <f ca="1"/>
        <v>472.55</v>
      </c>
      <c r="HR107" vm="3691">
        <f ca="1"/>
        <v>462.05</v>
      </c>
      <c r="HS107" vm="3692">
        <f ca="1"/>
        <v>448.45</v>
      </c>
      <c r="HT107" vm="3693">
        <f ca="1"/>
        <v>444.45</v>
      </c>
      <c r="HU107" vm="3628">
        <f ca="1"/>
        <v>454.85</v>
      </c>
      <c r="HV107" vm="3694">
        <f ca="1"/>
        <v>465</v>
      </c>
      <c r="HW107" vm="3695">
        <f ca="1"/>
        <v>453.3</v>
      </c>
      <c r="HX107" vm="3696">
        <f ca="1"/>
        <v>461.4</v>
      </c>
      <c r="HY107" vm="3697">
        <f ca="1"/>
        <v>454</v>
      </c>
      <c r="HZ107" vm="3698">
        <f ca="1"/>
        <v>458.65</v>
      </c>
      <c r="IA107" vm="3699">
        <f ca="1"/>
        <v>460.15</v>
      </c>
      <c r="IB107" vm="3700">
        <f ca="1"/>
        <v>490.45</v>
      </c>
      <c r="IC107" vm="3701">
        <f ca="1"/>
        <v>496.7</v>
      </c>
      <c r="ID107" vm="3700">
        <f ca="1"/>
        <v>490.45</v>
      </c>
      <c r="IE107" vm="3702">
        <f ca="1"/>
        <v>502.25</v>
      </c>
      <c r="IF107" vm="3703">
        <f ca="1"/>
        <v>492.85</v>
      </c>
      <c r="IG107" vm="3704">
        <f ca="1"/>
        <v>483.2</v>
      </c>
      <c r="IH107" vm="3705">
        <f ca="1"/>
        <v>468.95</v>
      </c>
      <c r="II107" vm="3706">
        <f ca="1"/>
        <v>449.55</v>
      </c>
      <c r="IJ107" vm="3707">
        <f ca="1"/>
        <v>458.7</v>
      </c>
      <c r="IK107" vm="3708">
        <f ca="1"/>
        <v>455.15</v>
      </c>
      <c r="IL107" vm="3709">
        <f ca="1"/>
        <v>450.8</v>
      </c>
      <c r="IM107" vm="3710">
        <f ca="1"/>
        <v>455.4</v>
      </c>
      <c r="IN107" vm="3711">
        <f ca="1"/>
        <v>468.4</v>
      </c>
      <c r="IO107" vm="3712">
        <f ca="1"/>
        <v>467.1</v>
      </c>
      <c r="IP107" vm="3713">
        <f ca="1"/>
        <v>492.7</v>
      </c>
      <c r="IQ107" vm="3662">
        <f ca="1"/>
        <v>518.95000000000005</v>
      </c>
      <c r="IR107" vm="3714">
        <f ca="1"/>
        <v>510.55</v>
      </c>
    </row>
    <row r="108" spans="4:252" x14ac:dyDescent="0.35">
      <c r="D108" t="e" vm="15">
        <v>#VALUE!</v>
      </c>
      <c r="E108" cm="1" vm="3715">
        <f t="array" aca="1" ref="E108:IR108" ca="1">TRANSPOSE((_xlfn.STOCKHISTORY('Portfolio Tracker '!$C22,TODAY()-365,TODAY(),0,0,1)))</f>
        <v>1067.55</v>
      </c>
      <c r="F108" vm="3716">
        <f ca="1"/>
        <v>1058.95</v>
      </c>
      <c r="G108" vm="3717">
        <f ca="1"/>
        <v>1066.8</v>
      </c>
      <c r="H108" vm="3718">
        <f ca="1"/>
        <v>1055.55</v>
      </c>
      <c r="I108" vm="3719">
        <f ca="1"/>
        <v>1075.75</v>
      </c>
      <c r="J108" vm="877">
        <f ca="1"/>
        <v>1079</v>
      </c>
      <c r="K108" vm="3720">
        <f ca="1"/>
        <v>1078.3</v>
      </c>
      <c r="L108" vm="3721">
        <f ca="1"/>
        <v>1088.0999999999999</v>
      </c>
      <c r="M108" vm="3722">
        <f ca="1"/>
        <v>1095.5</v>
      </c>
      <c r="N108" vm="3723">
        <f ca="1"/>
        <v>1099.75</v>
      </c>
      <c r="O108" vm="3724">
        <f ca="1"/>
        <v>1090.7</v>
      </c>
      <c r="P108" vm="3725">
        <f ca="1"/>
        <v>1074.55</v>
      </c>
      <c r="Q108" vm="3726">
        <f ca="1"/>
        <v>1079.9000000000001</v>
      </c>
      <c r="R108" vm="3727">
        <f ca="1"/>
        <v>1095.3499999999999</v>
      </c>
      <c r="S108" vm="3728">
        <f ca="1"/>
        <v>1119.8499999999999</v>
      </c>
      <c r="T108" vm="3729">
        <f ca="1"/>
        <v>1107.3499999999999</v>
      </c>
      <c r="U108" vm="3203">
        <f ca="1"/>
        <v>1111.95</v>
      </c>
      <c r="V108" vm="3730">
        <f ca="1"/>
        <v>1116</v>
      </c>
      <c r="W108" vm="3731">
        <f ca="1"/>
        <v>1139.2</v>
      </c>
      <c r="X108" vm="3051">
        <f ca="1"/>
        <v>1126.2</v>
      </c>
      <c r="Y108" vm="3732">
        <f ca="1"/>
        <v>1135.8499999999999</v>
      </c>
      <c r="Z108" vm="3733">
        <f ca="1"/>
        <v>1145.0999999999999</v>
      </c>
      <c r="AA108" vm="3734">
        <f ca="1"/>
        <v>1141.9000000000001</v>
      </c>
      <c r="AB108" vm="3735">
        <f ca="1"/>
        <v>1137.05</v>
      </c>
      <c r="AC108" vm="3736">
        <f ca="1"/>
        <v>1138.3</v>
      </c>
      <c r="AD108" vm="3737">
        <f ca="1"/>
        <v>1128.5999999999999</v>
      </c>
      <c r="AE108" vm="3738">
        <f ca="1"/>
        <v>1129.05</v>
      </c>
      <c r="AF108" vm="3739">
        <f ca="1"/>
        <v>1126.75</v>
      </c>
      <c r="AG108" vm="3740">
        <f ca="1"/>
        <v>1109.75</v>
      </c>
      <c r="AH108" vm="3741">
        <f ca="1"/>
        <v>1139.6500000000001</v>
      </c>
      <c r="AI108" vm="3742">
        <f ca="1"/>
        <v>1131.3</v>
      </c>
      <c r="AJ108" vm="3732">
        <f ca="1"/>
        <v>1135.8499999999999</v>
      </c>
      <c r="AK108" vm="3743">
        <f ca="1"/>
        <v>1143.5999999999999</v>
      </c>
      <c r="AL108" vm="3744">
        <f ca="1"/>
        <v>1148.2</v>
      </c>
      <c r="AM108" vm="3745">
        <f ca="1"/>
        <v>1137.55</v>
      </c>
      <c r="AN108" vm="3746">
        <f ca="1"/>
        <v>1168.6500000000001</v>
      </c>
      <c r="AO108" vm="3747">
        <f ca="1"/>
        <v>1170.45</v>
      </c>
      <c r="AP108" vm="3748">
        <f ca="1"/>
        <v>1163.4000000000001</v>
      </c>
      <c r="AQ108" vm="3749">
        <f ca="1"/>
        <v>1165.1500000000001</v>
      </c>
      <c r="AR108" vm="3750">
        <f ca="1"/>
        <v>1167.5</v>
      </c>
      <c r="AS108" vm="3751">
        <f ca="1"/>
        <v>1170</v>
      </c>
      <c r="AT108" vm="3752">
        <f ca="1"/>
        <v>1170.25</v>
      </c>
      <c r="AU108" vm="3753">
        <f ca="1"/>
        <v>1187.95</v>
      </c>
      <c r="AV108" vm="3754">
        <f ca="1"/>
        <v>1181.5999999999999</v>
      </c>
      <c r="AW108" vm="3755">
        <f ca="1"/>
        <v>1190.5999999999999</v>
      </c>
      <c r="AX108" vm="3756">
        <f ca="1"/>
        <v>1194.8</v>
      </c>
      <c r="AY108" vm="3757">
        <f ca="1"/>
        <v>1180.6500000000001</v>
      </c>
      <c r="AZ108" vm="3758">
        <f ca="1"/>
        <v>1157.5999999999999</v>
      </c>
      <c r="BA108" vm="3759">
        <f ca="1"/>
        <v>1124.5</v>
      </c>
      <c r="BB108" vm="3760">
        <f ca="1"/>
        <v>1114.9000000000001</v>
      </c>
      <c r="BC108" vm="710">
        <f ca="1"/>
        <v>1110.55</v>
      </c>
      <c r="BD108" vm="3761">
        <f ca="1"/>
        <v>1108.8</v>
      </c>
      <c r="BE108" vm="3762">
        <f ca="1"/>
        <v>1150.95</v>
      </c>
      <c r="BF108" vm="3204">
        <f ca="1"/>
        <v>1153.75</v>
      </c>
      <c r="BG108" vm="3763">
        <f ca="1"/>
        <v>1167.2</v>
      </c>
      <c r="BH108" vm="3764">
        <f ca="1"/>
        <v>1169.05</v>
      </c>
      <c r="BI108" vm="3765">
        <f ca="1"/>
        <v>1155.8</v>
      </c>
      <c r="BJ108" vm="3766">
        <f ca="1"/>
        <v>1115.45</v>
      </c>
      <c r="BK108" vm="3767">
        <f ca="1"/>
        <v>1112.9000000000001</v>
      </c>
      <c r="BL108" vm="3768">
        <f ca="1"/>
        <v>1111.55</v>
      </c>
      <c r="BM108" vm="748">
        <f ca="1"/>
        <v>1115</v>
      </c>
      <c r="BN108" vm="3769">
        <f ca="1"/>
        <v>1117.3499999999999</v>
      </c>
      <c r="BO108" vm="3770">
        <f ca="1"/>
        <v>1103.55</v>
      </c>
      <c r="BP108" vm="3771">
        <f ca="1"/>
        <v>1116.7</v>
      </c>
      <c r="BQ108" vm="3772">
        <f ca="1"/>
        <v>1138.5</v>
      </c>
      <c r="BR108" vm="3773">
        <f ca="1"/>
        <v>1130.9000000000001</v>
      </c>
      <c r="BS108" vm="3774">
        <f ca="1"/>
        <v>1125.5</v>
      </c>
      <c r="BT108" vm="3775">
        <f ca="1"/>
        <v>1144.3499999999999</v>
      </c>
      <c r="BU108" vm="3776">
        <f ca="1"/>
        <v>1150.8</v>
      </c>
      <c r="BV108" vm="3777">
        <f ca="1"/>
        <v>1141.3499999999999</v>
      </c>
      <c r="BW108" vm="1417">
        <f ca="1"/>
        <v>1144.1500000000001</v>
      </c>
      <c r="BX108" vm="3778">
        <f ca="1"/>
        <v>1134.3</v>
      </c>
      <c r="BY108" vm="3779">
        <f ca="1"/>
        <v>1171.45</v>
      </c>
      <c r="BZ108" vm="3780">
        <f ca="1"/>
        <v>1171</v>
      </c>
      <c r="CA108" vm="3781">
        <f ca="1"/>
        <v>1177.1500000000001</v>
      </c>
      <c r="CB108" vm="3782">
        <f ca="1"/>
        <v>1176.7</v>
      </c>
      <c r="CC108" vm="3783">
        <f ca="1"/>
        <v>1173.7</v>
      </c>
      <c r="CD108" vm="3784">
        <f ca="1"/>
        <v>1179.25</v>
      </c>
      <c r="CE108" vm="3785">
        <f ca="1"/>
        <v>1179.5</v>
      </c>
      <c r="CF108" vm="3786">
        <f ca="1"/>
        <v>1182.5</v>
      </c>
      <c r="CG108" vm="3787">
        <f ca="1"/>
        <v>1171.25</v>
      </c>
      <c r="CH108" vm="3788">
        <f ca="1"/>
        <v>1153.95</v>
      </c>
      <c r="CI108" vm="3789">
        <f ca="1"/>
        <v>1146.45</v>
      </c>
      <c r="CJ108" vm="3790">
        <f ca="1"/>
        <v>1157.55</v>
      </c>
      <c r="CK108" vm="3791">
        <f ca="1"/>
        <v>1170.5</v>
      </c>
      <c r="CL108" vm="3792">
        <f ca="1"/>
        <v>1172.1500000000001</v>
      </c>
      <c r="CM108" vm="3793">
        <f ca="1"/>
        <v>1185.8</v>
      </c>
      <c r="CN108" vm="3794">
        <f ca="1"/>
        <v>1232.5</v>
      </c>
      <c r="CO108" vm="3795">
        <f ca="1"/>
        <v>1235.55</v>
      </c>
      <c r="CP108" vm="3796">
        <f ca="1"/>
        <v>1235.8499999999999</v>
      </c>
      <c r="CQ108" vm="3797">
        <f ca="1"/>
        <v>1254</v>
      </c>
      <c r="CR108" vm="3798">
        <f ca="1"/>
        <v>1262.05</v>
      </c>
      <c r="CS108" vm="3799">
        <f ca="1"/>
        <v>1281.55</v>
      </c>
      <c r="CT108" vm="3800">
        <f ca="1"/>
        <v>1282.4000000000001</v>
      </c>
      <c r="CU108" vm="3801">
        <f ca="1"/>
        <v>1275.25</v>
      </c>
      <c r="CV108" vm="3802">
        <f ca="1"/>
        <v>1283.5999999999999</v>
      </c>
      <c r="CW108" vm="3803">
        <f ca="1"/>
        <v>1304.5999999999999</v>
      </c>
      <c r="CX108" vm="3804">
        <f ca="1"/>
        <v>1305</v>
      </c>
      <c r="CY108" vm="3805">
        <f ca="1"/>
        <v>1293.4000000000001</v>
      </c>
      <c r="CZ108" vm="3806">
        <f ca="1"/>
        <v>1278</v>
      </c>
      <c r="DA108" vm="3807">
        <f ca="1"/>
        <v>1273.7</v>
      </c>
      <c r="DB108" vm="3808">
        <f ca="1"/>
        <v>1263.45</v>
      </c>
      <c r="DC108" vm="3809">
        <f ca="1"/>
        <v>1261.45</v>
      </c>
      <c r="DD108" vm="3810">
        <f ca="1"/>
        <v>1261.0999999999999</v>
      </c>
      <c r="DE108" vm="3811">
        <f ca="1"/>
        <v>1241.9000000000001</v>
      </c>
      <c r="DF108" vm="3812">
        <f ca="1"/>
        <v>1234.8</v>
      </c>
      <c r="DG108" vm="3813">
        <f ca="1"/>
        <v>1238.7</v>
      </c>
      <c r="DH108" vm="3814">
        <f ca="1"/>
        <v>1239.55</v>
      </c>
      <c r="DI108" vm="3815">
        <f ca="1"/>
        <v>1235.45</v>
      </c>
      <c r="DJ108" vm="3816">
        <f ca="1"/>
        <v>1237.7</v>
      </c>
      <c r="DK108" vm="3817">
        <f ca="1"/>
        <v>1249.5999999999999</v>
      </c>
      <c r="DL108" vm="3818">
        <f ca="1"/>
        <v>1261.8</v>
      </c>
      <c r="DM108" vm="3819">
        <f ca="1"/>
        <v>1245.5999999999999</v>
      </c>
      <c r="DN108" vm="3820">
        <f ca="1"/>
        <v>1223.75</v>
      </c>
      <c r="DO108" vm="3821">
        <f ca="1"/>
        <v>1255.9000000000001</v>
      </c>
      <c r="DP108" vm="3822">
        <f ca="1"/>
        <v>1270.6500000000001</v>
      </c>
      <c r="DQ108" vm="3823">
        <f ca="1"/>
        <v>1277.1500000000001</v>
      </c>
      <c r="DR108" vm="3824">
        <f ca="1"/>
        <v>1269.45</v>
      </c>
      <c r="DS108" vm="3825">
        <f ca="1"/>
        <v>1267.3499999999999</v>
      </c>
      <c r="DT108" vm="3826">
        <f ca="1"/>
        <v>1258.5999999999999</v>
      </c>
      <c r="DU108" vm="3827">
        <f ca="1"/>
        <v>1236.6500000000001</v>
      </c>
      <c r="DV108" vm="3828">
        <f ca="1"/>
        <v>1229</v>
      </c>
      <c r="DW108" vm="3829">
        <f ca="1"/>
        <v>1231.8</v>
      </c>
      <c r="DX108" vm="3830">
        <f ca="1"/>
        <v>1268.7</v>
      </c>
      <c r="DY108" vm="3831">
        <f ca="1"/>
        <v>1264.75</v>
      </c>
      <c r="DZ108" vm="3832">
        <f ca="1"/>
        <v>1276</v>
      </c>
      <c r="EA108" vm="3833">
        <f ca="1"/>
        <v>1258.95</v>
      </c>
      <c r="EB108" vm="3834">
        <f ca="1"/>
        <v>1273.4000000000001</v>
      </c>
      <c r="EC108" vm="3835">
        <f ca="1"/>
        <v>1266.25</v>
      </c>
      <c r="ED108" vm="3836">
        <f ca="1"/>
        <v>1269.7</v>
      </c>
      <c r="EE108" vm="3837">
        <f ca="1"/>
        <v>1273.95</v>
      </c>
      <c r="EF108" vm="3838">
        <f ca="1"/>
        <v>1267.6500000000001</v>
      </c>
      <c r="EG108" vm="3839">
        <f ca="1"/>
        <v>1267.5</v>
      </c>
      <c r="EH108" vm="3840">
        <f ca="1"/>
        <v>1255.45</v>
      </c>
      <c r="EI108" vm="3841">
        <f ca="1"/>
        <v>1260.2</v>
      </c>
      <c r="EJ108" vm="3842">
        <f ca="1"/>
        <v>1261</v>
      </c>
      <c r="EK108" vm="3843">
        <f ca="1"/>
        <v>1276.6500000000001</v>
      </c>
      <c r="EL108" vm="3844">
        <f ca="1"/>
        <v>1311.05</v>
      </c>
      <c r="EM108" vm="3845">
        <f ca="1"/>
        <v>1309.1500000000001</v>
      </c>
      <c r="EN108" vm="3846">
        <f ca="1"/>
        <v>1325.4</v>
      </c>
      <c r="EO108" vm="3847">
        <f ca="1"/>
        <v>1326.6</v>
      </c>
      <c r="EP108" vm="3848">
        <f ca="1"/>
        <v>1329.7</v>
      </c>
      <c r="EQ108" vm="3849">
        <f ca="1"/>
        <v>1329</v>
      </c>
      <c r="ER108" vm="3845">
        <f ca="1"/>
        <v>1309.1500000000001</v>
      </c>
      <c r="ES108" vm="3850">
        <f ca="1"/>
        <v>1316.65</v>
      </c>
      <c r="ET108" vm="3851">
        <f ca="1"/>
        <v>1333.95</v>
      </c>
      <c r="EU108" vm="3852">
        <f ca="1"/>
        <v>1340.9</v>
      </c>
      <c r="EV108" vm="3853">
        <f ca="1"/>
        <v>1336.7</v>
      </c>
      <c r="EW108" vm="3854">
        <f ca="1"/>
        <v>1337.95</v>
      </c>
      <c r="EX108" vm="3855">
        <f ca="1"/>
        <v>1317.55</v>
      </c>
      <c r="EY108" vm="3856">
        <f ca="1"/>
        <v>1329.55</v>
      </c>
      <c r="EZ108" vm="3857">
        <f ca="1"/>
        <v>1328</v>
      </c>
      <c r="FA108" vm="3858">
        <f ca="1"/>
        <v>1364.1</v>
      </c>
      <c r="FB108" vm="3859">
        <f ca="1"/>
        <v>1375.3</v>
      </c>
      <c r="FC108" vm="3859">
        <f ca="1"/>
        <v>1375.3</v>
      </c>
      <c r="FD108" vm="3860">
        <f ca="1"/>
        <v>1369.2</v>
      </c>
      <c r="FE108" vm="3861">
        <f ca="1"/>
        <v>1414.6</v>
      </c>
      <c r="FF108" vm="3862">
        <f ca="1"/>
        <v>1491.3</v>
      </c>
      <c r="FG108" vm="3863">
        <f ca="1"/>
        <v>1504.3</v>
      </c>
      <c r="FH108" vm="3864">
        <f ca="1"/>
        <v>1488.3</v>
      </c>
      <c r="FI108" vm="3865">
        <f ca="1"/>
        <v>1439.95</v>
      </c>
      <c r="FJ108" vm="3866">
        <f ca="1"/>
        <v>1422.05</v>
      </c>
      <c r="FK108" vm="3867">
        <f ca="1"/>
        <v>1462.7</v>
      </c>
      <c r="FL108" vm="3868">
        <f ca="1"/>
        <v>1458.15</v>
      </c>
      <c r="FM108" vm="3869">
        <f ca="1"/>
        <v>1472.05</v>
      </c>
      <c r="FN108" vm="3870">
        <f ca="1"/>
        <v>1472.45</v>
      </c>
      <c r="FO108" vm="3871">
        <f ca="1"/>
        <v>1466.1</v>
      </c>
      <c r="FP108" vm="3872">
        <f ca="1"/>
        <v>1483.75</v>
      </c>
      <c r="FQ108" vm="3873">
        <f ca="1"/>
        <v>1469.55</v>
      </c>
      <c r="FR108" vm="3874">
        <f ca="1"/>
        <v>1437.75</v>
      </c>
      <c r="FS108" vm="3875">
        <f ca="1"/>
        <v>1419.95</v>
      </c>
      <c r="FT108" vm="3876">
        <f ca="1"/>
        <v>1432.8</v>
      </c>
      <c r="FU108" vm="3877">
        <f ca="1"/>
        <v>1447.9</v>
      </c>
      <c r="FV108" vm="3878">
        <f ca="1"/>
        <v>1460.4</v>
      </c>
      <c r="FW108" vm="3879">
        <f ca="1"/>
        <v>1492.1</v>
      </c>
      <c r="FX108" vm="3880">
        <f ca="1"/>
        <v>1484.8</v>
      </c>
      <c r="FY108" vm="3881">
        <f ca="1"/>
        <v>1540.8</v>
      </c>
      <c r="FZ108" vm="3882">
        <f ca="1"/>
        <v>1588.2</v>
      </c>
      <c r="GA108" vm="3883">
        <f ca="1"/>
        <v>1555.45</v>
      </c>
      <c r="GB108" vm="3884">
        <f ca="1"/>
        <v>1575.9</v>
      </c>
      <c r="GC108" vm="3885">
        <f ca="1"/>
        <v>1567.55</v>
      </c>
      <c r="GD108" vm="3886">
        <f ca="1"/>
        <v>1567.95</v>
      </c>
      <c r="GE108" vm="3887">
        <f ca="1"/>
        <v>1544</v>
      </c>
      <c r="GF108" vm="3888">
        <f ca="1"/>
        <v>1523.65</v>
      </c>
      <c r="GG108" vm="3889">
        <f ca="1"/>
        <v>1576.4</v>
      </c>
      <c r="GH108" vm="3890">
        <f ca="1"/>
        <v>1550.25</v>
      </c>
      <c r="GI108" vm="3891">
        <f ca="1"/>
        <v>1574.55</v>
      </c>
      <c r="GJ108" vm="3892">
        <f ca="1"/>
        <v>1559.3</v>
      </c>
      <c r="GK108" vm="3893">
        <f ca="1"/>
        <v>1576</v>
      </c>
      <c r="GL108" vm="3894">
        <f ca="1"/>
        <v>1577.4</v>
      </c>
      <c r="GM108" vm="3895">
        <f ca="1"/>
        <v>1583.75</v>
      </c>
      <c r="GN108" vm="3896">
        <f ca="1"/>
        <v>1555.35</v>
      </c>
      <c r="GO108" vm="3897">
        <f ca="1"/>
        <v>1623.75</v>
      </c>
      <c r="GP108" vm="3898">
        <f ca="1"/>
        <v>1615.35</v>
      </c>
      <c r="GQ108" vm="3899">
        <f ca="1"/>
        <v>1633.8</v>
      </c>
      <c r="GR108" vm="3900">
        <f ca="1"/>
        <v>1630.6</v>
      </c>
      <c r="GS108" vm="3901">
        <f ca="1"/>
        <v>1666.95</v>
      </c>
      <c r="GT108" vm="3902">
        <f ca="1"/>
        <v>1665.6</v>
      </c>
      <c r="GU108" vm="3903">
        <f ca="1"/>
        <v>1671.5</v>
      </c>
      <c r="GV108" vm="3904">
        <f ca="1"/>
        <v>1662.55</v>
      </c>
      <c r="GW108" vm="3905">
        <f ca="1"/>
        <v>1667.45</v>
      </c>
      <c r="GX108" vm="3906">
        <f ca="1"/>
        <v>1675.25</v>
      </c>
      <c r="GY108" vm="3907">
        <f ca="1"/>
        <v>1663.05</v>
      </c>
      <c r="GZ108" vm="3908">
        <f ca="1"/>
        <v>1636.3</v>
      </c>
      <c r="HA108" vm="3909">
        <f ca="1"/>
        <v>1686.4</v>
      </c>
      <c r="HB108" vm="3910">
        <f ca="1"/>
        <v>1665.75</v>
      </c>
      <c r="HC108" vm="3911">
        <f ca="1"/>
        <v>1649.8</v>
      </c>
      <c r="HD108" vm="3912">
        <f ca="1"/>
        <v>1658.8</v>
      </c>
      <c r="HE108" vm="3913">
        <f ca="1"/>
        <v>1651.9</v>
      </c>
      <c r="HF108" vm="3914">
        <f ca="1"/>
        <v>1663.85</v>
      </c>
      <c r="HG108" vm="3915">
        <f ca="1"/>
        <v>1644.1</v>
      </c>
      <c r="HH108" vm="3916">
        <f ca="1"/>
        <v>1646.3</v>
      </c>
      <c r="HI108" vm="3917">
        <f ca="1"/>
        <v>1637.95</v>
      </c>
      <c r="HJ108" vm="3918">
        <f ca="1"/>
        <v>1619.35</v>
      </c>
      <c r="HK108" vm="3919">
        <f ca="1"/>
        <v>1644.2</v>
      </c>
      <c r="HL108" vm="3920">
        <f ca="1"/>
        <v>1637.65</v>
      </c>
      <c r="HM108" vm="3921">
        <f ca="1"/>
        <v>1638.65</v>
      </c>
      <c r="HN108" vm="3922">
        <f ca="1"/>
        <v>1635.6</v>
      </c>
      <c r="HO108" vm="3923">
        <f ca="1"/>
        <v>1631.5</v>
      </c>
      <c r="HP108" vm="3924">
        <f ca="1"/>
        <v>1679.25</v>
      </c>
      <c r="HQ108" vm="3925">
        <f ca="1"/>
        <v>1647.3</v>
      </c>
      <c r="HR108" vm="3926">
        <f ca="1"/>
        <v>1643.4</v>
      </c>
      <c r="HS108" vm="3927">
        <f ca="1"/>
        <v>1599.15</v>
      </c>
      <c r="HT108" vm="3928">
        <f ca="1"/>
        <v>1587.1</v>
      </c>
      <c r="HU108" vm="3929">
        <f ca="1"/>
        <v>1595.8</v>
      </c>
      <c r="HV108" vm="3930">
        <f ca="1"/>
        <v>1557.85</v>
      </c>
      <c r="HW108" vm="3931">
        <f ca="1"/>
        <v>1562.25</v>
      </c>
      <c r="HX108" vm="3932">
        <f ca="1"/>
        <v>1546.2</v>
      </c>
      <c r="HY108" vm="3933">
        <f ca="1"/>
        <v>1543.55</v>
      </c>
      <c r="HZ108" vm="3934">
        <f ca="1"/>
        <v>1556.7</v>
      </c>
      <c r="IA108" vm="3935">
        <f ca="1"/>
        <v>1528.3</v>
      </c>
      <c r="IB108" vm="3936">
        <f ca="1"/>
        <v>1535.85</v>
      </c>
      <c r="IC108" vm="3937">
        <f ca="1"/>
        <v>1539.65</v>
      </c>
      <c r="ID108" vm="3938">
        <f ca="1"/>
        <v>1545.25</v>
      </c>
      <c r="IE108" vm="3939">
        <f ca="1"/>
        <v>1540.05</v>
      </c>
      <c r="IF108" vm="3940">
        <f ca="1"/>
        <v>1540.5</v>
      </c>
      <c r="IG108" vm="3941">
        <f ca="1"/>
        <v>1539.15</v>
      </c>
      <c r="IH108" vm="3942">
        <f ca="1"/>
        <v>1521.5</v>
      </c>
      <c r="II108" vm="3943">
        <f ca="1"/>
        <v>1505.05</v>
      </c>
      <c r="IJ108" vm="3944">
        <f ca="1"/>
        <v>1477.3</v>
      </c>
      <c r="IK108" vm="3945">
        <f ca="1"/>
        <v>1466.85</v>
      </c>
      <c r="IL108" vm="3946">
        <f ca="1"/>
        <v>1447.5</v>
      </c>
      <c r="IM108" vm="3947">
        <f ca="1"/>
        <v>1465.9</v>
      </c>
      <c r="IN108" vm="3948">
        <f ca="1"/>
        <v>1486.65</v>
      </c>
      <c r="IO108" vm="3949">
        <f ca="1"/>
        <v>1479.25</v>
      </c>
      <c r="IP108" vm="3950">
        <f ca="1"/>
        <v>1504.15</v>
      </c>
      <c r="IQ108" vm="3951">
        <f ca="1"/>
        <v>1473.85</v>
      </c>
      <c r="IR108" vm="3952">
        <f ca="1"/>
        <v>1387.4</v>
      </c>
    </row>
    <row r="109" spans="4:252" x14ac:dyDescent="0.35">
      <c r="D109" t="e" vm="16">
        <v>#VALUE!</v>
      </c>
      <c r="E109" cm="1" vm="3953">
        <f t="array" aca="1" ref="E109:IR109" ca="1">TRANSPOSE((_xlfn.STOCKHISTORY('Portfolio Tracker '!$C23,TODAY()-365,TODAY(),0,0,1)))</f>
        <v>1687.25</v>
      </c>
      <c r="F109" vm="3954">
        <f ca="1"/>
        <v>1693.15</v>
      </c>
      <c r="G109" vm="3955">
        <f ca="1"/>
        <v>1727.8</v>
      </c>
      <c r="H109" vm="3956">
        <f ca="1"/>
        <v>1625.65</v>
      </c>
      <c r="I109" vm="3957">
        <f ca="1"/>
        <v>1644.45</v>
      </c>
      <c r="J109" vm="3958">
        <f ca="1"/>
        <v>1644.5</v>
      </c>
      <c r="K109" vm="3959">
        <f ca="1"/>
        <v>1652.1</v>
      </c>
      <c r="L109" vm="3960">
        <f ca="1"/>
        <v>1653.2</v>
      </c>
      <c r="M109" vm="3961">
        <f ca="1"/>
        <v>1667.8</v>
      </c>
      <c r="N109" vm="3962">
        <f ca="1"/>
        <v>1675.8</v>
      </c>
      <c r="O109" vm="3925">
        <f ca="1"/>
        <v>1647.3</v>
      </c>
      <c r="P109" vm="3963">
        <f ca="1"/>
        <v>1638.45</v>
      </c>
      <c r="Q109" vm="3964">
        <f ca="1"/>
        <v>1645</v>
      </c>
      <c r="R109" vm="3965">
        <f ca="1"/>
        <v>1646.9</v>
      </c>
      <c r="S109" vm="3966">
        <f ca="1"/>
        <v>1641.05</v>
      </c>
      <c r="T109" vm="3967">
        <f ca="1"/>
        <v>1637.2</v>
      </c>
      <c r="U109" vm="3968">
        <f ca="1"/>
        <v>1615.8</v>
      </c>
      <c r="V109" vm="3969">
        <f ca="1"/>
        <v>1609.6</v>
      </c>
      <c r="W109" vm="3968">
        <f ca="1"/>
        <v>1615.8</v>
      </c>
      <c r="X109" vm="3970">
        <f ca="1"/>
        <v>1635.5</v>
      </c>
      <c r="Y109" vm="3971">
        <f ca="1"/>
        <v>1636.75</v>
      </c>
      <c r="Z109" vm="3972">
        <f ca="1"/>
        <v>1610.85</v>
      </c>
      <c r="AA109" vm="3973">
        <f ca="1"/>
        <v>1604</v>
      </c>
      <c r="AB109" vm="3974">
        <f ca="1"/>
        <v>1606.5</v>
      </c>
      <c r="AC109" vm="3975">
        <f ca="1"/>
        <v>1604.4</v>
      </c>
      <c r="AD109" vm="3976">
        <f ca="1"/>
        <v>1599.4</v>
      </c>
      <c r="AE109" vm="3977">
        <f ca="1"/>
        <v>1607.7</v>
      </c>
      <c r="AF109" vm="3978">
        <f ca="1"/>
        <v>1608.7</v>
      </c>
      <c r="AG109" vm="3979">
        <f ca="1"/>
        <v>1610.6</v>
      </c>
      <c r="AH109" vm="3980">
        <f ca="1"/>
        <v>1600.8</v>
      </c>
      <c r="AI109" vm="3981">
        <f ca="1"/>
        <v>1603.5</v>
      </c>
      <c r="AJ109" vm="3982">
        <f ca="1"/>
        <v>1601.75</v>
      </c>
      <c r="AK109" vm="3983">
        <f ca="1"/>
        <v>1582.05</v>
      </c>
      <c r="AL109" vm="3984">
        <f ca="1"/>
        <v>1602.75</v>
      </c>
      <c r="AM109" vm="3985">
        <f ca="1"/>
        <v>1604.15</v>
      </c>
      <c r="AN109" vm="3986">
        <f ca="1"/>
        <v>1607.5</v>
      </c>
      <c r="AO109" vm="3922">
        <f ca="1"/>
        <v>1635.6</v>
      </c>
      <c r="AP109" vm="3987">
        <f ca="1"/>
        <v>1643.6</v>
      </c>
      <c r="AQ109" vm="3988">
        <f ca="1"/>
        <v>1643.5</v>
      </c>
      <c r="AR109" vm="3989">
        <f ca="1"/>
        <v>1635.55</v>
      </c>
      <c r="AS109" vm="3990">
        <f ca="1"/>
        <v>1658.6</v>
      </c>
      <c r="AT109" vm="3991">
        <f ca="1"/>
        <v>1676.15</v>
      </c>
      <c r="AU109" vm="3992">
        <f ca="1"/>
        <v>1701.4</v>
      </c>
      <c r="AV109" vm="3993">
        <f ca="1"/>
        <v>1719.8</v>
      </c>
      <c r="AW109" vm="3994">
        <f ca="1"/>
        <v>1728.2</v>
      </c>
      <c r="AX109" vm="3995">
        <f ca="1"/>
        <v>1673.3</v>
      </c>
      <c r="AY109" vm="3996">
        <f ca="1"/>
        <v>1675</v>
      </c>
      <c r="AZ109" vm="3997">
        <f ca="1"/>
        <v>1660.4</v>
      </c>
      <c r="BA109" vm="3998">
        <f ca="1"/>
        <v>1656.45</v>
      </c>
      <c r="BB109" vm="3999">
        <f ca="1"/>
        <v>1648.4</v>
      </c>
      <c r="BC109" vm="4000">
        <f ca="1"/>
        <v>1632.95</v>
      </c>
      <c r="BD109" vm="4001">
        <f ca="1"/>
        <v>1641.1</v>
      </c>
      <c r="BE109" vm="3958">
        <f ca="1"/>
        <v>1644.5</v>
      </c>
      <c r="BF109" vm="4002">
        <f ca="1"/>
        <v>1678.9</v>
      </c>
      <c r="BG109" vm="4003">
        <f ca="1"/>
        <v>1677.5</v>
      </c>
      <c r="BH109" vm="4004">
        <f ca="1"/>
        <v>1685.1</v>
      </c>
      <c r="BI109" vm="4005">
        <f ca="1"/>
        <v>1688.75</v>
      </c>
      <c r="BJ109" vm="4006">
        <f ca="1"/>
        <v>1675.75</v>
      </c>
      <c r="BK109" vm="4007">
        <f ca="1"/>
        <v>1678.4</v>
      </c>
      <c r="BL109" vm="4008">
        <f ca="1"/>
        <v>1696.6</v>
      </c>
      <c r="BM109" vm="4009">
        <f ca="1"/>
        <v>1690.7</v>
      </c>
      <c r="BN109" vm="4010">
        <f ca="1"/>
        <v>1673.15</v>
      </c>
      <c r="BO109" vm="3988">
        <f ca="1"/>
        <v>1643.5</v>
      </c>
      <c r="BP109" vm="4011">
        <f ca="1"/>
        <v>1651.2</v>
      </c>
      <c r="BQ109" vm="4012">
        <f ca="1"/>
        <v>1662.25</v>
      </c>
      <c r="BR109" vm="4013">
        <f ca="1"/>
        <v>1640.5</v>
      </c>
      <c r="BS109" vm="4014">
        <f ca="1"/>
        <v>1628.65</v>
      </c>
      <c r="BT109" vm="4015">
        <f ca="1"/>
        <v>1652.2</v>
      </c>
      <c r="BU109" vm="4016">
        <f ca="1"/>
        <v>1651.25</v>
      </c>
      <c r="BV109" vm="4017">
        <f ca="1"/>
        <v>1649.9</v>
      </c>
      <c r="BW109" vm="4018">
        <f ca="1"/>
        <v>1650.5</v>
      </c>
      <c r="BX109" vm="4019">
        <f ca="1"/>
        <v>1635.85</v>
      </c>
      <c r="BY109" vm="4020">
        <f ca="1"/>
        <v>1618.8</v>
      </c>
      <c r="BZ109" vm="4021">
        <f ca="1"/>
        <v>1610.9</v>
      </c>
      <c r="CA109" vm="4022">
        <f ca="1"/>
        <v>1606.2</v>
      </c>
      <c r="CB109" vm="4023">
        <f ca="1"/>
        <v>1597.3</v>
      </c>
      <c r="CC109" vm="4024">
        <f ca="1"/>
        <v>1590.75</v>
      </c>
      <c r="CD109" vm="4025">
        <f ca="1"/>
        <v>1589.5</v>
      </c>
      <c r="CE109" vm="4026">
        <f ca="1"/>
        <v>1582.7</v>
      </c>
      <c r="CF109" vm="4027">
        <f ca="1"/>
        <v>1586.6</v>
      </c>
      <c r="CG109" vm="4028">
        <f ca="1"/>
        <v>1579.3</v>
      </c>
      <c r="CH109" vm="4029">
        <f ca="1"/>
        <v>1561.5</v>
      </c>
      <c r="CI109" vm="4030">
        <f ca="1"/>
        <v>1577.75</v>
      </c>
      <c r="CJ109" vm="4031">
        <f ca="1"/>
        <v>1590.3</v>
      </c>
      <c r="CK109" vm="4032">
        <f ca="1"/>
        <v>1578.7</v>
      </c>
      <c r="CL109" vm="4033">
        <f ca="1"/>
        <v>1571.45</v>
      </c>
      <c r="CM109" vm="4034">
        <f ca="1"/>
        <v>1574.7</v>
      </c>
      <c r="CN109" vm="4035">
        <f ca="1"/>
        <v>1584.55</v>
      </c>
      <c r="CO109" vm="4036">
        <f ca="1"/>
        <v>1574.9</v>
      </c>
      <c r="CP109" vm="4037">
        <f ca="1"/>
        <v>1595.5</v>
      </c>
      <c r="CQ109" vm="3972">
        <f ca="1"/>
        <v>1610.85</v>
      </c>
      <c r="CR109" vm="4038">
        <f ca="1"/>
        <v>1623.4</v>
      </c>
      <c r="CS109" vm="4039">
        <f ca="1"/>
        <v>1631.8</v>
      </c>
      <c r="CT109" vm="4040">
        <f ca="1"/>
        <v>1636.9</v>
      </c>
      <c r="CU109" vm="4041">
        <f ca="1"/>
        <v>1643.9</v>
      </c>
      <c r="CV109" vm="4042">
        <f ca="1"/>
        <v>1642.9</v>
      </c>
      <c r="CW109" vm="4043">
        <f ca="1"/>
        <v>1661.75</v>
      </c>
      <c r="CX109" vm="4044">
        <f ca="1"/>
        <v>1629.05</v>
      </c>
      <c r="CY109" vm="4045">
        <f ca="1"/>
        <v>1563.7</v>
      </c>
      <c r="CZ109" vm="4046">
        <f ca="1"/>
        <v>1553.35</v>
      </c>
      <c r="DA109" vm="4047">
        <f ca="1"/>
        <v>1529.65</v>
      </c>
      <c r="DB109" vm="4048">
        <f ca="1"/>
        <v>1531</v>
      </c>
      <c r="DC109" vm="4049">
        <f ca="1"/>
        <v>1537.65</v>
      </c>
      <c r="DD109" vm="4050">
        <f ca="1"/>
        <v>1526.85</v>
      </c>
      <c r="DE109" vm="4051">
        <f ca="1"/>
        <v>1523.7</v>
      </c>
      <c r="DF109" vm="4052">
        <f ca="1"/>
        <v>1526.3</v>
      </c>
      <c r="DG109" vm="4053">
        <f ca="1"/>
        <v>1508.05</v>
      </c>
      <c r="DH109" vm="4054">
        <f ca="1"/>
        <v>1529.55</v>
      </c>
      <c r="DI109" vm="4055">
        <f ca="1"/>
        <v>1535.75</v>
      </c>
      <c r="DJ109" vm="4056">
        <f ca="1"/>
        <v>1534.05</v>
      </c>
      <c r="DK109" vm="4057">
        <f ca="1"/>
        <v>1516.25</v>
      </c>
      <c r="DL109" vm="4058">
        <f ca="1"/>
        <v>1524.85</v>
      </c>
      <c r="DM109" vm="4059">
        <f ca="1"/>
        <v>1539.6</v>
      </c>
      <c r="DN109" vm="4060">
        <f ca="1"/>
        <v>1549.85</v>
      </c>
      <c r="DO109" vm="4055">
        <f ca="1"/>
        <v>1535.75</v>
      </c>
      <c r="DP109" vm="4061">
        <f ca="1"/>
        <v>1529.6</v>
      </c>
      <c r="DQ109" vm="4062">
        <f ca="1"/>
        <v>1541.2</v>
      </c>
      <c r="DR109" vm="4063">
        <f ca="1"/>
        <v>1519.75</v>
      </c>
      <c r="DS109" vm="4064">
        <f ca="1"/>
        <v>1514.95</v>
      </c>
      <c r="DT109" vm="4065">
        <f ca="1"/>
        <v>1522.8</v>
      </c>
      <c r="DU109" vm="4066">
        <f ca="1"/>
        <v>1506.05</v>
      </c>
      <c r="DV109" vm="4067">
        <f ca="1"/>
        <v>1496.5</v>
      </c>
      <c r="DW109" vm="4068">
        <f ca="1"/>
        <v>1463.4</v>
      </c>
      <c r="DX109" vm="4069">
        <f ca="1"/>
        <v>1469.15</v>
      </c>
      <c r="DY109" vm="4070">
        <f ca="1"/>
        <v>1485.1</v>
      </c>
      <c r="DZ109" vm="4071">
        <f ca="1"/>
        <v>1476.5</v>
      </c>
      <c r="EA109" vm="4072">
        <f ca="1"/>
        <v>1474.5</v>
      </c>
      <c r="EB109" vm="4073">
        <f ca="1"/>
        <v>1476.75</v>
      </c>
      <c r="EC109" vm="3872">
        <f ca="1"/>
        <v>1483.75</v>
      </c>
      <c r="ED109" vm="4074">
        <f ca="1"/>
        <v>1494.5</v>
      </c>
      <c r="EE109" vm="4075">
        <f ca="1"/>
        <v>1487.25</v>
      </c>
      <c r="EF109" vm="4076">
        <f ca="1"/>
        <v>1491.55</v>
      </c>
      <c r="EG109" vm="4077">
        <f ca="1"/>
        <v>1485.65</v>
      </c>
      <c r="EH109" vm="4078">
        <f ca="1"/>
        <v>1491.5</v>
      </c>
      <c r="EI109" vm="4079">
        <f ca="1"/>
        <v>1500</v>
      </c>
      <c r="EJ109" vm="4080">
        <f ca="1"/>
        <v>1488.8</v>
      </c>
      <c r="EK109" vm="4081">
        <f ca="1"/>
        <v>1504.4</v>
      </c>
      <c r="EL109" vm="4082">
        <f ca="1"/>
        <v>1508.35</v>
      </c>
      <c r="EM109" vm="4083">
        <f ca="1"/>
        <v>1505.1</v>
      </c>
      <c r="EN109" vm="4084">
        <f ca="1"/>
        <v>1505.2</v>
      </c>
      <c r="EO109" vm="4085">
        <f ca="1"/>
        <v>1517.95</v>
      </c>
      <c r="EP109" vm="4086">
        <f ca="1"/>
        <v>1512.55</v>
      </c>
      <c r="EQ109" vm="4087">
        <f ca="1"/>
        <v>1521.3</v>
      </c>
      <c r="ER109" vm="4088">
        <f ca="1"/>
        <v>1532.1</v>
      </c>
      <c r="ES109" vm="4089">
        <f ca="1"/>
        <v>1528.65</v>
      </c>
      <c r="ET109" vm="4090">
        <f ca="1"/>
        <v>1559.15</v>
      </c>
      <c r="EU109" vm="4091">
        <f ca="1"/>
        <v>1558.8</v>
      </c>
      <c r="EV109" vm="4092">
        <f ca="1"/>
        <v>1555.4</v>
      </c>
      <c r="EW109" vm="4093">
        <f ca="1"/>
        <v>1609.4</v>
      </c>
      <c r="EX109" vm="4094">
        <f ca="1"/>
        <v>1623.7</v>
      </c>
      <c r="EY109" vm="4095">
        <f ca="1"/>
        <v>1627.8</v>
      </c>
      <c r="EZ109" vm="4096">
        <f ca="1"/>
        <v>1630.45</v>
      </c>
      <c r="FA109" vm="3960">
        <f ca="1"/>
        <v>1653.2</v>
      </c>
      <c r="FB109" vm="4097">
        <f ca="1"/>
        <v>1651</v>
      </c>
      <c r="FC109" vm="4098">
        <f ca="1"/>
        <v>1634.6</v>
      </c>
      <c r="FD109" vm="4099">
        <f ca="1"/>
        <v>1630.9</v>
      </c>
      <c r="FE109" vm="4100">
        <f ca="1"/>
        <v>1650.15</v>
      </c>
      <c r="FF109" vm="4101">
        <f ca="1"/>
        <v>1656.55</v>
      </c>
      <c r="FG109" vm="4102">
        <f ca="1"/>
        <v>1655.7</v>
      </c>
      <c r="FH109" vm="4103">
        <f ca="1"/>
        <v>1652.9</v>
      </c>
      <c r="FI109" vm="4104">
        <f ca="1"/>
        <v>1657</v>
      </c>
      <c r="FJ109" vm="4105">
        <f ca="1"/>
        <v>1686.7</v>
      </c>
      <c r="FK109" vm="4106">
        <f ca="1"/>
        <v>1670.85</v>
      </c>
      <c r="FL109" vm="4107">
        <f ca="1"/>
        <v>1682.45</v>
      </c>
      <c r="FM109" vm="4108">
        <f ca="1"/>
        <v>1703.3</v>
      </c>
      <c r="FN109" vm="4109">
        <f ca="1"/>
        <v>1705.25</v>
      </c>
      <c r="FO109" vm="4110">
        <f ca="1"/>
        <v>1709.25</v>
      </c>
      <c r="FP109" vm="4111">
        <f ca="1"/>
        <v>1698.1</v>
      </c>
      <c r="FQ109" vm="4112">
        <f ca="1"/>
        <v>1699.1</v>
      </c>
      <c r="FR109" vm="4113">
        <f ca="1"/>
        <v>1672.9</v>
      </c>
      <c r="FS109" vm="4114">
        <f ca="1"/>
        <v>1690.85</v>
      </c>
      <c r="FT109" vm="4115">
        <f ca="1"/>
        <v>1682.2</v>
      </c>
      <c r="FU109" vm="4116">
        <f ca="1"/>
        <v>1663.45</v>
      </c>
      <c r="FV109" vm="4018">
        <f ca="1"/>
        <v>1650.5</v>
      </c>
      <c r="FW109" vm="4117">
        <f ca="1"/>
        <v>1655.95</v>
      </c>
      <c r="FX109" vm="4118">
        <f ca="1"/>
        <v>1649</v>
      </c>
      <c r="FY109" vm="4119">
        <f ca="1"/>
        <v>1641.2</v>
      </c>
      <c r="FZ109" vm="4120">
        <f ca="1"/>
        <v>1672.8</v>
      </c>
      <c r="GA109" vm="4121">
        <f ca="1"/>
        <v>1679.15</v>
      </c>
      <c r="GB109" vm="4122">
        <f ca="1"/>
        <v>1537.5</v>
      </c>
      <c r="GC109" vm="4123">
        <f ca="1"/>
        <v>1486.15</v>
      </c>
      <c r="GD109" vm="4124">
        <f ca="1"/>
        <v>1470.65</v>
      </c>
      <c r="GE109" vm="4125">
        <f ca="1"/>
        <v>1478.85</v>
      </c>
      <c r="GF109" vm="4126">
        <f ca="1"/>
        <v>1427.35</v>
      </c>
      <c r="GG109" vm="4127">
        <f ca="1"/>
        <v>1455.9</v>
      </c>
      <c r="GH109" vm="4128">
        <f ca="1"/>
        <v>1434.9</v>
      </c>
      <c r="GI109" vm="4129">
        <f ca="1"/>
        <v>1454.65</v>
      </c>
      <c r="GJ109" vm="4130">
        <f ca="1"/>
        <v>1444.3</v>
      </c>
      <c r="GK109" vm="4131">
        <f ca="1"/>
        <v>1462.55</v>
      </c>
      <c r="GL109" vm="4132">
        <f ca="1"/>
        <v>1466.35</v>
      </c>
      <c r="GM109" vm="4133">
        <f ca="1"/>
        <v>1446.15</v>
      </c>
      <c r="GN109" vm="1763">
        <f ca="1"/>
        <v>1444.85</v>
      </c>
      <c r="GO109" vm="4134">
        <f ca="1"/>
        <v>1444.1</v>
      </c>
      <c r="GP109" vm="1767">
        <f ca="1"/>
        <v>1429.95</v>
      </c>
      <c r="GQ109" vm="4135">
        <f ca="1"/>
        <v>1403.05</v>
      </c>
      <c r="GR109" vm="4136">
        <f ca="1"/>
        <v>1403.6</v>
      </c>
      <c r="GS109" vm="4137">
        <f ca="1"/>
        <v>1390</v>
      </c>
      <c r="GT109" vm="4138">
        <f ca="1"/>
        <v>1394.45</v>
      </c>
      <c r="GU109" vm="4139">
        <f ca="1"/>
        <v>1384.05</v>
      </c>
      <c r="GV109" vm="4140">
        <f ca="1"/>
        <v>1414.05</v>
      </c>
      <c r="GW109" vm="4141">
        <f ca="1"/>
        <v>1419.9</v>
      </c>
      <c r="GX109" vm="4142">
        <f ca="1"/>
        <v>1417.1</v>
      </c>
      <c r="GY109" vm="4143">
        <f ca="1"/>
        <v>1454.3</v>
      </c>
      <c r="GZ109" vm="4144">
        <f ca="1"/>
        <v>1439.15</v>
      </c>
      <c r="HA109" vm="4145">
        <f ca="1"/>
        <v>1419.55</v>
      </c>
      <c r="HB109" vm="4146">
        <f ca="1"/>
        <v>1420.6</v>
      </c>
      <c r="HC109" vm="4147">
        <f ca="1"/>
        <v>1422.3</v>
      </c>
      <c r="HD109" vm="4148">
        <f ca="1"/>
        <v>1420.15</v>
      </c>
      <c r="HE109" vm="4149">
        <f ca="1"/>
        <v>1409.4</v>
      </c>
      <c r="HF109" vm="4150">
        <f ca="1"/>
        <v>1403.4</v>
      </c>
      <c r="HG109" vm="4151">
        <f ca="1"/>
        <v>1430.75</v>
      </c>
      <c r="HH109" vm="4151">
        <f ca="1"/>
        <v>1430.75</v>
      </c>
      <c r="HI109" vm="4152">
        <f ca="1"/>
        <v>1432.7</v>
      </c>
      <c r="HJ109" vm="4153">
        <f ca="1"/>
        <v>1440.85</v>
      </c>
      <c r="HK109" vm="4154">
        <f ca="1"/>
        <v>1442.6</v>
      </c>
      <c r="HL109" vm="4155">
        <f ca="1"/>
        <v>1446.1</v>
      </c>
      <c r="HM109" vm="4156">
        <f ca="1"/>
        <v>1427.8</v>
      </c>
      <c r="HN109" vm="4157">
        <f ca="1"/>
        <v>1459.55</v>
      </c>
      <c r="HO109" vm="3878">
        <f ca="1"/>
        <v>1460.4</v>
      </c>
      <c r="HP109" vm="4158">
        <f ca="1"/>
        <v>1455.45</v>
      </c>
      <c r="HQ109" vm="4159">
        <f ca="1"/>
        <v>1452.65</v>
      </c>
      <c r="HR109" vm="4160">
        <f ca="1"/>
        <v>1446.05</v>
      </c>
      <c r="HS109" vm="4161">
        <f ca="1"/>
        <v>1449.35</v>
      </c>
      <c r="HT109" vm="4162">
        <f ca="1"/>
        <v>1431.05</v>
      </c>
      <c r="HU109" vm="4163">
        <f ca="1"/>
        <v>1445.75</v>
      </c>
      <c r="HV109" vm="4164">
        <f ca="1"/>
        <v>1442.85</v>
      </c>
      <c r="HW109" vm="4165">
        <f ca="1"/>
        <v>1425.4</v>
      </c>
      <c r="HX109" vm="4166">
        <f ca="1"/>
        <v>1440.7</v>
      </c>
      <c r="HY109" vm="3877">
        <f ca="1"/>
        <v>1447.9</v>
      </c>
      <c r="HZ109" vm="4167">
        <f ca="1"/>
        <v>1470.5</v>
      </c>
      <c r="IA109" vm="4168">
        <f ca="1"/>
        <v>1480.15</v>
      </c>
      <c r="IB109" vm="4169">
        <f ca="1"/>
        <v>1482.3</v>
      </c>
      <c r="IC109" vm="4170">
        <f ca="1"/>
        <v>1527.6</v>
      </c>
      <c r="ID109" vm="4171">
        <f ca="1"/>
        <v>1549.55</v>
      </c>
      <c r="IE109" vm="4172">
        <f ca="1"/>
        <v>1546.6</v>
      </c>
      <c r="IF109" vm="4173">
        <f ca="1"/>
        <v>1548.55</v>
      </c>
      <c r="IG109" vm="4174">
        <f ca="1"/>
        <v>1536.35</v>
      </c>
      <c r="IH109" vm="4175">
        <f ca="1"/>
        <v>1518.95</v>
      </c>
      <c r="II109" vm="4176">
        <f ca="1"/>
        <v>1494.7</v>
      </c>
      <c r="IJ109" vm="4177">
        <f ca="1"/>
        <v>1509.25</v>
      </c>
      <c r="IK109" vm="4176">
        <f ca="1"/>
        <v>1494.7</v>
      </c>
      <c r="IL109" vm="4178">
        <f ca="1"/>
        <v>1531.3</v>
      </c>
      <c r="IM109" vm="4179">
        <f ca="1"/>
        <v>1512.2</v>
      </c>
      <c r="IN109" vm="4180">
        <f ca="1"/>
        <v>1507.6</v>
      </c>
      <c r="IO109" vm="4181">
        <f ca="1"/>
        <v>1511.7</v>
      </c>
      <c r="IP109" vm="4182">
        <f ca="1"/>
        <v>1510.75</v>
      </c>
      <c r="IQ109" vm="4183">
        <f ca="1"/>
        <v>1509.8</v>
      </c>
      <c r="IR109" vm="4184">
        <f ca="1"/>
        <v>1529.5</v>
      </c>
    </row>
    <row r="110" spans="4:252" x14ac:dyDescent="0.35">
      <c r="D110" t="e" vm="17">
        <v>#VALUE!</v>
      </c>
      <c r="E110" cm="1" vm="4185">
        <f t="array" aca="1" ref="E110:IR110" ca="1">TRANSPOSE((_xlfn.STOCKHISTORY('Portfolio Tracker '!$C24,TODAY()-365,TODAY(),0,0,1)))</f>
        <v>64.45</v>
      </c>
      <c r="F110" vm="4186">
        <f ca="1"/>
        <v>64.900000000000006</v>
      </c>
      <c r="G110" vm="4187">
        <f ca="1"/>
        <v>67.5</v>
      </c>
      <c r="H110" vm="4188">
        <f ca="1"/>
        <v>66.599999999999994</v>
      </c>
      <c r="I110" vm="4189">
        <f ca="1"/>
        <v>66.25</v>
      </c>
      <c r="J110" vm="4190">
        <f ca="1"/>
        <v>66.650000000000006</v>
      </c>
      <c r="K110" vm="4191">
        <f ca="1"/>
        <v>66.5</v>
      </c>
      <c r="L110" vm="4192">
        <f ca="1"/>
        <v>67.400000000000006</v>
      </c>
      <c r="M110" vm="4193">
        <f ca="1"/>
        <v>66.2</v>
      </c>
      <c r="N110" vm="4194">
        <f ca="1"/>
        <v>68.05</v>
      </c>
      <c r="O110" vm="4192">
        <f ca="1"/>
        <v>67.400000000000006</v>
      </c>
      <c r="P110" vm="4195">
        <f ca="1"/>
        <v>66.400000000000006</v>
      </c>
      <c r="Q110" vm="4196">
        <f ca="1"/>
        <v>65.55</v>
      </c>
      <c r="R110" vm="4197">
        <f ca="1"/>
        <v>64.849999999999994</v>
      </c>
      <c r="S110" vm="4198">
        <f ca="1"/>
        <v>65.25</v>
      </c>
      <c r="T110" vm="4199">
        <f ca="1"/>
        <v>64.349999999999994</v>
      </c>
      <c r="U110" vm="4200">
        <f ca="1"/>
        <v>64.150000000000006</v>
      </c>
      <c r="V110" vm="4201">
        <f ca="1"/>
        <v>63.4</v>
      </c>
      <c r="W110" vm="4202">
        <f ca="1"/>
        <v>63.35</v>
      </c>
      <c r="X110" vm="4202">
        <f ca="1"/>
        <v>63.35</v>
      </c>
      <c r="Y110" vm="4202">
        <f ca="1"/>
        <v>63.35</v>
      </c>
      <c r="Z110" vm="4203">
        <f ca="1"/>
        <v>64.7</v>
      </c>
      <c r="AA110" vm="4204">
        <f ca="1"/>
        <v>64.55</v>
      </c>
      <c r="AB110" vm="4205">
        <f ca="1"/>
        <v>64.650000000000006</v>
      </c>
      <c r="AC110" vm="4187">
        <f ca="1"/>
        <v>67.5</v>
      </c>
      <c r="AD110" vm="4206">
        <f ca="1"/>
        <v>67.05</v>
      </c>
      <c r="AE110" vm="4207">
        <f ca="1"/>
        <v>69</v>
      </c>
      <c r="AF110" vm="4208">
        <f ca="1"/>
        <v>68.849999999999994</v>
      </c>
      <c r="AG110" vm="4209">
        <f ca="1"/>
        <v>70.150000000000006</v>
      </c>
      <c r="AH110" vm="4210">
        <f ca="1"/>
        <v>70.400000000000006</v>
      </c>
      <c r="AI110" vm="4211">
        <f ca="1"/>
        <v>70</v>
      </c>
      <c r="AJ110" vm="4212">
        <f ca="1"/>
        <v>69.8</v>
      </c>
      <c r="AK110" vm="4213">
        <f ca="1"/>
        <v>68.650000000000006</v>
      </c>
      <c r="AL110" vm="4214">
        <f ca="1"/>
        <v>68.400000000000006</v>
      </c>
      <c r="AM110" vm="4215">
        <f ca="1"/>
        <v>68.5</v>
      </c>
      <c r="AN110" vm="4216">
        <f ca="1"/>
        <v>68.150000000000006</v>
      </c>
      <c r="AO110" vm="4217">
        <f ca="1"/>
        <v>67.650000000000006</v>
      </c>
      <c r="AP110" vm="4190">
        <f ca="1"/>
        <v>66.650000000000006</v>
      </c>
      <c r="AQ110" vm="4196">
        <f ca="1"/>
        <v>65.55</v>
      </c>
      <c r="AR110" vm="4218">
        <f ca="1"/>
        <v>65.05</v>
      </c>
      <c r="AS110" vm="4219">
        <f ca="1"/>
        <v>65.5</v>
      </c>
      <c r="AT110" vm="4220">
        <f ca="1"/>
        <v>64.75</v>
      </c>
      <c r="AU110" vm="4221">
        <f ca="1"/>
        <v>64.95</v>
      </c>
      <c r="AV110" vm="4222">
        <f ca="1"/>
        <v>68.25</v>
      </c>
      <c r="AW110" vm="4223">
        <f ca="1"/>
        <v>67.599999999999994</v>
      </c>
      <c r="AX110" vm="4206">
        <f ca="1"/>
        <v>67.05</v>
      </c>
      <c r="AY110" vm="4223">
        <f ca="1"/>
        <v>67.599999999999994</v>
      </c>
      <c r="AZ110" vm="4224">
        <f ca="1"/>
        <v>66.7</v>
      </c>
      <c r="BA110" vm="4225">
        <f ca="1"/>
        <v>65.3</v>
      </c>
      <c r="BB110" vm="4226">
        <f ca="1"/>
        <v>65.599999999999994</v>
      </c>
      <c r="BC110" vm="4220">
        <f ca="1"/>
        <v>64.75</v>
      </c>
      <c r="BD110" vm="4227">
        <f ca="1"/>
        <v>63.95</v>
      </c>
      <c r="BE110" vm="4228">
        <f ca="1"/>
        <v>64.099999999999994</v>
      </c>
      <c r="BF110" vm="4229">
        <f ca="1"/>
        <v>66</v>
      </c>
      <c r="BG110" vm="4221">
        <f ca="1"/>
        <v>64.95</v>
      </c>
      <c r="BH110" vm="4230">
        <f ca="1"/>
        <v>66.05</v>
      </c>
      <c r="BI110" vm="4198">
        <f ca="1"/>
        <v>65.25</v>
      </c>
      <c r="BJ110" vm="4220">
        <f ca="1"/>
        <v>64.75</v>
      </c>
      <c r="BK110" vm="4204">
        <f ca="1"/>
        <v>64.55</v>
      </c>
      <c r="BL110" vm="4221">
        <f ca="1"/>
        <v>64.95</v>
      </c>
      <c r="BM110" vm="4231">
        <f ca="1"/>
        <v>65</v>
      </c>
      <c r="BN110" vm="4232">
        <f ca="1"/>
        <v>63.7</v>
      </c>
      <c r="BO110" vm="4233">
        <f ca="1"/>
        <v>63.75</v>
      </c>
      <c r="BP110" vm="4234">
        <f ca="1"/>
        <v>63.8</v>
      </c>
      <c r="BQ110" vm="4235">
        <f ca="1"/>
        <v>66.150000000000006</v>
      </c>
      <c r="BR110" vm="4236">
        <f ca="1"/>
        <v>65.150000000000006</v>
      </c>
      <c r="BS110" vm="4237">
        <f ca="1"/>
        <v>65.650000000000006</v>
      </c>
      <c r="BT110" vm="4238">
        <f ca="1"/>
        <v>65.45</v>
      </c>
      <c r="BU110" vm="4239">
        <f ca="1"/>
        <v>73.150000000000006</v>
      </c>
      <c r="BV110" vm="4240">
        <f ca="1"/>
        <v>70.2</v>
      </c>
      <c r="BW110" vm="4241">
        <f ca="1"/>
        <v>71.8</v>
      </c>
      <c r="BX110" vm="4242">
        <f ca="1"/>
        <v>69.849999999999994</v>
      </c>
      <c r="BY110" vm="4243">
        <f ca="1"/>
        <v>68.8</v>
      </c>
      <c r="BZ110" vm="4244">
        <f ca="1"/>
        <v>67.95</v>
      </c>
      <c r="CA110" vm="4213">
        <f ca="1"/>
        <v>68.650000000000006</v>
      </c>
      <c r="CB110" vm="4245">
        <f ca="1"/>
        <v>68</v>
      </c>
      <c r="CC110" vm="4246">
        <f ca="1"/>
        <v>67.25</v>
      </c>
      <c r="CD110" vm="4206">
        <f ca="1"/>
        <v>67.05</v>
      </c>
      <c r="CE110" vm="4247">
        <f ca="1"/>
        <v>67.8</v>
      </c>
      <c r="CF110" vm="4248">
        <f ca="1"/>
        <v>67.349999999999994</v>
      </c>
      <c r="CG110" vm="4249">
        <f ca="1"/>
        <v>68.95</v>
      </c>
      <c r="CH110" vm="4250">
        <f ca="1"/>
        <v>71.5</v>
      </c>
      <c r="CI110" vm="4251">
        <f ca="1"/>
        <v>71.45</v>
      </c>
      <c r="CJ110" vm="4252">
        <f ca="1"/>
        <v>71.400000000000006</v>
      </c>
      <c r="CK110" vm="4253">
        <f ca="1"/>
        <v>72.849999999999994</v>
      </c>
      <c r="CL110" vm="4254">
        <f ca="1"/>
        <v>76.2</v>
      </c>
      <c r="CM110" vm="4255">
        <f ca="1"/>
        <v>74.849999999999994</v>
      </c>
      <c r="CN110" vm="4256">
        <f ca="1"/>
        <v>75.3</v>
      </c>
      <c r="CO110" vm="4257">
        <f ca="1"/>
        <v>79.349999999999994</v>
      </c>
      <c r="CP110" vm="4258">
        <f ca="1"/>
        <v>78.8</v>
      </c>
      <c r="CQ110" vm="4259">
        <f ca="1"/>
        <v>77.650000000000006</v>
      </c>
      <c r="CR110" vm="4260">
        <f ca="1"/>
        <v>76.150000000000006</v>
      </c>
      <c r="CS110" vm="4261">
        <f ca="1"/>
        <v>77.3</v>
      </c>
      <c r="CT110" vm="4262">
        <f ca="1"/>
        <v>71.7</v>
      </c>
      <c r="CU110" vm="4263">
        <f ca="1"/>
        <v>73.400000000000006</v>
      </c>
      <c r="CV110" vm="4264">
        <f ca="1"/>
        <v>74</v>
      </c>
      <c r="CW110" vm="4265">
        <f ca="1"/>
        <v>72.900000000000006</v>
      </c>
      <c r="CX110" vm="4266">
        <f ca="1"/>
        <v>74.05</v>
      </c>
      <c r="CY110" vm="4267">
        <f ca="1"/>
        <v>73.900000000000006</v>
      </c>
      <c r="CZ110" vm="4268">
        <f ca="1"/>
        <v>73.8</v>
      </c>
      <c r="DA110" vm="4269">
        <f ca="1"/>
        <v>72.3</v>
      </c>
      <c r="DB110" vm="4262">
        <f ca="1"/>
        <v>71.7</v>
      </c>
      <c r="DC110" vm="4270">
        <f ca="1"/>
        <v>71.599999999999994</v>
      </c>
      <c r="DD110" vm="4271">
        <f ca="1"/>
        <v>75.95</v>
      </c>
      <c r="DE110" vm="4272">
        <f ca="1"/>
        <v>76</v>
      </c>
      <c r="DF110" vm="4273">
        <f ca="1"/>
        <v>77.150000000000006</v>
      </c>
      <c r="DG110" vm="4274">
        <f ca="1"/>
        <v>77.5</v>
      </c>
      <c r="DH110" vm="4275">
        <f ca="1"/>
        <v>75</v>
      </c>
      <c r="DI110" vm="4266">
        <f ca="1"/>
        <v>74.05</v>
      </c>
      <c r="DJ110" vm="4276">
        <f ca="1"/>
        <v>75.349999999999994</v>
      </c>
      <c r="DK110" vm="4277">
        <f ca="1"/>
        <v>72.150000000000006</v>
      </c>
      <c r="DL110" vm="4278">
        <f ca="1"/>
        <v>73.05</v>
      </c>
      <c r="DM110" vm="4239">
        <f ca="1"/>
        <v>73.150000000000006</v>
      </c>
      <c r="DN110" vm="4265">
        <f ca="1"/>
        <v>72.900000000000006</v>
      </c>
      <c r="DO110" vm="4279">
        <f ca="1"/>
        <v>74.55</v>
      </c>
      <c r="DP110" vm="4280">
        <f ca="1"/>
        <v>75.8</v>
      </c>
      <c r="DQ110" vm="4281">
        <f ca="1"/>
        <v>74.400000000000006</v>
      </c>
      <c r="DR110" vm="4282">
        <f ca="1"/>
        <v>72.95</v>
      </c>
      <c r="DS110" vm="4283">
        <f ca="1"/>
        <v>73</v>
      </c>
      <c r="DT110" vm="4208">
        <f ca="1"/>
        <v>68.849999999999994</v>
      </c>
      <c r="DU110" vm="4197">
        <f ca="1"/>
        <v>64.849999999999994</v>
      </c>
      <c r="DV110" vm="4284">
        <f ca="1"/>
        <v>63.65</v>
      </c>
      <c r="DW110" vm="4202">
        <f ca="1"/>
        <v>63.35</v>
      </c>
      <c r="DX110" vm="4285">
        <f ca="1"/>
        <v>64.599999999999994</v>
      </c>
      <c r="DY110" vm="4236">
        <f ca="1"/>
        <v>65.150000000000006</v>
      </c>
      <c r="DZ110" vm="4286">
        <f ca="1"/>
        <v>65.2</v>
      </c>
      <c r="EA110" vm="4185">
        <f ca="1"/>
        <v>64.45</v>
      </c>
      <c r="EB110" vm="4197">
        <f ca="1"/>
        <v>64.849999999999994</v>
      </c>
      <c r="EC110" vm="4230">
        <f ca="1"/>
        <v>66.05</v>
      </c>
      <c r="ED110" vm="4287">
        <f ca="1"/>
        <v>65.849999999999994</v>
      </c>
      <c r="EE110" vm="4189">
        <f ca="1"/>
        <v>66.25</v>
      </c>
      <c r="EF110" vm="4288">
        <f ca="1"/>
        <v>66.099999999999994</v>
      </c>
      <c r="EG110" vm="4196">
        <f ca="1"/>
        <v>65.55</v>
      </c>
      <c r="EH110" vm="4289">
        <f ca="1"/>
        <v>65.7</v>
      </c>
      <c r="EI110" vm="4189">
        <f ca="1"/>
        <v>66.25</v>
      </c>
      <c r="EJ110" vm="4290">
        <f ca="1"/>
        <v>65.900000000000006</v>
      </c>
      <c r="EK110" vm="4291">
        <f ca="1"/>
        <v>68.349999999999994</v>
      </c>
      <c r="EL110" vm="4292">
        <f ca="1"/>
        <v>69.599999999999994</v>
      </c>
      <c r="EM110" vm="4243">
        <f ca="1"/>
        <v>68.8</v>
      </c>
      <c r="EN110" vm="4293">
        <f ca="1"/>
        <v>68.2</v>
      </c>
      <c r="EO110" vm="4223">
        <f ca="1"/>
        <v>67.599999999999994</v>
      </c>
      <c r="EP110" vm="4294">
        <f ca="1"/>
        <v>66.55</v>
      </c>
      <c r="EQ110" vm="4295">
        <f ca="1"/>
        <v>66.95</v>
      </c>
      <c r="ER110" vm="4296">
        <f ca="1"/>
        <v>66.75</v>
      </c>
      <c r="ES110" vm="4224">
        <f ca="1"/>
        <v>66.7</v>
      </c>
      <c r="ET110" vm="4297">
        <f ca="1"/>
        <v>66.900000000000006</v>
      </c>
      <c r="EU110" vm="4190">
        <f ca="1"/>
        <v>66.650000000000006</v>
      </c>
      <c r="EV110" vm="4296">
        <f ca="1"/>
        <v>66.75</v>
      </c>
      <c r="EW110" vm="4298">
        <f ca="1"/>
        <v>67.7</v>
      </c>
      <c r="EX110" vm="4299">
        <f ca="1"/>
        <v>66.849999999999994</v>
      </c>
      <c r="EY110" vm="4300">
        <f ca="1"/>
        <v>66.45</v>
      </c>
      <c r="EZ110" vm="4301">
        <f ca="1"/>
        <v>70.349999999999994</v>
      </c>
      <c r="FA110" vm="4302">
        <f ca="1"/>
        <v>68.3</v>
      </c>
      <c r="FB110" vm="4303">
        <f ca="1"/>
        <v>68.45</v>
      </c>
      <c r="FC110" vm="4223">
        <f ca="1"/>
        <v>67.599999999999994</v>
      </c>
      <c r="FD110" vm="4194">
        <f ca="1"/>
        <v>68.05</v>
      </c>
      <c r="FE110" vm="4304">
        <f ca="1"/>
        <v>67.75</v>
      </c>
      <c r="FF110" vm="4305">
        <f ca="1"/>
        <v>74.099999999999994</v>
      </c>
      <c r="FG110" vm="4306">
        <f ca="1"/>
        <v>78.099999999999994</v>
      </c>
      <c r="FH110" vm="4307">
        <f ca="1"/>
        <v>81.05</v>
      </c>
      <c r="FI110" vm="4279">
        <f ca="1"/>
        <v>74.55</v>
      </c>
      <c r="FJ110" vm="4261">
        <f ca="1"/>
        <v>77.3</v>
      </c>
      <c r="FK110" vm="4308">
        <f ca="1"/>
        <v>82</v>
      </c>
      <c r="FL110" vm="4309">
        <f ca="1"/>
        <v>85.8</v>
      </c>
      <c r="FM110" vm="4310">
        <f ca="1"/>
        <v>84.1</v>
      </c>
      <c r="FN110" vm="4311">
        <f ca="1"/>
        <v>82.75</v>
      </c>
      <c r="FO110" vm="4312">
        <f ca="1"/>
        <v>84.15</v>
      </c>
      <c r="FP110" vm="4313">
        <f ca="1"/>
        <v>84.55</v>
      </c>
      <c r="FQ110" vm="4314">
        <f ca="1"/>
        <v>85.2</v>
      </c>
      <c r="FR110" vm="4315">
        <f ca="1"/>
        <v>88.05</v>
      </c>
      <c r="FS110" vm="4316">
        <f ca="1"/>
        <v>91.25</v>
      </c>
      <c r="FT110" vm="4317">
        <f ca="1"/>
        <v>91.95</v>
      </c>
      <c r="FU110" vm="4318">
        <f ca="1"/>
        <v>91.8</v>
      </c>
      <c r="FV110" vm="4319">
        <f ca="1"/>
        <v>90.6</v>
      </c>
      <c r="FW110" vm="4320">
        <f ca="1"/>
        <v>89</v>
      </c>
      <c r="FX110" vm="4321">
        <f ca="1"/>
        <v>89.2</v>
      </c>
      <c r="FY110" vm="4322">
        <f ca="1"/>
        <v>87.7</v>
      </c>
      <c r="FZ110" vm="4323">
        <f ca="1"/>
        <v>88.4</v>
      </c>
      <c r="GA110" vm="4324">
        <f ca="1"/>
        <v>86.1</v>
      </c>
      <c r="GB110" vm="4325">
        <f ca="1"/>
        <v>84</v>
      </c>
      <c r="GC110" vm="4326">
        <f ca="1"/>
        <v>84.6</v>
      </c>
      <c r="GD110" vm="4327">
        <f ca="1"/>
        <v>88.55</v>
      </c>
      <c r="GE110" vm="4328">
        <f ca="1"/>
        <v>99.7</v>
      </c>
      <c r="GF110" vm="4329">
        <f ca="1"/>
        <v>93.65</v>
      </c>
      <c r="GG110" vm="4330">
        <f ca="1"/>
        <v>105.65</v>
      </c>
      <c r="GH110" vm="4331">
        <f ca="1"/>
        <v>105.75</v>
      </c>
      <c r="GI110" vm="4332">
        <f ca="1"/>
        <v>103.25</v>
      </c>
      <c r="GJ110" vm="4333">
        <f ca="1"/>
        <v>101.05</v>
      </c>
      <c r="GK110" vm="4334">
        <f ca="1"/>
        <v>103.1</v>
      </c>
      <c r="GL110" vm="4335">
        <f ca="1"/>
        <v>103.45</v>
      </c>
      <c r="GM110" vm="4336">
        <f ca="1"/>
        <v>96.8</v>
      </c>
      <c r="GN110" vm="4337">
        <f ca="1"/>
        <v>98.25</v>
      </c>
      <c r="GO110" vm="4338">
        <f ca="1"/>
        <v>103.5</v>
      </c>
      <c r="GP110" vm="4339">
        <f ca="1"/>
        <v>105.8</v>
      </c>
      <c r="GQ110" vm="4340">
        <f ca="1"/>
        <v>107.05</v>
      </c>
      <c r="GR110" vm="4341">
        <f ca="1"/>
        <v>102.1</v>
      </c>
      <c r="GS110" vm="4342">
        <f ca="1"/>
        <v>94.05</v>
      </c>
      <c r="GT110" vm="4343">
        <f ca="1"/>
        <v>96.7</v>
      </c>
      <c r="GU110" vm="4344">
        <f ca="1"/>
        <v>99.55</v>
      </c>
      <c r="GV110" vm="4345">
        <f ca="1"/>
        <v>101.7</v>
      </c>
      <c r="GW110" vm="4346">
        <f ca="1"/>
        <v>100.4</v>
      </c>
      <c r="GX110" vm="4347">
        <f ca="1"/>
        <v>107.3</v>
      </c>
      <c r="GY110" vm="4348">
        <f ca="1"/>
        <v>110.85</v>
      </c>
      <c r="GZ110" vm="4349">
        <f ca="1"/>
        <v>112.2</v>
      </c>
      <c r="HA110" vm="4350">
        <f ca="1"/>
        <v>115.15</v>
      </c>
      <c r="HB110" vm="3502">
        <f ca="1"/>
        <v>112.3</v>
      </c>
      <c r="HC110" vm="4351">
        <f ca="1"/>
        <v>115.1</v>
      </c>
      <c r="HD110" vm="4352">
        <f ca="1"/>
        <v>112.75</v>
      </c>
      <c r="HE110" vm="4353">
        <f ca="1"/>
        <v>104.85</v>
      </c>
      <c r="HF110" vm="4347">
        <f ca="1"/>
        <v>107.3</v>
      </c>
      <c r="HG110" vm="3501">
        <f ca="1"/>
        <v>108.4</v>
      </c>
      <c r="HH110" vm="4354">
        <f ca="1"/>
        <v>108.5</v>
      </c>
      <c r="HI110" vm="4355">
        <f ca="1"/>
        <v>110.55</v>
      </c>
      <c r="HJ110" vm="3496">
        <f ca="1"/>
        <v>108.1</v>
      </c>
      <c r="HK110" vm="3483">
        <f ca="1"/>
        <v>103.4</v>
      </c>
      <c r="HL110" vm="4356">
        <f ca="1"/>
        <v>102.55</v>
      </c>
      <c r="HM110" vm="4357">
        <f ca="1"/>
        <v>95.7</v>
      </c>
      <c r="HN110" vm="4358">
        <f ca="1"/>
        <v>92.65</v>
      </c>
      <c r="HO110" vm="4359">
        <f ca="1"/>
        <v>83.7</v>
      </c>
      <c r="HP110" vm="4360">
        <f ca="1"/>
        <v>90.65</v>
      </c>
      <c r="HQ110" vm="4361">
        <f ca="1"/>
        <v>90.1</v>
      </c>
      <c r="HR110" vm="4361">
        <f ca="1"/>
        <v>90.1</v>
      </c>
      <c r="HS110" vm="4362">
        <f ca="1"/>
        <v>87.35</v>
      </c>
      <c r="HT110" vm="4363">
        <f ca="1"/>
        <v>87.45</v>
      </c>
      <c r="HU110" vm="4364">
        <f ca="1"/>
        <v>89.1</v>
      </c>
      <c r="HV110" vm="4365">
        <f ca="1"/>
        <v>92.1</v>
      </c>
      <c r="HW110" vm="4366">
        <f ca="1"/>
        <v>90.55</v>
      </c>
      <c r="HX110" vm="4367">
        <f ca="1"/>
        <v>92.95</v>
      </c>
      <c r="HY110" vm="4318">
        <f ca="1"/>
        <v>91.8</v>
      </c>
      <c r="HZ110" vm="4368">
        <f ca="1"/>
        <v>98.6</v>
      </c>
      <c r="IA110" vm="4369">
        <f ca="1"/>
        <v>99.05</v>
      </c>
      <c r="IB110" vm="4368">
        <f ca="1"/>
        <v>98.6</v>
      </c>
      <c r="IC110" vm="4370">
        <f ca="1"/>
        <v>97.4</v>
      </c>
      <c r="ID110" vm="4369">
        <f ca="1"/>
        <v>99.05</v>
      </c>
      <c r="IE110" vm="4371">
        <f ca="1"/>
        <v>97</v>
      </c>
      <c r="IF110" vm="4372">
        <f ca="1"/>
        <v>97.05</v>
      </c>
      <c r="IG110" vm="4373">
        <f ca="1"/>
        <v>96.5</v>
      </c>
      <c r="IH110" vm="4374">
        <f ca="1"/>
        <v>99</v>
      </c>
      <c r="II110" vm="4375">
        <f ca="1"/>
        <v>94.65</v>
      </c>
      <c r="IJ110" vm="4376">
        <f ca="1"/>
        <v>94.15</v>
      </c>
      <c r="IK110" vm="4377">
        <f ca="1"/>
        <v>92.3</v>
      </c>
      <c r="IL110" vm="4318">
        <f ca="1"/>
        <v>91.8</v>
      </c>
      <c r="IM110" vm="4378">
        <f ca="1"/>
        <v>95.1</v>
      </c>
      <c r="IN110" vm="4379">
        <f ca="1"/>
        <v>96.3</v>
      </c>
      <c r="IO110" vm="4380">
        <f ca="1"/>
        <v>96.35</v>
      </c>
      <c r="IP110" vm="4381">
        <f ca="1"/>
        <v>97.1</v>
      </c>
      <c r="IQ110" vm="4382">
        <f ca="1"/>
        <v>95.8</v>
      </c>
      <c r="IR110" vm="4383">
        <f ca="1"/>
        <v>97.95</v>
      </c>
    </row>
    <row r="111" spans="4:252" x14ac:dyDescent="0.35">
      <c r="D111" t="e" vm="18">
        <v>#VALUE!</v>
      </c>
      <c r="E111" cm="1" vm="4384">
        <f t="array" aca="1" ref="E111:IR111" ca="1">TRANSPOSE((_xlfn.STOCKHISTORY('Portfolio Tracker '!$C25,TODAY()-365,TODAY(),0,0,1)))</f>
        <v>2451.6999999999998</v>
      </c>
      <c r="F111" vm="4385">
        <f ca="1"/>
        <v>2486</v>
      </c>
      <c r="G111" vm="4386">
        <f ca="1"/>
        <v>2506.75</v>
      </c>
      <c r="H111" vm="4387">
        <f ca="1"/>
        <v>2500.75</v>
      </c>
      <c r="I111" vm="4388">
        <f ca="1"/>
        <v>2516.3000000000002</v>
      </c>
      <c r="J111" vm="4389">
        <f ca="1"/>
        <v>2515.8000000000002</v>
      </c>
      <c r="K111" vm="4390">
        <f ca="1"/>
        <v>2522.6999999999998</v>
      </c>
      <c r="L111" vm="4391">
        <f ca="1"/>
        <v>2592.4</v>
      </c>
      <c r="M111" vm="4392">
        <f ca="1"/>
        <v>2623.4</v>
      </c>
      <c r="N111" vm="4393">
        <f ca="1"/>
        <v>2662.25</v>
      </c>
      <c r="O111" vm="4394">
        <f ca="1"/>
        <v>2675.9</v>
      </c>
      <c r="P111" vm="4395">
        <f ca="1"/>
        <v>2661.75</v>
      </c>
      <c r="Q111" vm="4396">
        <f ca="1"/>
        <v>2627.55</v>
      </c>
      <c r="R111" vm="4397">
        <f ca="1"/>
        <v>2641.45</v>
      </c>
      <c r="S111" vm="4398">
        <f ca="1"/>
        <v>2638.1</v>
      </c>
      <c r="T111" vm="4399">
        <f ca="1"/>
        <v>2628.3</v>
      </c>
      <c r="U111" vm="4400">
        <f ca="1"/>
        <v>2614.9499999999998</v>
      </c>
      <c r="V111" vm="4401">
        <f ca="1"/>
        <v>2597.25</v>
      </c>
      <c r="W111" vm="4402">
        <f ca="1"/>
        <v>2652.35</v>
      </c>
      <c r="X111" vm="4403">
        <f ca="1"/>
        <v>2650.3</v>
      </c>
      <c r="Y111" vm="4404">
        <f ca="1"/>
        <v>2656.55</v>
      </c>
      <c r="Z111" vm="4405">
        <f ca="1"/>
        <v>2667.55</v>
      </c>
      <c r="AA111" vm="4406">
        <f ca="1"/>
        <v>2697.9</v>
      </c>
      <c r="AB111" vm="4407">
        <f ca="1"/>
        <v>2716.7</v>
      </c>
      <c r="AC111" vm="4408">
        <f ca="1"/>
        <v>2695.8</v>
      </c>
      <c r="AD111" vm="4409">
        <f ca="1"/>
        <v>2691.15</v>
      </c>
      <c r="AE111" vm="4410">
        <f ca="1"/>
        <v>2716.2</v>
      </c>
      <c r="AF111" vm="4411">
        <f ca="1"/>
        <v>2679.9</v>
      </c>
      <c r="AG111" vm="4412">
        <f ca="1"/>
        <v>2636.2</v>
      </c>
      <c r="AH111" vm="4413">
        <f ca="1"/>
        <v>2643.45</v>
      </c>
      <c r="AI111" vm="4394">
        <f ca="1"/>
        <v>2675.9</v>
      </c>
      <c r="AJ111" vm="4414">
        <f ca="1"/>
        <v>2698.75</v>
      </c>
      <c r="AK111" vm="4415">
        <f ca="1"/>
        <v>2689.7</v>
      </c>
      <c r="AL111" vm="4416">
        <f ca="1"/>
        <v>2715.65</v>
      </c>
      <c r="AM111" vm="4417">
        <f ca="1"/>
        <v>2683.25</v>
      </c>
      <c r="AN111" vm="4418">
        <f ca="1"/>
        <v>2676.1</v>
      </c>
      <c r="AO111" vm="4419">
        <f ca="1"/>
        <v>2676.6</v>
      </c>
      <c r="AP111" vm="4420">
        <f ca="1"/>
        <v>2654.35</v>
      </c>
      <c r="AQ111" vm="4421">
        <f ca="1"/>
        <v>2641.6</v>
      </c>
      <c r="AR111" vm="1300">
        <f ca="1"/>
        <v>2652.1</v>
      </c>
      <c r="AS111" vm="4422">
        <f ca="1"/>
        <v>2651.35</v>
      </c>
      <c r="AT111" vm="4423">
        <f ca="1"/>
        <v>2661.25</v>
      </c>
      <c r="AU111" vm="4424">
        <f ca="1"/>
        <v>2678.15</v>
      </c>
      <c r="AV111" vm="4425">
        <f ca="1"/>
        <v>2701.05</v>
      </c>
      <c r="AW111" vm="4426">
        <f ca="1"/>
        <v>2700</v>
      </c>
      <c r="AX111" vm="4427">
        <f ca="1"/>
        <v>2755.85</v>
      </c>
      <c r="AY111" vm="4428">
        <f ca="1"/>
        <v>2757.1</v>
      </c>
      <c r="AZ111" vm="4429">
        <f ca="1"/>
        <v>2698.1</v>
      </c>
      <c r="BA111" vm="4404">
        <f ca="1"/>
        <v>2656.55</v>
      </c>
      <c r="BB111" vm="4430">
        <f ca="1"/>
        <v>2684.5</v>
      </c>
      <c r="BC111" vm="4431">
        <f ca="1"/>
        <v>2673.65</v>
      </c>
      <c r="BD111" vm="4432">
        <f ca="1"/>
        <v>2654.7</v>
      </c>
      <c r="BE111" vm="4433">
        <f ca="1"/>
        <v>2676.9</v>
      </c>
      <c r="BF111" vm="4434">
        <f ca="1"/>
        <v>2681.7</v>
      </c>
      <c r="BG111" vm="4435">
        <f ca="1"/>
        <v>2682.8</v>
      </c>
      <c r="BH111" vm="4436">
        <f ca="1"/>
        <v>2671.6</v>
      </c>
      <c r="BI111" vm="4437">
        <f ca="1"/>
        <v>2703.25</v>
      </c>
      <c r="BJ111" vm="4438">
        <f ca="1"/>
        <v>2604</v>
      </c>
      <c r="BK111" vm="4439">
        <f ca="1"/>
        <v>2580.25</v>
      </c>
      <c r="BL111" vm="4440">
        <f ca="1"/>
        <v>2568.15</v>
      </c>
      <c r="BM111" vm="4441">
        <f ca="1"/>
        <v>2583.3000000000002</v>
      </c>
      <c r="BN111" vm="4442">
        <f ca="1"/>
        <v>2569.85</v>
      </c>
      <c r="BO111" vm="4443">
        <f ca="1"/>
        <v>2584.6</v>
      </c>
      <c r="BP111" vm="4444">
        <f ca="1"/>
        <v>2560.8000000000002</v>
      </c>
      <c r="BQ111" vm="4445">
        <f ca="1"/>
        <v>2551.1</v>
      </c>
      <c r="BR111" vm="4446">
        <f ca="1"/>
        <v>2568.9499999999998</v>
      </c>
      <c r="BS111" vm="4447">
        <f ca="1"/>
        <v>2551.3000000000002</v>
      </c>
      <c r="BT111" vm="4448">
        <f ca="1"/>
        <v>2546</v>
      </c>
      <c r="BU111" vm="4449">
        <f ca="1"/>
        <v>2569.1999999999998</v>
      </c>
      <c r="BV111" vm="4450">
        <f ca="1"/>
        <v>2565.85</v>
      </c>
      <c r="BW111" vm="4451">
        <f ca="1"/>
        <v>2552.1999999999998</v>
      </c>
      <c r="BX111" vm="4452">
        <f ca="1"/>
        <v>2536.6999999999998</v>
      </c>
      <c r="BY111" vm="4453">
        <f ca="1"/>
        <v>2501.8000000000002</v>
      </c>
      <c r="BZ111" vm="4454">
        <f ca="1"/>
        <v>2533.1</v>
      </c>
      <c r="CA111" vm="4455">
        <f ca="1"/>
        <v>2552.6</v>
      </c>
      <c r="CB111" vm="4456">
        <f ca="1"/>
        <v>2543.25</v>
      </c>
      <c r="CC111" vm="4457">
        <f ca="1"/>
        <v>2554.75</v>
      </c>
      <c r="CD111" vm="4458">
        <f ca="1"/>
        <v>2562.75</v>
      </c>
      <c r="CE111" vm="4459">
        <f ca="1"/>
        <v>2565.8000000000002</v>
      </c>
      <c r="CF111" vm="4460">
        <f ca="1"/>
        <v>2574.0500000000002</v>
      </c>
      <c r="CG111" vm="4461">
        <f ca="1"/>
        <v>2581.25</v>
      </c>
      <c r="CH111" vm="4462">
        <f ca="1"/>
        <v>2563.5500000000002</v>
      </c>
      <c r="CI111" vm="4463">
        <f ca="1"/>
        <v>2555.6999999999998</v>
      </c>
      <c r="CJ111" vm="4464">
        <f ca="1"/>
        <v>2526.15</v>
      </c>
      <c r="CK111" vm="4465">
        <f ca="1"/>
        <v>2531.9499999999998</v>
      </c>
      <c r="CL111" vm="4466">
        <f ca="1"/>
        <v>2505.0500000000002</v>
      </c>
      <c r="CM111" vm="4467">
        <f ca="1"/>
        <v>2504.8000000000002</v>
      </c>
      <c r="CN111" vm="4468">
        <f ca="1"/>
        <v>2501.4</v>
      </c>
      <c r="CO111" vm="4469">
        <f ca="1"/>
        <v>2507.0500000000002</v>
      </c>
      <c r="CP111" vm="4470">
        <f ca="1"/>
        <v>2523.5</v>
      </c>
      <c r="CQ111" vm="4471">
        <f ca="1"/>
        <v>2507.4499999999998</v>
      </c>
      <c r="CR111" vm="4472">
        <f ca="1"/>
        <v>2513.8000000000002</v>
      </c>
      <c r="CS111" vm="4473">
        <f ca="1"/>
        <v>2536.25</v>
      </c>
      <c r="CT111" vm="4474">
        <f ca="1"/>
        <v>2498.85</v>
      </c>
      <c r="CU111" vm="4475">
        <f ca="1"/>
        <v>2506.5500000000002</v>
      </c>
      <c r="CV111" vm="1230">
        <f ca="1"/>
        <v>2500.8000000000002</v>
      </c>
      <c r="CW111" vm="4476">
        <f ca="1"/>
        <v>2469.6999999999998</v>
      </c>
      <c r="CX111" vm="4477">
        <f ca="1"/>
        <v>2488.65</v>
      </c>
      <c r="CY111" vm="4478">
        <f ca="1"/>
        <v>2466.85</v>
      </c>
      <c r="CZ111" vm="4479">
        <f ca="1"/>
        <v>2473.35</v>
      </c>
      <c r="DA111" vm="4480">
        <f ca="1"/>
        <v>2482.4499999999998</v>
      </c>
      <c r="DB111" vm="4481">
        <f ca="1"/>
        <v>2475.85</v>
      </c>
      <c r="DC111" vm="4482">
        <f ca="1"/>
        <v>2478.9499999999998</v>
      </c>
      <c r="DD111" vm="1208">
        <f ca="1"/>
        <v>2501.75</v>
      </c>
      <c r="DE111" vm="4483">
        <f ca="1"/>
        <v>2460.35</v>
      </c>
      <c r="DF111" vm="4484">
        <f ca="1"/>
        <v>2465.6</v>
      </c>
      <c r="DG111" vm="4485">
        <f ca="1"/>
        <v>2468.9</v>
      </c>
      <c r="DH111" vm="4486">
        <f ca="1"/>
        <v>2507.85</v>
      </c>
      <c r="DI111" vm="4487">
        <f ca="1"/>
        <v>2519.5500000000002</v>
      </c>
      <c r="DJ111" vm="4488">
        <f ca="1"/>
        <v>2499.4</v>
      </c>
      <c r="DK111" vm="4489">
        <f ca="1"/>
        <v>2511.3000000000002</v>
      </c>
      <c r="DL111" vm="4490">
        <f ca="1"/>
        <v>2516.1999999999998</v>
      </c>
      <c r="DM111" vm="4491">
        <f ca="1"/>
        <v>2556.4</v>
      </c>
      <c r="DN111" vm="4492">
        <f ca="1"/>
        <v>2557</v>
      </c>
      <c r="DO111" vm="4493">
        <f ca="1"/>
        <v>2569.4499999999998</v>
      </c>
      <c r="DP111" vm="4494">
        <f ca="1"/>
        <v>2558.3000000000002</v>
      </c>
      <c r="DQ111" vm="4495">
        <f ca="1"/>
        <v>2556.15</v>
      </c>
      <c r="DR111" vm="4496">
        <f ca="1"/>
        <v>2548.25</v>
      </c>
      <c r="DS111" vm="4497">
        <f ca="1"/>
        <v>2548.1</v>
      </c>
      <c r="DT111" vm="4498">
        <f ca="1"/>
        <v>2495.15</v>
      </c>
      <c r="DU111" vm="4499">
        <f ca="1"/>
        <v>2483.5</v>
      </c>
      <c r="DV111" vm="4500">
        <f ca="1"/>
        <v>2477.3000000000002</v>
      </c>
      <c r="DW111" vm="4501">
        <f ca="1"/>
        <v>2476.4</v>
      </c>
      <c r="DX111" vm="4502">
        <f ca="1"/>
        <v>2482.0500000000002</v>
      </c>
      <c r="DY111" vm="4503">
        <f ca="1"/>
        <v>2478.9</v>
      </c>
      <c r="DZ111" vm="4504">
        <f ca="1"/>
        <v>2484</v>
      </c>
      <c r="EA111" vm="4505">
        <f ca="1"/>
        <v>2472.25</v>
      </c>
      <c r="EB111" vm="4506">
        <f ca="1"/>
        <v>2486.8000000000002</v>
      </c>
      <c r="EC111" vm="4507">
        <f ca="1"/>
        <v>2509.25</v>
      </c>
      <c r="ED111" vm="4508">
        <f ca="1"/>
        <v>2497.4</v>
      </c>
      <c r="EE111" vm="4509">
        <f ca="1"/>
        <v>2496.4499999999998</v>
      </c>
      <c r="EF111" vm="4510">
        <f ca="1"/>
        <v>2519.35</v>
      </c>
      <c r="EG111" vm="4511">
        <f ca="1"/>
        <v>2476.6999999999998</v>
      </c>
      <c r="EH111" vm="4512">
        <f ca="1"/>
        <v>2486.5500000000002</v>
      </c>
      <c r="EI111" vm="4513">
        <f ca="1"/>
        <v>2491.5500000000002</v>
      </c>
      <c r="EJ111" vm="4514">
        <f ca="1"/>
        <v>2478.15</v>
      </c>
      <c r="EK111" vm="4515">
        <f ca="1"/>
        <v>2486.4</v>
      </c>
      <c r="EL111" vm="4516">
        <f ca="1"/>
        <v>2491.1999999999998</v>
      </c>
      <c r="EM111" vm="4517">
        <f ca="1"/>
        <v>2528.8000000000002</v>
      </c>
      <c r="EN111" vm="4518">
        <f ca="1"/>
        <v>2506.4499999999998</v>
      </c>
      <c r="EO111" vm="4519">
        <f ca="1"/>
        <v>2505.25</v>
      </c>
      <c r="EP111" vm="4520">
        <f ca="1"/>
        <v>2521.9</v>
      </c>
      <c r="EQ111" vm="4521">
        <f ca="1"/>
        <v>2519.9</v>
      </c>
      <c r="ER111" vm="4522">
        <f ca="1"/>
        <v>2515.1999999999998</v>
      </c>
      <c r="ES111" vm="1236">
        <f ca="1"/>
        <v>2510.5500000000002</v>
      </c>
      <c r="ET111" vm="4523">
        <f ca="1"/>
        <v>2525.0500000000002</v>
      </c>
      <c r="EU111" vm="4524">
        <f ca="1"/>
        <v>2545.5500000000002</v>
      </c>
      <c r="EV111" vm="4525">
        <f ca="1"/>
        <v>2563.65</v>
      </c>
      <c r="EW111" vm="4526">
        <f ca="1"/>
        <v>2602.3000000000002</v>
      </c>
      <c r="EX111" vm="4527">
        <f ca="1"/>
        <v>2563.25</v>
      </c>
      <c r="EY111" vm="4528">
        <f ca="1"/>
        <v>2567.65</v>
      </c>
      <c r="EZ111" vm="4529">
        <f ca="1"/>
        <v>2518.25</v>
      </c>
      <c r="FA111" vm="4530">
        <f ca="1"/>
        <v>2522.3000000000002</v>
      </c>
      <c r="FB111" vm="4531">
        <f ca="1"/>
        <v>2503.65</v>
      </c>
      <c r="FC111" vm="4532">
        <f ca="1"/>
        <v>2502.75</v>
      </c>
      <c r="FD111" vm="4533">
        <f ca="1"/>
        <v>2511.9</v>
      </c>
      <c r="FE111" vm="4534">
        <f ca="1"/>
        <v>2516.35</v>
      </c>
      <c r="FF111" vm="4535">
        <f ca="1"/>
        <v>2522.9</v>
      </c>
      <c r="FG111" vm="4536">
        <f ca="1"/>
        <v>2535.5</v>
      </c>
      <c r="FH111" vm="4537">
        <f ca="1"/>
        <v>2560.6999999999998</v>
      </c>
      <c r="FI111" vm="4538">
        <f ca="1"/>
        <v>2557.5</v>
      </c>
      <c r="FJ111" vm="4539">
        <f ca="1"/>
        <v>2553.1999999999998</v>
      </c>
      <c r="FK111" vm="4540">
        <f ca="1"/>
        <v>2575.6</v>
      </c>
      <c r="FL111" vm="4541">
        <f ca="1"/>
        <v>2584.75</v>
      </c>
      <c r="FM111" vm="4542">
        <f ca="1"/>
        <v>2608.3000000000002</v>
      </c>
      <c r="FN111" vm="4543">
        <f ca="1"/>
        <v>2633.8</v>
      </c>
      <c r="FO111" vm="4544">
        <f ca="1"/>
        <v>2663.95</v>
      </c>
      <c r="FP111" vm="4545">
        <f ca="1"/>
        <v>2654.75</v>
      </c>
      <c r="FQ111" vm="4546">
        <f ca="1"/>
        <v>2613.8000000000002</v>
      </c>
      <c r="FR111" vm="4547">
        <f ca="1"/>
        <v>2606.5500000000002</v>
      </c>
      <c r="FS111" vm="4548">
        <f ca="1"/>
        <v>2592.5500000000002</v>
      </c>
      <c r="FT111" vm="4549">
        <f ca="1"/>
        <v>2620.0500000000002</v>
      </c>
      <c r="FU111" vm="4550">
        <f ca="1"/>
        <v>2578.25</v>
      </c>
      <c r="FV111" vm="4551">
        <f ca="1"/>
        <v>2579.75</v>
      </c>
      <c r="FW111" vm="4552">
        <f ca="1"/>
        <v>2577.4</v>
      </c>
      <c r="FX111" vm="4553">
        <f ca="1"/>
        <v>2536.1999999999998</v>
      </c>
      <c r="FY111" vm="4554">
        <f ca="1"/>
        <v>2544</v>
      </c>
      <c r="FZ111" vm="4555">
        <f ca="1"/>
        <v>2573.1999999999998</v>
      </c>
      <c r="GA111" vm="4556">
        <f ca="1"/>
        <v>2569.1</v>
      </c>
      <c r="GB111" vm="1244">
        <f ca="1"/>
        <v>2562.9</v>
      </c>
      <c r="GC111" vm="4557">
        <f ca="1"/>
        <v>2548</v>
      </c>
      <c r="GD111" vm="4558">
        <f ca="1"/>
        <v>2565.4</v>
      </c>
      <c r="GE111" vm="4485">
        <f ca="1"/>
        <v>2468.9</v>
      </c>
      <c r="GF111" vm="4559">
        <f ca="1"/>
        <v>2375.5500000000002</v>
      </c>
      <c r="GG111" vm="4560">
        <f ca="1"/>
        <v>2441.65</v>
      </c>
      <c r="GH111" vm="4561">
        <f ca="1"/>
        <v>2428.3000000000002</v>
      </c>
      <c r="GI111" vm="4562">
        <f ca="1"/>
        <v>2444.4</v>
      </c>
      <c r="GJ111" vm="4563">
        <f ca="1"/>
        <v>2458.65</v>
      </c>
      <c r="GK111" vm="4564">
        <f ca="1"/>
        <v>2481.5500000000002</v>
      </c>
      <c r="GL111" vm="4565">
        <f ca="1"/>
        <v>2473.6</v>
      </c>
      <c r="GM111" vm="4566">
        <f ca="1"/>
        <v>2452.6</v>
      </c>
      <c r="GN111" vm="4567">
        <f ca="1"/>
        <v>2419.5</v>
      </c>
      <c r="GO111" vm="4568">
        <f ca="1"/>
        <v>2426.35</v>
      </c>
      <c r="GP111" vm="4569">
        <f ca="1"/>
        <v>2425.4499999999998</v>
      </c>
      <c r="GQ111" vm="4570">
        <f ca="1"/>
        <v>2417.0500000000002</v>
      </c>
      <c r="GR111" vm="4571">
        <f ca="1"/>
        <v>2424.15</v>
      </c>
      <c r="GS111" vm="4572">
        <f ca="1"/>
        <v>2385.65</v>
      </c>
      <c r="GT111" vm="4573">
        <f ca="1"/>
        <v>2394</v>
      </c>
      <c r="GU111" vm="4574">
        <f ca="1"/>
        <v>2387.9499999999998</v>
      </c>
      <c r="GV111" vm="4575">
        <f ca="1"/>
        <v>2350.85</v>
      </c>
      <c r="GW111" vm="4576">
        <f ca="1"/>
        <v>2375.25</v>
      </c>
      <c r="GX111" vm="4577">
        <f ca="1"/>
        <v>2387.15</v>
      </c>
      <c r="GY111" vm="4578">
        <f ca="1"/>
        <v>2404.1</v>
      </c>
      <c r="GZ111" vm="4579">
        <f ca="1"/>
        <v>2407.1</v>
      </c>
      <c r="HA111" vm="4580">
        <f ca="1"/>
        <v>2388.1</v>
      </c>
      <c r="HB111" vm="4581">
        <f ca="1"/>
        <v>2394.1</v>
      </c>
      <c r="HC111" vm="4582">
        <f ca="1"/>
        <v>2404.25</v>
      </c>
      <c r="HD111" vm="4583">
        <f ca="1"/>
        <v>2405.3000000000002</v>
      </c>
      <c r="HE111" vm="4584">
        <f ca="1"/>
        <v>2421.5500000000002</v>
      </c>
      <c r="HF111" vm="4585">
        <f ca="1"/>
        <v>2412.3000000000002</v>
      </c>
      <c r="HG111" vm="4586">
        <f ca="1"/>
        <v>2409.6999999999998</v>
      </c>
      <c r="HH111" vm="4587">
        <f ca="1"/>
        <v>2416.1999999999998</v>
      </c>
      <c r="HI111" vm="4588">
        <f ca="1"/>
        <v>2422</v>
      </c>
      <c r="HJ111" vm="4589">
        <f ca="1"/>
        <v>2399.85</v>
      </c>
      <c r="HK111" vm="4590">
        <f ca="1"/>
        <v>2400.8000000000002</v>
      </c>
      <c r="HL111" vm="4591">
        <f ca="1"/>
        <v>2419.5500000000002</v>
      </c>
      <c r="HM111" vm="4592">
        <f ca="1"/>
        <v>2389.85</v>
      </c>
      <c r="HN111" vm="4593">
        <f ca="1"/>
        <v>2378.15</v>
      </c>
      <c r="HO111" vm="4594">
        <f ca="1"/>
        <v>2312.6</v>
      </c>
      <c r="HP111" vm="4595">
        <f ca="1"/>
        <v>2334.6</v>
      </c>
      <c r="HQ111" vm="4596">
        <f ca="1"/>
        <v>2327.6999999999998</v>
      </c>
      <c r="HR111" vm="4597">
        <f ca="1"/>
        <v>2299.9499999999998</v>
      </c>
      <c r="HS111" vm="4598">
        <f ca="1"/>
        <v>2266.9499999999998</v>
      </c>
      <c r="HT111" vm="4599">
        <f ca="1"/>
        <v>2241.9499999999998</v>
      </c>
      <c r="HU111" vm="4600">
        <f ca="1"/>
        <v>2242.35</v>
      </c>
      <c r="HV111" vm="4601">
        <f ca="1"/>
        <v>2256.5500000000002</v>
      </c>
      <c r="HW111" vm="4602">
        <f ca="1"/>
        <v>2240</v>
      </c>
      <c r="HX111" vm="4603">
        <f ca="1"/>
        <v>2239.6999999999998</v>
      </c>
      <c r="HY111" vm="4604">
        <f ca="1"/>
        <v>2264.35</v>
      </c>
      <c r="HZ111" vm="4605">
        <f ca="1"/>
        <v>2285.9</v>
      </c>
      <c r="IA111" vm="4606">
        <f ca="1"/>
        <v>2286.6999999999998</v>
      </c>
      <c r="IB111" vm="4607">
        <f ca="1"/>
        <v>2265.1999999999998</v>
      </c>
      <c r="IC111" vm="4608">
        <f ca="1"/>
        <v>2264.9499999999998</v>
      </c>
      <c r="ID111" vm="4598">
        <f ca="1"/>
        <v>2266.9499999999998</v>
      </c>
      <c r="IE111" vm="4609">
        <f ca="1"/>
        <v>2268.9499999999998</v>
      </c>
      <c r="IF111" vm="4610">
        <f ca="1"/>
        <v>2264.15</v>
      </c>
      <c r="IG111" vm="4611">
        <f ca="1"/>
        <v>2260.9</v>
      </c>
      <c r="IH111" vm="4612">
        <f ca="1"/>
        <v>2232.3000000000002</v>
      </c>
      <c r="II111" vm="4613">
        <f ca="1"/>
        <v>2194.0500000000002</v>
      </c>
      <c r="IJ111" vm="4614">
        <f ca="1"/>
        <v>2220.8000000000002</v>
      </c>
      <c r="IK111" vm="4615">
        <f ca="1"/>
        <v>2214.8000000000002</v>
      </c>
      <c r="IL111" vm="4616">
        <f ca="1"/>
        <v>2231.6</v>
      </c>
      <c r="IM111" vm="4617">
        <f ca="1"/>
        <v>2241.5</v>
      </c>
      <c r="IN111" vm="4618">
        <f ca="1"/>
        <v>2262.75</v>
      </c>
      <c r="IO111" vm="2117">
        <f ca="1"/>
        <v>2260.25</v>
      </c>
      <c r="IP111" vm="4619">
        <f ca="1"/>
        <v>2230.85</v>
      </c>
      <c r="IQ111" vm="4620">
        <f ca="1"/>
        <v>2222.65</v>
      </c>
      <c r="IR111" vm="4621">
        <f ca="1"/>
        <v>2226.1</v>
      </c>
    </row>
    <row r="112" spans="4:252" x14ac:dyDescent="0.35">
      <c r="D112" t="e" vm="19">
        <v>#VALUE!</v>
      </c>
      <c r="E112" cm="1" vm="4622">
        <f t="array" aca="1" ref="E112:IR112" ca="1">TRANSPOSE((_xlfn.STOCKHISTORY('Portfolio Tracker '!$C26,TODAY()-365,TODAY(),0,0,1)))</f>
        <v>91.9</v>
      </c>
      <c r="F112" vm="4329">
        <f ca="1"/>
        <v>93.65</v>
      </c>
      <c r="G112" vm="4623">
        <f ca="1"/>
        <v>93.3</v>
      </c>
      <c r="H112" vm="4624">
        <f ca="1"/>
        <v>92.15</v>
      </c>
      <c r="I112" vm="4625">
        <f ca="1"/>
        <v>91.5</v>
      </c>
      <c r="J112" vm="4626">
        <f ca="1"/>
        <v>90.25</v>
      </c>
      <c r="K112" vm="4627">
        <f ca="1"/>
        <v>93.45</v>
      </c>
      <c r="L112" vm="4628">
        <f ca="1"/>
        <v>94.7</v>
      </c>
      <c r="M112" vm="4623">
        <f ca="1"/>
        <v>93.3</v>
      </c>
      <c r="N112" vm="4380">
        <f ca="1"/>
        <v>96.35</v>
      </c>
      <c r="O112" vm="4629">
        <f ca="1"/>
        <v>95.25</v>
      </c>
      <c r="P112" vm="4630">
        <f ca="1"/>
        <v>94.45</v>
      </c>
      <c r="Q112" vm="4631">
        <f ca="1"/>
        <v>93.35</v>
      </c>
      <c r="R112" vm="4632">
        <f ca="1"/>
        <v>94</v>
      </c>
      <c r="S112" vm="4623">
        <f ca="1"/>
        <v>93.3</v>
      </c>
      <c r="T112" vm="4633">
        <f ca="1"/>
        <v>94.6</v>
      </c>
      <c r="U112" vm="4634">
        <f ca="1"/>
        <v>95.85</v>
      </c>
      <c r="V112" vm="4635">
        <f ca="1"/>
        <v>95.5</v>
      </c>
      <c r="W112" vm="4635">
        <f ca="1"/>
        <v>95.5</v>
      </c>
      <c r="X112" vm="4372">
        <f ca="1"/>
        <v>97.05</v>
      </c>
      <c r="Y112" vm="4636">
        <f ca="1"/>
        <v>93.1</v>
      </c>
      <c r="Z112" vm="4637">
        <f ca="1"/>
        <v>93.4</v>
      </c>
      <c r="AA112" vm="4638">
        <f ca="1"/>
        <v>94.25</v>
      </c>
      <c r="AB112" vm="4639">
        <f ca="1"/>
        <v>98.85</v>
      </c>
      <c r="AC112" vm="4640">
        <f ca="1"/>
        <v>99.2</v>
      </c>
      <c r="AD112" vm="4641">
        <f ca="1"/>
        <v>100.2</v>
      </c>
      <c r="AE112" vm="4642">
        <f ca="1"/>
        <v>100.45</v>
      </c>
      <c r="AF112" vm="4643">
        <f ca="1"/>
        <v>98.35</v>
      </c>
      <c r="AG112" vm="4644">
        <f ca="1"/>
        <v>99.1</v>
      </c>
      <c r="AH112" vm="3487">
        <f ca="1"/>
        <v>100.25</v>
      </c>
      <c r="AI112" vm="4645">
        <f ca="1"/>
        <v>100.95</v>
      </c>
      <c r="AJ112" vm="4646">
        <f ca="1"/>
        <v>105.9</v>
      </c>
      <c r="AK112" vm="3484">
        <f ca="1"/>
        <v>103.8</v>
      </c>
      <c r="AL112" vm="4647">
        <f ca="1"/>
        <v>106.15</v>
      </c>
      <c r="AM112" vm="4648">
        <f ca="1"/>
        <v>122.3</v>
      </c>
      <c r="AN112" vm="4649">
        <f ca="1"/>
        <v>122.9</v>
      </c>
      <c r="AO112" vm="4650">
        <f ca="1"/>
        <v>126.75</v>
      </c>
      <c r="AP112" vm="4651">
        <f ca="1"/>
        <v>131.1</v>
      </c>
      <c r="AQ112" vm="4652">
        <f ca="1"/>
        <v>133.65</v>
      </c>
      <c r="AR112" vm="4653">
        <f ca="1"/>
        <v>132.30000000000001</v>
      </c>
      <c r="AS112" vm="4654">
        <f ca="1"/>
        <v>131.75</v>
      </c>
      <c r="AT112" vm="4655">
        <f ca="1"/>
        <v>128.5</v>
      </c>
      <c r="AU112" vm="4656">
        <f ca="1"/>
        <v>131.44999999999999</v>
      </c>
      <c r="AV112" vm="4657">
        <f ca="1"/>
        <v>129.44999999999999</v>
      </c>
      <c r="AW112" vm="4658">
        <f ca="1"/>
        <v>155.30000000000001</v>
      </c>
      <c r="AX112" vm="4659">
        <f ca="1"/>
        <v>180.9</v>
      </c>
      <c r="AY112" vm="4660">
        <f ca="1"/>
        <v>173.7</v>
      </c>
      <c r="AZ112" vm="4661">
        <f ca="1"/>
        <v>173</v>
      </c>
      <c r="BA112" vm="4662">
        <f ca="1"/>
        <v>168.25</v>
      </c>
      <c r="BB112" vm="558">
        <f ca="1"/>
        <v>169.15</v>
      </c>
      <c r="BC112" vm="4663">
        <f ca="1"/>
        <v>185.3</v>
      </c>
      <c r="BD112" vm="4664">
        <f ca="1"/>
        <v>193.65</v>
      </c>
      <c r="BE112" vm="4665">
        <f ca="1"/>
        <v>211.9</v>
      </c>
      <c r="BF112" vm="4666">
        <f ca="1"/>
        <v>233.05</v>
      </c>
      <c r="BG112" vm="4667">
        <f ca="1"/>
        <v>221.4</v>
      </c>
      <c r="BH112" vm="4668">
        <f ca="1"/>
        <v>210.35</v>
      </c>
      <c r="BI112" vm="4669">
        <f ca="1"/>
        <v>205.9</v>
      </c>
      <c r="BJ112" vm="4670">
        <f ca="1"/>
        <v>216.15</v>
      </c>
      <c r="BK112" vm="4671">
        <f ca="1"/>
        <v>209.7</v>
      </c>
      <c r="BL112" vm="4672">
        <f ca="1"/>
        <v>199.25</v>
      </c>
      <c r="BM112" vm="4673">
        <f ca="1"/>
        <v>193.15</v>
      </c>
      <c r="BN112" vm="4674">
        <f ca="1"/>
        <v>202.8</v>
      </c>
      <c r="BO112" vm="4675">
        <f ca="1"/>
        <v>207</v>
      </c>
      <c r="BP112" vm="4676">
        <f ca="1"/>
        <v>201.8</v>
      </c>
      <c r="BQ112" vm="4677">
        <f ca="1"/>
        <v>203.05</v>
      </c>
      <c r="BR112" vm="633">
        <f ca="1"/>
        <v>203.5</v>
      </c>
      <c r="BS112" vm="4678">
        <f ca="1"/>
        <v>200</v>
      </c>
      <c r="BT112" vm="4679">
        <f ca="1"/>
        <v>210</v>
      </c>
      <c r="BU112" vm="4680">
        <f ca="1"/>
        <v>205.4</v>
      </c>
      <c r="BV112" vm="4681">
        <f ca="1"/>
        <v>215.65</v>
      </c>
      <c r="BW112" vm="4682">
        <f ca="1"/>
        <v>215.1</v>
      </c>
      <c r="BX112" vm="4683">
        <f ca="1"/>
        <v>204.35</v>
      </c>
      <c r="BY112" vm="4684">
        <f ca="1"/>
        <v>199.95</v>
      </c>
      <c r="BZ112" vm="4685">
        <f ca="1"/>
        <v>202</v>
      </c>
      <c r="CA112" vm="4686">
        <f ca="1"/>
        <v>202.1</v>
      </c>
      <c r="CB112" vm="4687">
        <f ca="1"/>
        <v>202.35</v>
      </c>
      <c r="CC112" vm="4688">
        <f ca="1"/>
        <v>203.85</v>
      </c>
      <c r="CD112" vm="4689">
        <f ca="1"/>
        <v>214</v>
      </c>
      <c r="CE112" vm="4690">
        <f ca="1"/>
        <v>214.8</v>
      </c>
      <c r="CF112" vm="4691">
        <f ca="1"/>
        <v>213.7</v>
      </c>
      <c r="CG112" vm="4692">
        <f ca="1"/>
        <v>213.9</v>
      </c>
      <c r="CH112" vm="4693">
        <f ca="1"/>
        <v>213.65</v>
      </c>
      <c r="CI112" vm="4694">
        <f ca="1"/>
        <v>224.3</v>
      </c>
      <c r="CJ112" vm="4695">
        <f ca="1"/>
        <v>229.25</v>
      </c>
      <c r="CK112" vm="4696">
        <f ca="1"/>
        <v>218.1</v>
      </c>
      <c r="CL112" vm="4697">
        <f ca="1"/>
        <v>221.75</v>
      </c>
      <c r="CM112" vm="4698">
        <f ca="1"/>
        <v>232.8</v>
      </c>
      <c r="CN112" vm="4699">
        <f ca="1"/>
        <v>244.4</v>
      </c>
      <c r="CO112" vm="4700">
        <f ca="1"/>
        <v>256.60000000000002</v>
      </c>
      <c r="CP112" vm="4701">
        <f ca="1"/>
        <v>243.8</v>
      </c>
      <c r="CQ112" vm="4702">
        <f ca="1"/>
        <v>231.9</v>
      </c>
      <c r="CR112" vm="4703">
        <f ca="1"/>
        <v>233.55</v>
      </c>
      <c r="CS112" vm="4704">
        <f ca="1"/>
        <v>228.5</v>
      </c>
      <c r="CT112" vm="4705">
        <f ca="1"/>
        <v>217.1</v>
      </c>
      <c r="CU112" vm="4706">
        <f ca="1"/>
        <v>227.95</v>
      </c>
      <c r="CV112" vm="4707">
        <f ca="1"/>
        <v>221.8</v>
      </c>
      <c r="CW112" vm="4708">
        <f ca="1"/>
        <v>221.3</v>
      </c>
      <c r="CX112" vm="4709">
        <f ca="1"/>
        <v>222.35</v>
      </c>
      <c r="CY112" vm="4710">
        <f ca="1"/>
        <v>217.9</v>
      </c>
      <c r="CZ112" vm="4711">
        <f ca="1"/>
        <v>222.5</v>
      </c>
      <c r="DA112" vm="4712">
        <f ca="1"/>
        <v>218.45</v>
      </c>
      <c r="DB112" vm="4713">
        <f ca="1"/>
        <v>217.2</v>
      </c>
      <c r="DC112" vm="4714">
        <f ca="1"/>
        <v>217</v>
      </c>
      <c r="DD112" vm="4715">
        <f ca="1"/>
        <v>217.65</v>
      </c>
      <c r="DE112" vm="4716">
        <f ca="1"/>
        <v>215.35</v>
      </c>
      <c r="DF112" vm="4716">
        <f ca="1"/>
        <v>215.35</v>
      </c>
      <c r="DG112" vm="4717">
        <f ca="1"/>
        <v>212.15</v>
      </c>
      <c r="DH112" vm="4675">
        <f ca="1"/>
        <v>207</v>
      </c>
      <c r="DI112" vm="4718">
        <f ca="1"/>
        <v>208.35</v>
      </c>
      <c r="DJ112" vm="4719">
        <f ca="1"/>
        <v>218.75</v>
      </c>
      <c r="DK112" vm="4720">
        <f ca="1"/>
        <v>209.3</v>
      </c>
      <c r="DL112" vm="4721">
        <f ca="1"/>
        <v>216.7</v>
      </c>
      <c r="DM112" vm="4722">
        <f ca="1"/>
        <v>214.7</v>
      </c>
      <c r="DN112" vm="4723">
        <f ca="1"/>
        <v>216.55</v>
      </c>
      <c r="DO112" vm="4724">
        <f ca="1"/>
        <v>225.8</v>
      </c>
      <c r="DP112" vm="4725">
        <f ca="1"/>
        <v>221.35</v>
      </c>
      <c r="DQ112" vm="4726">
        <f ca="1"/>
        <v>219.85</v>
      </c>
      <c r="DR112" vm="4727">
        <f ca="1"/>
        <v>212.1</v>
      </c>
      <c r="DS112" vm="4728">
        <f ca="1"/>
        <v>210.8</v>
      </c>
      <c r="DT112" vm="4729">
        <f ca="1"/>
        <v>208.7</v>
      </c>
      <c r="DU112" vm="4730">
        <f ca="1"/>
        <v>198.3</v>
      </c>
      <c r="DV112" vm="4731">
        <f ca="1"/>
        <v>188.4</v>
      </c>
      <c r="DW112" vm="4732">
        <f ca="1"/>
        <v>185.9</v>
      </c>
      <c r="DX112" vm="4733">
        <f ca="1"/>
        <v>195.15</v>
      </c>
      <c r="DY112" vm="4734">
        <f ca="1"/>
        <v>199.3</v>
      </c>
      <c r="DZ112" vm="4735">
        <f ca="1"/>
        <v>197.25</v>
      </c>
      <c r="EA112" vm="4736">
        <f ca="1"/>
        <v>192.35</v>
      </c>
      <c r="EB112" vm="4737">
        <f ca="1"/>
        <v>193.55</v>
      </c>
      <c r="EC112" vm="4738">
        <f ca="1"/>
        <v>194.15</v>
      </c>
      <c r="ED112" vm="4739">
        <f ca="1"/>
        <v>197.5</v>
      </c>
      <c r="EE112" vm="4740">
        <f ca="1"/>
        <v>196.05</v>
      </c>
      <c r="EF112" vm="4741">
        <f ca="1"/>
        <v>204.7</v>
      </c>
      <c r="EG112" vm="4742">
        <f ca="1"/>
        <v>209.35</v>
      </c>
      <c r="EH112" vm="4743">
        <f ca="1"/>
        <v>205.6</v>
      </c>
      <c r="EI112" vm="4744">
        <f ca="1"/>
        <v>209.2</v>
      </c>
      <c r="EJ112" vm="4745">
        <f ca="1"/>
        <v>209.85</v>
      </c>
      <c r="EK112" vm="4744">
        <f ca="1"/>
        <v>209.2</v>
      </c>
      <c r="EL112" vm="4746">
        <f ca="1"/>
        <v>206.55</v>
      </c>
      <c r="EM112" vm="4747">
        <f ca="1"/>
        <v>206.4</v>
      </c>
      <c r="EN112" vm="4748">
        <f ca="1"/>
        <v>214.45</v>
      </c>
      <c r="EO112" vm="4749">
        <f ca="1"/>
        <v>210.85</v>
      </c>
      <c r="EP112" vm="4668">
        <f ca="1"/>
        <v>210.35</v>
      </c>
      <c r="EQ112" vm="4668">
        <f ca="1"/>
        <v>210.35</v>
      </c>
      <c r="ER112" vm="4750">
        <f ca="1"/>
        <v>211.55</v>
      </c>
      <c r="ES112" vm="4751">
        <f ca="1"/>
        <v>208.5</v>
      </c>
      <c r="ET112" vm="4752">
        <f ca="1"/>
        <v>207.45</v>
      </c>
      <c r="EU112" vm="626">
        <f ca="1"/>
        <v>204.2</v>
      </c>
      <c r="EV112" vm="4753">
        <f ca="1"/>
        <v>204.65</v>
      </c>
      <c r="EW112" vm="4754">
        <f ca="1"/>
        <v>205</v>
      </c>
      <c r="EX112" vm="4755">
        <f ca="1"/>
        <v>203.75</v>
      </c>
      <c r="EY112" vm="4756">
        <f ca="1"/>
        <v>200.8</v>
      </c>
      <c r="EZ112" vm="4757">
        <f ca="1"/>
        <v>204.15</v>
      </c>
      <c r="FA112" vm="4758">
        <f ca="1"/>
        <v>204.45</v>
      </c>
      <c r="FB112" vm="4759">
        <f ca="1"/>
        <v>203.95</v>
      </c>
      <c r="FC112" vm="4760">
        <f ca="1"/>
        <v>200.85</v>
      </c>
      <c r="FD112" vm="4761">
        <f ca="1"/>
        <v>220.9</v>
      </c>
      <c r="FE112" vm="4762">
        <f ca="1"/>
        <v>229.3</v>
      </c>
      <c r="FF112" vm="4763">
        <f ca="1"/>
        <v>223.1</v>
      </c>
      <c r="FG112" vm="4764">
        <f ca="1"/>
        <v>227.05</v>
      </c>
      <c r="FH112" vm="4765">
        <f ca="1"/>
        <v>222.55</v>
      </c>
      <c r="FI112" vm="4766">
        <f ca="1"/>
        <v>208.4</v>
      </c>
      <c r="FJ112" vm="4767">
        <f ca="1"/>
        <v>214.25</v>
      </c>
      <c r="FK112" vm="4768">
        <f ca="1"/>
        <v>214.15</v>
      </c>
      <c r="FL112" vm="4769">
        <f ca="1"/>
        <v>210.4</v>
      </c>
      <c r="FM112" vm="4770">
        <f ca="1"/>
        <v>231.4</v>
      </c>
      <c r="FN112" vm="4771">
        <f ca="1"/>
        <v>234.4</v>
      </c>
      <c r="FO112" vm="4772">
        <f ca="1"/>
        <v>248.95</v>
      </c>
      <c r="FP112" vm="4773">
        <f ca="1"/>
        <v>273.8</v>
      </c>
      <c r="FQ112" vm="4774">
        <f ca="1"/>
        <v>287.45</v>
      </c>
      <c r="FR112" vm="4775">
        <f ca="1"/>
        <v>284.89999999999998</v>
      </c>
      <c r="FS112" vm="4776">
        <f ca="1"/>
        <v>299.10000000000002</v>
      </c>
      <c r="FT112" vm="4777">
        <f ca="1"/>
        <v>314.05</v>
      </c>
      <c r="FU112" vm="4778">
        <f ca="1"/>
        <v>299.39999999999998</v>
      </c>
      <c r="FV112" vm="4779">
        <f ca="1"/>
        <v>292.14999999999998</v>
      </c>
      <c r="FW112" vm="4780">
        <f ca="1"/>
        <v>293.55</v>
      </c>
      <c r="FX112" vm="4781">
        <f ca="1"/>
        <v>292.64999999999998</v>
      </c>
      <c r="FY112" vm="4782">
        <f ca="1"/>
        <v>286.95</v>
      </c>
      <c r="FZ112" vm="4783">
        <f ca="1"/>
        <v>284.64999999999998</v>
      </c>
      <c r="GA112" vm="4784">
        <f ca="1"/>
        <v>282.45</v>
      </c>
      <c r="GB112" vm="4785">
        <f ca="1"/>
        <v>277.85000000000002</v>
      </c>
      <c r="GC112" vm="4786">
        <f ca="1"/>
        <v>281.89999999999998</v>
      </c>
      <c r="GD112" vm="4787">
        <f ca="1"/>
        <v>285.39999999999998</v>
      </c>
      <c r="GE112" vm="4788">
        <f ca="1"/>
        <v>281.8</v>
      </c>
      <c r="GF112" vm="4789">
        <f ca="1"/>
        <v>274</v>
      </c>
      <c r="GG112" vm="4790">
        <f ca="1"/>
        <v>287.7</v>
      </c>
      <c r="GH112" vm="4791">
        <f ca="1"/>
        <v>290.2</v>
      </c>
      <c r="GI112" vm="4792">
        <f ca="1"/>
        <v>288</v>
      </c>
      <c r="GJ112" vm="4774">
        <f ca="1"/>
        <v>287.45</v>
      </c>
      <c r="GK112" vm="4793">
        <f ca="1"/>
        <v>285.8</v>
      </c>
      <c r="GL112" vm="4794">
        <f ca="1"/>
        <v>300.05</v>
      </c>
      <c r="GM112" vm="4795">
        <f ca="1"/>
        <v>314.55</v>
      </c>
      <c r="GN112" vm="4796">
        <f ca="1"/>
        <v>330.25</v>
      </c>
      <c r="GO112" vm="4797">
        <f ca="1"/>
        <v>334.75</v>
      </c>
      <c r="GP112" vm="4798">
        <f ca="1"/>
        <v>321</v>
      </c>
      <c r="GQ112" vm="4799">
        <f ca="1"/>
        <v>325.35000000000002</v>
      </c>
      <c r="GR112" vm="4800">
        <f ca="1"/>
        <v>312.05</v>
      </c>
      <c r="GS112" vm="4801">
        <f ca="1"/>
        <v>293.10000000000002</v>
      </c>
      <c r="GT112" vm="4802">
        <f ca="1"/>
        <v>321.85000000000002</v>
      </c>
      <c r="GU112" vm="4803">
        <f ca="1"/>
        <v>313.7</v>
      </c>
      <c r="GV112" vm="4804">
        <f ca="1"/>
        <v>345.05</v>
      </c>
      <c r="GW112" vm="4805">
        <f ca="1"/>
        <v>379.55</v>
      </c>
      <c r="GX112" vm="4806">
        <f ca="1"/>
        <v>373.55</v>
      </c>
      <c r="GY112" vm="4807">
        <f ca="1"/>
        <v>372.95</v>
      </c>
      <c r="GZ112" vm="4808">
        <f ca="1"/>
        <v>354.3</v>
      </c>
      <c r="HA112" vm="4809">
        <f ca="1"/>
        <v>342.95</v>
      </c>
      <c r="HB112" vm="4810">
        <f ca="1"/>
        <v>334.6</v>
      </c>
      <c r="HC112" vm="4811">
        <f ca="1"/>
        <v>351.3</v>
      </c>
      <c r="HD112" vm="4812">
        <f ca="1"/>
        <v>342.8</v>
      </c>
      <c r="HE112" vm="4813">
        <f ca="1"/>
        <v>333.45</v>
      </c>
      <c r="HF112" vm="4814">
        <f ca="1"/>
        <v>327.3</v>
      </c>
      <c r="HG112" vm="4815">
        <f ca="1"/>
        <v>343.65</v>
      </c>
      <c r="HH112" vm="4816">
        <f ca="1"/>
        <v>353.8</v>
      </c>
      <c r="HI112" vm="4817">
        <f ca="1"/>
        <v>342.7</v>
      </c>
      <c r="HJ112" vm="4818">
        <f ca="1"/>
        <v>335</v>
      </c>
      <c r="HK112" vm="4819">
        <f ca="1"/>
        <v>327.39999999999998</v>
      </c>
      <c r="HL112" vm="4820">
        <f ca="1"/>
        <v>330.05</v>
      </c>
      <c r="HM112" vm="4821">
        <f ca="1"/>
        <v>319.10000000000002</v>
      </c>
      <c r="HN112" vm="4822">
        <f ca="1"/>
        <v>304.2</v>
      </c>
      <c r="HO112" vm="4823">
        <f ca="1"/>
        <v>289</v>
      </c>
      <c r="HP112" vm="4824">
        <f ca="1"/>
        <v>303.45</v>
      </c>
      <c r="HQ112" vm="4825">
        <f ca="1"/>
        <v>299.95</v>
      </c>
      <c r="HR112" vm="4826">
        <f ca="1"/>
        <v>309.35000000000002</v>
      </c>
      <c r="HS112" vm="4827">
        <f ca="1"/>
        <v>298.39999999999998</v>
      </c>
      <c r="HT112" vm="4828">
        <f ca="1"/>
        <v>294.55</v>
      </c>
      <c r="HU112" vm="4829">
        <f ca="1"/>
        <v>309.25</v>
      </c>
      <c r="HV112" vm="4830">
        <f ca="1"/>
        <v>311.60000000000002</v>
      </c>
      <c r="HW112" vm="4831">
        <f ca="1"/>
        <v>310.5</v>
      </c>
      <c r="HX112" vm="4832">
        <f ca="1"/>
        <v>326</v>
      </c>
      <c r="HY112" vm="4833">
        <f ca="1"/>
        <v>316.5</v>
      </c>
      <c r="HZ112" vm="4834">
        <f ca="1"/>
        <v>332.3</v>
      </c>
      <c r="IA112" vm="4835">
        <f ca="1"/>
        <v>341.15</v>
      </c>
      <c r="IB112" vm="4836">
        <f ca="1"/>
        <v>340.3</v>
      </c>
      <c r="IC112" vm="4837">
        <f ca="1"/>
        <v>342.6</v>
      </c>
      <c r="ID112" vm="4838">
        <f ca="1"/>
        <v>338.9</v>
      </c>
      <c r="IE112" vm="4839">
        <f ca="1"/>
        <v>332.25</v>
      </c>
      <c r="IF112" vm="4840">
        <f ca="1"/>
        <v>329.5</v>
      </c>
      <c r="IG112" vm="4841">
        <f ca="1"/>
        <v>330.6</v>
      </c>
      <c r="IH112" vm="4842">
        <f ca="1"/>
        <v>327.05</v>
      </c>
      <c r="II112" vm="4843">
        <f ca="1"/>
        <v>313.14999999999998</v>
      </c>
      <c r="IJ112" vm="3610">
        <f ca="1"/>
        <v>331.75</v>
      </c>
      <c r="IK112" vm="4844">
        <f ca="1"/>
        <v>327.25</v>
      </c>
      <c r="IL112" vm="4845">
        <f ca="1"/>
        <v>326.45</v>
      </c>
      <c r="IM112" vm="4846">
        <f ca="1"/>
        <v>331.2</v>
      </c>
      <c r="IN112" vm="4847">
        <f ca="1"/>
        <v>358.65</v>
      </c>
      <c r="IO112" vm="4848">
        <f ca="1"/>
        <v>349.75</v>
      </c>
      <c r="IP112" vm="4849">
        <f ca="1"/>
        <v>371.95</v>
      </c>
      <c r="IQ112" vm="4850">
        <f ca="1"/>
        <v>365.85</v>
      </c>
      <c r="IR112" vm="4851">
        <f ca="1"/>
        <v>360.3</v>
      </c>
    </row>
    <row r="113" spans="4:252" x14ac:dyDescent="0.35">
      <c r="D113" t="e" vm="20">
        <v>#VALUE!</v>
      </c>
      <c r="E113" cm="1" vm="4360">
        <f t="array" aca="1" ref="E113:IR113" ca="1">TRANSPOSE((_xlfn.STOCKHISTORY('Portfolio Tracker '!$C27,TODAY()-365,TODAY(),0,0,1)))</f>
        <v>90.65</v>
      </c>
      <c r="F113" vm="4852">
        <f ca="1"/>
        <v>91.15</v>
      </c>
      <c r="G113" vm="4853">
        <f ca="1"/>
        <v>89.9</v>
      </c>
      <c r="H113" vm="4854">
        <f ca="1"/>
        <v>89.4</v>
      </c>
      <c r="I113" vm="4855">
        <f ca="1"/>
        <v>90.35</v>
      </c>
      <c r="J113" vm="4856">
        <f ca="1"/>
        <v>90.2</v>
      </c>
      <c r="K113" vm="4857">
        <f ca="1"/>
        <v>89.55</v>
      </c>
      <c r="L113" vm="4858">
        <f ca="1"/>
        <v>89.85</v>
      </c>
      <c r="M113" vm="4859">
        <f ca="1"/>
        <v>89.65</v>
      </c>
      <c r="N113" vm="4860">
        <f ca="1"/>
        <v>92.05</v>
      </c>
      <c r="O113" vm="4861">
        <f ca="1"/>
        <v>91.6</v>
      </c>
      <c r="P113" vm="4862">
        <f ca="1"/>
        <v>91.2</v>
      </c>
      <c r="Q113" vm="4863">
        <f ca="1"/>
        <v>90.85</v>
      </c>
      <c r="R113" vm="4366">
        <f ca="1"/>
        <v>90.55</v>
      </c>
      <c r="S113" vm="4864">
        <f ca="1"/>
        <v>90.8</v>
      </c>
      <c r="T113" vm="4865">
        <f ca="1"/>
        <v>91.4</v>
      </c>
      <c r="U113" vm="4866">
        <f ca="1"/>
        <v>91.45</v>
      </c>
      <c r="V113" vm="4630">
        <f ca="1"/>
        <v>94.45</v>
      </c>
      <c r="W113" vm="4378">
        <f ca="1"/>
        <v>95.1</v>
      </c>
      <c r="X113" vm="4373">
        <f ca="1"/>
        <v>96.5</v>
      </c>
      <c r="Y113" vm="4867">
        <f ca="1"/>
        <v>99.15</v>
      </c>
      <c r="Z113" vm="4640">
        <f ca="1"/>
        <v>99.2</v>
      </c>
      <c r="AA113" vm="4868">
        <f ca="1"/>
        <v>99.4</v>
      </c>
      <c r="AB113" vm="4869">
        <f ca="1"/>
        <v>98.9</v>
      </c>
      <c r="AC113" vm="4870">
        <f ca="1"/>
        <v>100</v>
      </c>
      <c r="AD113" vm="4871">
        <f ca="1"/>
        <v>102</v>
      </c>
      <c r="AE113" vm="4356">
        <f ca="1"/>
        <v>102.55</v>
      </c>
      <c r="AF113" vm="4872">
        <f ca="1"/>
        <v>101</v>
      </c>
      <c r="AG113" vm="4873">
        <f ca="1"/>
        <v>101.35</v>
      </c>
      <c r="AH113" vm="4356">
        <f ca="1"/>
        <v>102.55</v>
      </c>
      <c r="AI113" vm="4874">
        <f ca="1"/>
        <v>104.8</v>
      </c>
      <c r="AJ113" vm="4338">
        <f ca="1"/>
        <v>103.5</v>
      </c>
      <c r="AK113" vm="4875">
        <f ca="1"/>
        <v>105.6</v>
      </c>
      <c r="AL113" vm="4876">
        <f ca="1"/>
        <v>108.3</v>
      </c>
      <c r="AM113" vm="4877">
        <f ca="1"/>
        <v>106.9</v>
      </c>
      <c r="AN113" vm="4878">
        <f ca="1"/>
        <v>105.5</v>
      </c>
      <c r="AO113" vm="4879">
        <f ca="1"/>
        <v>102.8</v>
      </c>
      <c r="AP113" vm="4880">
        <f ca="1"/>
        <v>99.9</v>
      </c>
      <c r="AQ113" vm="4881">
        <f ca="1"/>
        <v>98.3</v>
      </c>
      <c r="AR113" vm="4870">
        <f ca="1"/>
        <v>100</v>
      </c>
      <c r="AS113" vm="4341">
        <f ca="1"/>
        <v>102.1</v>
      </c>
      <c r="AT113" vm="4882">
        <f ca="1"/>
        <v>102.3</v>
      </c>
      <c r="AU113" vm="4883">
        <f ca="1"/>
        <v>102.7</v>
      </c>
      <c r="AV113" vm="4884">
        <f ca="1"/>
        <v>109.2</v>
      </c>
      <c r="AW113" vm="4885">
        <f ca="1"/>
        <v>111.2</v>
      </c>
      <c r="AX113" vm="4886">
        <f ca="1"/>
        <v>114.3</v>
      </c>
      <c r="AY113" vm="4887">
        <f ca="1"/>
        <v>113.7</v>
      </c>
      <c r="AZ113" vm="4888">
        <f ca="1"/>
        <v>111.35</v>
      </c>
      <c r="BA113" vm="4889">
        <f ca="1"/>
        <v>110.3</v>
      </c>
      <c r="BB113" vm="4890">
        <f ca="1"/>
        <v>114.8</v>
      </c>
      <c r="BC113" vm="4891">
        <f ca="1"/>
        <v>115.05</v>
      </c>
      <c r="BD113" vm="3480">
        <f ca="1"/>
        <v>112.6</v>
      </c>
      <c r="BE113" vm="4892">
        <f ca="1"/>
        <v>113.85</v>
      </c>
      <c r="BF113" vm="4893">
        <f ca="1"/>
        <v>112.45</v>
      </c>
      <c r="BG113" vm="4894">
        <f ca="1"/>
        <v>111.15</v>
      </c>
      <c r="BH113" vm="4895">
        <f ca="1"/>
        <v>112.35</v>
      </c>
      <c r="BI113" vm="4896">
        <f ca="1"/>
        <v>112.1</v>
      </c>
      <c r="BJ113" vm="4897">
        <f ca="1"/>
        <v>113.35</v>
      </c>
      <c r="BK113" vm="4898">
        <f ca="1"/>
        <v>113.75</v>
      </c>
      <c r="BL113" vm="4899">
        <f ca="1"/>
        <v>113.95</v>
      </c>
      <c r="BM113" vm="4900">
        <f ca="1"/>
        <v>116.2</v>
      </c>
      <c r="BN113" vm="4901">
        <f ca="1"/>
        <v>113.55</v>
      </c>
      <c r="BO113" vm="4902">
        <f ca="1"/>
        <v>115.6</v>
      </c>
      <c r="BP113" vm="4903">
        <f ca="1"/>
        <v>118.75</v>
      </c>
      <c r="BQ113" vm="4904">
        <f ca="1"/>
        <v>120.2</v>
      </c>
      <c r="BR113" vm="4905">
        <f ca="1"/>
        <v>117.85</v>
      </c>
      <c r="BS113" vm="4906">
        <f ca="1"/>
        <v>118.4</v>
      </c>
      <c r="BT113" vm="4907">
        <f ca="1"/>
        <v>118.6</v>
      </c>
      <c r="BU113" vm="4908">
        <f ca="1"/>
        <v>119.45</v>
      </c>
      <c r="BV113" vm="4909">
        <f ca="1"/>
        <v>118.85</v>
      </c>
      <c r="BW113" vm="4910">
        <f ca="1"/>
        <v>119.35</v>
      </c>
      <c r="BX113" vm="4911">
        <f ca="1"/>
        <v>118.35</v>
      </c>
      <c r="BY113" vm="4912">
        <f ca="1"/>
        <v>118.25</v>
      </c>
      <c r="BZ113" vm="4913">
        <f ca="1"/>
        <v>118.55</v>
      </c>
      <c r="CA113" vm="4914">
        <f ca="1"/>
        <v>119.05</v>
      </c>
      <c r="CB113" vm="4915">
        <f ca="1"/>
        <v>119.15</v>
      </c>
      <c r="CC113" vm="4915">
        <f ca="1"/>
        <v>119.15</v>
      </c>
      <c r="CD113" vm="4916">
        <f ca="1"/>
        <v>121.3</v>
      </c>
      <c r="CE113" vm="4917">
        <f ca="1"/>
        <v>123.1</v>
      </c>
      <c r="CF113" vm="4918">
        <f ca="1"/>
        <v>124.4</v>
      </c>
      <c r="CG113" vm="4919">
        <f ca="1"/>
        <v>122.6</v>
      </c>
      <c r="CH113" vm="4920">
        <f ca="1"/>
        <v>121.05</v>
      </c>
      <c r="CI113" vm="4921">
        <f ca="1"/>
        <v>120.9</v>
      </c>
      <c r="CJ113" vm="4904">
        <f ca="1"/>
        <v>120.2</v>
      </c>
      <c r="CK113" vm="4922">
        <f ca="1"/>
        <v>122.4</v>
      </c>
      <c r="CL113" vm="4923">
        <f ca="1"/>
        <v>121.75</v>
      </c>
      <c r="CM113" vm="4924">
        <f ca="1"/>
        <v>123.5</v>
      </c>
      <c r="CN113" vm="4925">
        <f ca="1"/>
        <v>129.25</v>
      </c>
      <c r="CO113" vm="4926">
        <f ca="1"/>
        <v>128.05000000000001</v>
      </c>
      <c r="CP113" vm="4927">
        <f ca="1"/>
        <v>127.2</v>
      </c>
      <c r="CQ113" vm="4928">
        <f ca="1"/>
        <v>128.1</v>
      </c>
      <c r="CR113" vm="4929">
        <f ca="1"/>
        <v>129.1</v>
      </c>
      <c r="CS113" vm="4930">
        <f ca="1"/>
        <v>129.55000000000001</v>
      </c>
      <c r="CT113" vm="4931">
        <f ca="1"/>
        <v>124.55</v>
      </c>
      <c r="CU113" vm="4918">
        <f ca="1"/>
        <v>124.4</v>
      </c>
      <c r="CV113" vm="4932">
        <f ca="1"/>
        <v>125.55</v>
      </c>
      <c r="CW113" vm="4933">
        <f ca="1"/>
        <v>126.45</v>
      </c>
      <c r="CX113" vm="4934">
        <f ca="1"/>
        <v>125.85</v>
      </c>
      <c r="CY113" vm="4935">
        <f ca="1"/>
        <v>127.35</v>
      </c>
      <c r="CZ113" vm="4936">
        <f ca="1"/>
        <v>126.8</v>
      </c>
      <c r="DA113" vm="4937">
        <f ca="1"/>
        <v>125.7</v>
      </c>
      <c r="DB113" vm="4938">
        <f ca="1"/>
        <v>127.15</v>
      </c>
      <c r="DC113" vm="4939">
        <f ca="1"/>
        <v>128.44999999999999</v>
      </c>
      <c r="DD113" vm="4940">
        <f ca="1"/>
        <v>130.69999999999999</v>
      </c>
      <c r="DE113" vm="4938">
        <f ca="1"/>
        <v>127.15</v>
      </c>
      <c r="DF113" vm="4941">
        <f ca="1"/>
        <v>128.85</v>
      </c>
      <c r="DG113" vm="4942">
        <f ca="1"/>
        <v>127.9</v>
      </c>
      <c r="DH113" vm="4943">
        <f ca="1"/>
        <v>124.05</v>
      </c>
      <c r="DI113" vm="4944">
        <f ca="1"/>
        <v>123.7</v>
      </c>
      <c r="DJ113" vm="4918">
        <f ca="1"/>
        <v>124.4</v>
      </c>
      <c r="DK113" vm="4945">
        <f ca="1"/>
        <v>122.75</v>
      </c>
      <c r="DL113" vm="4946">
        <f ca="1"/>
        <v>123.8</v>
      </c>
      <c r="DM113" vm="4947">
        <f ca="1"/>
        <v>125.95</v>
      </c>
      <c r="DN113" vm="4948">
        <f ca="1"/>
        <v>124.85</v>
      </c>
      <c r="DO113" vm="4949">
        <f ca="1"/>
        <v>125.35</v>
      </c>
      <c r="DP113" vm="4950">
        <f ca="1"/>
        <v>125.5</v>
      </c>
      <c r="DQ113" vm="4951">
        <f ca="1"/>
        <v>126.65</v>
      </c>
      <c r="DR113" vm="4952">
        <f ca="1"/>
        <v>126.2</v>
      </c>
      <c r="DS113" vm="4947">
        <f ca="1"/>
        <v>125.95</v>
      </c>
      <c r="DT113" vm="4918">
        <f ca="1"/>
        <v>124.4</v>
      </c>
      <c r="DU113" vm="4953">
        <f ca="1"/>
        <v>119.5</v>
      </c>
      <c r="DV113" vm="4954">
        <f ca="1"/>
        <v>120.1</v>
      </c>
      <c r="DW113" vm="4955">
        <f ca="1"/>
        <v>118.15</v>
      </c>
      <c r="DX113" vm="4956">
        <f ca="1"/>
        <v>120.8</v>
      </c>
      <c r="DY113" vm="4957">
        <f ca="1"/>
        <v>115</v>
      </c>
      <c r="DZ113" vm="4958">
        <f ca="1"/>
        <v>114.5</v>
      </c>
      <c r="EA113" vm="4959">
        <f ca="1"/>
        <v>112.9</v>
      </c>
      <c r="EB113" vm="4960">
        <f ca="1"/>
        <v>113.2</v>
      </c>
      <c r="EC113" vm="4899">
        <f ca="1"/>
        <v>113.95</v>
      </c>
      <c r="ED113" vm="4961">
        <f ca="1"/>
        <v>115.4</v>
      </c>
      <c r="EE113" vm="4902">
        <f ca="1"/>
        <v>115.6</v>
      </c>
      <c r="EF113" vm="4962">
        <f ca="1"/>
        <v>115.7</v>
      </c>
      <c r="EG113" vm="4963">
        <f ca="1"/>
        <v>116.15</v>
      </c>
      <c r="EH113" vm="4964">
        <f ca="1"/>
        <v>117.05</v>
      </c>
      <c r="EI113" vm="4907">
        <f ca="1"/>
        <v>118.6</v>
      </c>
      <c r="EJ113" vm="4965">
        <f ca="1"/>
        <v>118.9</v>
      </c>
      <c r="EK113" vm="4966">
        <f ca="1"/>
        <v>120.45</v>
      </c>
      <c r="EL113" vm="4967">
        <f ca="1"/>
        <v>122.05</v>
      </c>
      <c r="EM113" vm="4968">
        <f ca="1"/>
        <v>118</v>
      </c>
      <c r="EN113" vm="4969">
        <f ca="1"/>
        <v>117.5</v>
      </c>
      <c r="EO113" vm="4970">
        <f ca="1"/>
        <v>118.2</v>
      </c>
      <c r="EP113" vm="4963">
        <f ca="1"/>
        <v>116.15</v>
      </c>
      <c r="EQ113" vm="4971">
        <f ca="1"/>
        <v>116.95</v>
      </c>
      <c r="ER113" vm="4972">
        <f ca="1"/>
        <v>116.35</v>
      </c>
      <c r="ES113" vm="4973">
        <f ca="1"/>
        <v>117.55</v>
      </c>
      <c r="ET113" vm="4905">
        <f ca="1"/>
        <v>117.85</v>
      </c>
      <c r="EU113" vm="4974">
        <f ca="1"/>
        <v>118.45</v>
      </c>
      <c r="EV113" vm="4975">
        <f ca="1"/>
        <v>119</v>
      </c>
      <c r="EW113" vm="4976">
        <f ca="1"/>
        <v>121.1</v>
      </c>
      <c r="EX113" vm="4977">
        <f ca="1"/>
        <v>123.6</v>
      </c>
      <c r="EY113" vm="4978">
        <f ca="1"/>
        <v>124.45</v>
      </c>
      <c r="EZ113" vm="4979">
        <f ca="1"/>
        <v>122.25</v>
      </c>
      <c r="FA113" vm="4648">
        <f ca="1"/>
        <v>122.3</v>
      </c>
      <c r="FB113" vm="4980">
        <f ca="1"/>
        <v>121.2</v>
      </c>
      <c r="FC113" vm="4981">
        <f ca="1"/>
        <v>120.75</v>
      </c>
      <c r="FD113" vm="4648">
        <f ca="1"/>
        <v>122.3</v>
      </c>
      <c r="FE113" vm="4982">
        <f ca="1"/>
        <v>123.2</v>
      </c>
      <c r="FF113" vm="4983">
        <f ca="1"/>
        <v>126.95</v>
      </c>
      <c r="FG113" vm="4984">
        <f ca="1"/>
        <v>125.6</v>
      </c>
      <c r="FH113" vm="4951">
        <f ca="1"/>
        <v>126.65</v>
      </c>
      <c r="FI113" vm="4985">
        <f ca="1"/>
        <v>122</v>
      </c>
      <c r="FJ113" vm="4986">
        <f ca="1"/>
        <v>123.65</v>
      </c>
      <c r="FK113" vm="4987">
        <f ca="1"/>
        <v>124.2</v>
      </c>
      <c r="FL113" vm="4988">
        <f ca="1"/>
        <v>124.35</v>
      </c>
      <c r="FM113" vm="4989">
        <f ca="1"/>
        <v>125</v>
      </c>
      <c r="FN113" vm="4989">
        <f ca="1"/>
        <v>125</v>
      </c>
      <c r="FO113" vm="4951">
        <f ca="1"/>
        <v>126.65</v>
      </c>
      <c r="FP113" vm="4950">
        <f ca="1"/>
        <v>125.5</v>
      </c>
      <c r="FQ113" vm="4990">
        <f ca="1"/>
        <v>123.45</v>
      </c>
      <c r="FR113" vm="4991">
        <f ca="1"/>
        <v>123.9</v>
      </c>
      <c r="FS113" vm="4934">
        <f ca="1"/>
        <v>125.85</v>
      </c>
      <c r="FT113" vm="4992">
        <f ca="1"/>
        <v>124.95</v>
      </c>
      <c r="FU113" vm="4924">
        <f ca="1"/>
        <v>123.5</v>
      </c>
      <c r="FV113" vm="4993">
        <f ca="1"/>
        <v>122.7</v>
      </c>
      <c r="FW113" vm="4994">
        <f ca="1"/>
        <v>121</v>
      </c>
      <c r="FX113" vm="4995">
        <f ca="1"/>
        <v>124.8</v>
      </c>
      <c r="FY113" vm="4948">
        <f ca="1"/>
        <v>124.85</v>
      </c>
      <c r="FZ113" vm="4996">
        <f ca="1"/>
        <v>125.2</v>
      </c>
      <c r="GA113" vm="4997">
        <f ca="1"/>
        <v>127.5</v>
      </c>
      <c r="GB113" vm="4946">
        <f ca="1"/>
        <v>123.8</v>
      </c>
      <c r="GC113" vm="4998">
        <f ca="1"/>
        <v>123.85</v>
      </c>
      <c r="GD113" vm="4648">
        <f ca="1"/>
        <v>122.3</v>
      </c>
      <c r="GE113" vm="4931">
        <f ca="1"/>
        <v>124.55</v>
      </c>
      <c r="GF113" vm="4999">
        <f ca="1"/>
        <v>115.75</v>
      </c>
      <c r="GG113" vm="5000">
        <f ca="1"/>
        <v>115.3</v>
      </c>
      <c r="GH113" vm="5001">
        <f ca="1"/>
        <v>116</v>
      </c>
      <c r="GI113" vm="4955">
        <f ca="1"/>
        <v>118.15</v>
      </c>
      <c r="GJ113" vm="4964">
        <f ca="1"/>
        <v>117.05</v>
      </c>
      <c r="GK113" vm="4908">
        <f ca="1"/>
        <v>119.45</v>
      </c>
      <c r="GL113" vm="4907">
        <f ca="1"/>
        <v>118.6</v>
      </c>
      <c r="GM113" vm="5002">
        <f ca="1"/>
        <v>117.75</v>
      </c>
      <c r="GN113" vm="4907">
        <f ca="1"/>
        <v>118.6</v>
      </c>
      <c r="GO113" vm="4955">
        <f ca="1"/>
        <v>118.15</v>
      </c>
      <c r="GP113" vm="4907">
        <f ca="1"/>
        <v>118.6</v>
      </c>
      <c r="GQ113" vm="5003">
        <f ca="1"/>
        <v>115.85</v>
      </c>
      <c r="GR113" vm="5004">
        <f ca="1"/>
        <v>116.6</v>
      </c>
      <c r="GS113" vm="4960">
        <f ca="1"/>
        <v>113.2</v>
      </c>
      <c r="GT113" vm="5005">
        <f ca="1"/>
        <v>115.2</v>
      </c>
      <c r="GU113" vm="5006">
        <f ca="1"/>
        <v>114.95</v>
      </c>
      <c r="GV113" vm="5007">
        <f ca="1"/>
        <v>116.05</v>
      </c>
      <c r="GW113" vm="4906">
        <f ca="1"/>
        <v>118.4</v>
      </c>
      <c r="GX113" vm="5008">
        <f ca="1"/>
        <v>117.1</v>
      </c>
      <c r="GY113" vm="5004">
        <f ca="1"/>
        <v>116.6</v>
      </c>
      <c r="GZ113" vm="5009">
        <f ca="1"/>
        <v>115.9</v>
      </c>
      <c r="HA113" vm="5010">
        <f ca="1"/>
        <v>116.65</v>
      </c>
      <c r="HB113" vm="5011">
        <f ca="1"/>
        <v>118.8</v>
      </c>
      <c r="HC113" vm="4910">
        <f ca="1"/>
        <v>119.35</v>
      </c>
      <c r="HD113" vm="5012">
        <f ca="1"/>
        <v>118.7</v>
      </c>
      <c r="HE113" vm="5013">
        <f ca="1"/>
        <v>115.45</v>
      </c>
      <c r="HF113" vm="5014">
        <f ca="1"/>
        <v>116.45</v>
      </c>
      <c r="HG113" vm="4973">
        <f ca="1"/>
        <v>117.55</v>
      </c>
      <c r="HH113" vm="5015">
        <f ca="1"/>
        <v>118.1</v>
      </c>
      <c r="HI113" vm="5016">
        <f ca="1"/>
        <v>117.6</v>
      </c>
      <c r="HJ113" vm="4973">
        <f ca="1"/>
        <v>117.55</v>
      </c>
      <c r="HK113" vm="5009">
        <f ca="1"/>
        <v>115.9</v>
      </c>
      <c r="HL113" vm="4961">
        <f ca="1"/>
        <v>115.4</v>
      </c>
      <c r="HM113" vm="5017">
        <f ca="1"/>
        <v>114.2</v>
      </c>
      <c r="HN113" vm="5018">
        <f ca="1"/>
        <v>113.05</v>
      </c>
      <c r="HO113" vm="5019">
        <f ca="1"/>
        <v>108.9</v>
      </c>
      <c r="HP113" vm="5020">
        <f ca="1"/>
        <v>110.6</v>
      </c>
      <c r="HQ113" vm="5021">
        <f ca="1"/>
        <v>110.75</v>
      </c>
      <c r="HR113" vm="5022">
        <f ca="1"/>
        <v>109.4</v>
      </c>
      <c r="HS113" vm="5023">
        <f ca="1"/>
        <v>108.45</v>
      </c>
      <c r="HT113" vm="5024">
        <f ca="1"/>
        <v>107.8</v>
      </c>
      <c r="HU113" vm="5025">
        <f ca="1"/>
        <v>109.6</v>
      </c>
      <c r="HV113" vm="5026">
        <f ca="1"/>
        <v>110.4</v>
      </c>
      <c r="HW113" vm="5027">
        <f ca="1"/>
        <v>110.15</v>
      </c>
      <c r="HX113" vm="5028">
        <f ca="1"/>
        <v>111.25</v>
      </c>
      <c r="HY113" vm="5029">
        <f ca="1"/>
        <v>110.7</v>
      </c>
      <c r="HZ113" vm="4960">
        <f ca="1"/>
        <v>113.2</v>
      </c>
      <c r="IA113" vm="5005">
        <f ca="1"/>
        <v>115.2</v>
      </c>
      <c r="IB113" vm="5030">
        <f ca="1"/>
        <v>114.9</v>
      </c>
      <c r="IC113" vm="5001">
        <f ca="1"/>
        <v>116</v>
      </c>
      <c r="ID113" vm="4969">
        <f ca="1"/>
        <v>117.5</v>
      </c>
      <c r="IE113" vm="5031">
        <f ca="1"/>
        <v>121.45</v>
      </c>
      <c r="IF113" vm="5032">
        <f ca="1"/>
        <v>120.7</v>
      </c>
      <c r="IG113" vm="4931">
        <f ca="1"/>
        <v>124.55</v>
      </c>
      <c r="IH113" vm="5033">
        <f ca="1"/>
        <v>123.55</v>
      </c>
      <c r="II113" vm="5034">
        <f ca="1"/>
        <v>121.95</v>
      </c>
      <c r="IJ113" vm="5035">
        <f ca="1"/>
        <v>122.35</v>
      </c>
      <c r="IK113" vm="5034">
        <f ca="1"/>
        <v>121.95</v>
      </c>
      <c r="IL113" vm="5036">
        <f ca="1"/>
        <v>122.85</v>
      </c>
      <c r="IM113" vm="4998">
        <f ca="1"/>
        <v>123.85</v>
      </c>
      <c r="IN113" vm="4992">
        <f ca="1"/>
        <v>124.95</v>
      </c>
      <c r="IO113" vm="4987">
        <f ca="1"/>
        <v>124.2</v>
      </c>
      <c r="IP113" vm="4988">
        <f ca="1"/>
        <v>124.35</v>
      </c>
      <c r="IQ113" vm="5037">
        <f ca="1"/>
        <v>127.25</v>
      </c>
      <c r="IR113" vm="5038">
        <f ca="1"/>
        <v>121.65</v>
      </c>
    </row>
    <row r="114" spans="4:252" x14ac:dyDescent="0.35">
      <c r="D114" t="e" vm="21">
        <v>#VALUE!</v>
      </c>
      <c r="E114" cm="1" vm="5039">
        <f t="array" aca="1" ref="E114:IR114" ca="1">TRANSPOSE((_xlfn.STOCKHISTORY('Portfolio Tracker '!$C28,TODAY()-365,TODAY(),0,0,1)))</f>
        <v>63.85</v>
      </c>
      <c r="F114" vm="4200">
        <f ca="1"/>
        <v>64.150000000000006</v>
      </c>
      <c r="G114" vm="4234">
        <f ca="1"/>
        <v>63.8</v>
      </c>
      <c r="H114" vm="5040">
        <f ca="1"/>
        <v>63.25</v>
      </c>
      <c r="I114" vm="5041">
        <f ca="1"/>
        <v>64.2</v>
      </c>
      <c r="J114" vm="4185">
        <f ca="1"/>
        <v>64.45</v>
      </c>
      <c r="K114" vm="5042">
        <f ca="1"/>
        <v>64.05</v>
      </c>
      <c r="L114" vm="5043">
        <f ca="1"/>
        <v>64.8</v>
      </c>
      <c r="M114" vm="4196">
        <f ca="1"/>
        <v>65.55</v>
      </c>
      <c r="N114" vm="4296">
        <f ca="1"/>
        <v>66.75</v>
      </c>
      <c r="O114" vm="4192">
        <f ca="1"/>
        <v>67.400000000000006</v>
      </c>
      <c r="P114" vm="4295">
        <f ca="1"/>
        <v>66.95</v>
      </c>
      <c r="Q114" vm="4224">
        <f ca="1"/>
        <v>66.7</v>
      </c>
      <c r="R114" vm="5044">
        <f ca="1"/>
        <v>66.8</v>
      </c>
      <c r="S114" vm="4195">
        <f ca="1"/>
        <v>66.400000000000006</v>
      </c>
      <c r="T114" vm="4230">
        <f ca="1"/>
        <v>66.05</v>
      </c>
      <c r="U114" vm="4229">
        <f ca="1"/>
        <v>66</v>
      </c>
      <c r="V114" vm="4245">
        <f ca="1"/>
        <v>68</v>
      </c>
      <c r="W114" vm="4242">
        <f ca="1"/>
        <v>69.849999999999994</v>
      </c>
      <c r="X114" vm="4209">
        <f ca="1"/>
        <v>70.150000000000006</v>
      </c>
      <c r="Y114" vm="5045">
        <f ca="1"/>
        <v>71.650000000000006</v>
      </c>
      <c r="Z114" vm="5045">
        <f ca="1"/>
        <v>71.650000000000006</v>
      </c>
      <c r="AA114" vm="5046">
        <f ca="1"/>
        <v>72.599999999999994</v>
      </c>
      <c r="AB114" vm="4265">
        <f ca="1"/>
        <v>72.900000000000006</v>
      </c>
      <c r="AC114" vm="5047">
        <f ca="1"/>
        <v>73.7</v>
      </c>
      <c r="AD114" vm="4268">
        <f ca="1"/>
        <v>73.8</v>
      </c>
      <c r="AE114" vm="5048">
        <f ca="1"/>
        <v>73.599999999999994</v>
      </c>
      <c r="AF114" vm="5049">
        <f ca="1"/>
        <v>72.2</v>
      </c>
      <c r="AG114" vm="4262">
        <f ca="1"/>
        <v>71.7</v>
      </c>
      <c r="AH114" vm="5050">
        <f ca="1"/>
        <v>72.8</v>
      </c>
      <c r="AI114" vm="5051">
        <f ca="1"/>
        <v>74.8</v>
      </c>
      <c r="AJ114" vm="5052">
        <f ca="1"/>
        <v>76.75</v>
      </c>
      <c r="AK114" vm="5053">
        <f ca="1"/>
        <v>79</v>
      </c>
      <c r="AL114" vm="5054">
        <f ca="1"/>
        <v>81.7</v>
      </c>
      <c r="AM114" vm="5055">
        <f ca="1"/>
        <v>81.3</v>
      </c>
      <c r="AN114" vm="5056">
        <f ca="1"/>
        <v>82.8</v>
      </c>
      <c r="AO114" vm="5057">
        <f ca="1"/>
        <v>82.2</v>
      </c>
      <c r="AP114" vm="5058">
        <f ca="1"/>
        <v>77.599999999999994</v>
      </c>
      <c r="AQ114" vm="5059">
        <f ca="1"/>
        <v>77.75</v>
      </c>
      <c r="AR114" vm="5059">
        <f ca="1"/>
        <v>77.75</v>
      </c>
      <c r="AS114" vm="5060">
        <f ca="1"/>
        <v>78.25</v>
      </c>
      <c r="AT114" vm="5061">
        <f ca="1"/>
        <v>79.7</v>
      </c>
      <c r="AU114" vm="5062">
        <f ca="1"/>
        <v>79.400000000000006</v>
      </c>
      <c r="AV114" vm="5063">
        <f ca="1"/>
        <v>81.95</v>
      </c>
      <c r="AW114" vm="5064">
        <f ca="1"/>
        <v>78.650000000000006</v>
      </c>
      <c r="AX114" vm="5065">
        <f ca="1"/>
        <v>80.349999999999994</v>
      </c>
      <c r="AY114" vm="5066">
        <f ca="1"/>
        <v>80.5</v>
      </c>
      <c r="AZ114" vm="5061">
        <f ca="1"/>
        <v>79.7</v>
      </c>
      <c r="BA114" vm="5067">
        <f ca="1"/>
        <v>79.25</v>
      </c>
      <c r="BB114" vm="5056">
        <f ca="1"/>
        <v>82.8</v>
      </c>
      <c r="BC114" vm="5068">
        <f ca="1"/>
        <v>83.1</v>
      </c>
      <c r="BD114" vm="5069">
        <f ca="1"/>
        <v>81.349999999999994</v>
      </c>
      <c r="BE114" vm="5070">
        <f ca="1"/>
        <v>82.5</v>
      </c>
      <c r="BF114" vm="5054">
        <f ca="1"/>
        <v>81.7</v>
      </c>
      <c r="BG114" vm="5071">
        <f ca="1"/>
        <v>81.099999999999994</v>
      </c>
      <c r="BH114" vm="5072">
        <f ca="1"/>
        <v>81.8</v>
      </c>
      <c r="BI114" vm="5073">
        <f ca="1"/>
        <v>81.400000000000006</v>
      </c>
      <c r="BJ114" vm="5074">
        <f ca="1"/>
        <v>82.85</v>
      </c>
      <c r="BK114" vm="4359">
        <f ca="1"/>
        <v>83.7</v>
      </c>
      <c r="BL114" vm="5075">
        <f ca="1"/>
        <v>83.05</v>
      </c>
      <c r="BM114" vm="5076">
        <f ca="1"/>
        <v>84.65</v>
      </c>
      <c r="BN114" vm="5077">
        <f ca="1"/>
        <v>82.55</v>
      </c>
      <c r="BO114" vm="5078">
        <f ca="1"/>
        <v>83.95</v>
      </c>
      <c r="BP114" vm="5079">
        <f ca="1"/>
        <v>87.2</v>
      </c>
      <c r="BQ114" vm="5080">
        <f ca="1"/>
        <v>88.5</v>
      </c>
      <c r="BR114" vm="5081">
        <f ca="1"/>
        <v>87.1</v>
      </c>
      <c r="BS114" vm="5082">
        <f ca="1"/>
        <v>86.95</v>
      </c>
      <c r="BT114" vm="4363">
        <f ca="1"/>
        <v>87.45</v>
      </c>
      <c r="BU114" vm="5083">
        <f ca="1"/>
        <v>87.65</v>
      </c>
      <c r="BV114" vm="4363">
        <f ca="1"/>
        <v>87.45</v>
      </c>
      <c r="BW114" vm="5084">
        <f ca="1"/>
        <v>88.15</v>
      </c>
      <c r="BX114" vm="5085">
        <f ca="1"/>
        <v>87.55</v>
      </c>
      <c r="BY114" vm="5084">
        <f ca="1"/>
        <v>88.15</v>
      </c>
      <c r="BZ114" vm="5084">
        <f ca="1"/>
        <v>88.15</v>
      </c>
      <c r="CA114" vm="5086">
        <f ca="1"/>
        <v>88.35</v>
      </c>
      <c r="CB114" vm="4327">
        <f ca="1"/>
        <v>88.55</v>
      </c>
      <c r="CC114" vm="5087">
        <f ca="1"/>
        <v>88.95</v>
      </c>
      <c r="CD114" vm="5088">
        <f ca="1"/>
        <v>89.7</v>
      </c>
      <c r="CE114" vm="4317">
        <f ca="1"/>
        <v>91.95</v>
      </c>
      <c r="CF114" vm="5089">
        <f ca="1"/>
        <v>92.25</v>
      </c>
      <c r="CG114" vm="4866">
        <f ca="1"/>
        <v>91.45</v>
      </c>
      <c r="CH114" vm="5090">
        <f ca="1"/>
        <v>91.1</v>
      </c>
      <c r="CI114" vm="5091">
        <f ca="1"/>
        <v>91.05</v>
      </c>
      <c r="CJ114" vm="5092">
        <f ca="1"/>
        <v>90.3</v>
      </c>
      <c r="CK114" vm="5089">
        <f ca="1"/>
        <v>92.25</v>
      </c>
      <c r="CL114" vm="4631">
        <f ca="1"/>
        <v>93.35</v>
      </c>
      <c r="CM114" vm="4637">
        <f ca="1"/>
        <v>93.4</v>
      </c>
      <c r="CN114" vm="5093">
        <f ca="1"/>
        <v>98.45</v>
      </c>
      <c r="CO114" vm="4640">
        <f ca="1"/>
        <v>99.2</v>
      </c>
      <c r="CP114" vm="5094">
        <f ca="1"/>
        <v>97.65</v>
      </c>
      <c r="CQ114" vm="4382">
        <f ca="1"/>
        <v>95.8</v>
      </c>
      <c r="CR114" vm="5095">
        <f ca="1"/>
        <v>95.35</v>
      </c>
      <c r="CS114" vm="5096">
        <f ca="1"/>
        <v>96.55</v>
      </c>
      <c r="CT114" vm="4627">
        <f ca="1"/>
        <v>93.45</v>
      </c>
      <c r="CU114" vm="4636">
        <f ca="1"/>
        <v>93.1</v>
      </c>
      <c r="CV114" vm="4329">
        <f ca="1"/>
        <v>93.65</v>
      </c>
      <c r="CW114" vm="5097">
        <f ca="1"/>
        <v>94.55</v>
      </c>
      <c r="CX114" vm="5098">
        <f ca="1"/>
        <v>93.15</v>
      </c>
      <c r="CY114" vm="5099">
        <f ca="1"/>
        <v>93.6</v>
      </c>
      <c r="CZ114" vm="4637">
        <f ca="1"/>
        <v>93.4</v>
      </c>
      <c r="DA114" vm="5099">
        <f ca="1"/>
        <v>93.6</v>
      </c>
      <c r="DB114" vm="5100">
        <f ca="1"/>
        <v>94.3</v>
      </c>
      <c r="DC114" vm="5101">
        <f ca="1"/>
        <v>95.55</v>
      </c>
      <c r="DD114" vm="5102">
        <f ca="1"/>
        <v>97.55</v>
      </c>
      <c r="DE114" vm="5097">
        <f ca="1"/>
        <v>94.55</v>
      </c>
      <c r="DF114" vm="4635">
        <f ca="1"/>
        <v>95.5</v>
      </c>
      <c r="DG114" vm="4376">
        <f ca="1"/>
        <v>94.15</v>
      </c>
      <c r="DH114" vm="5103">
        <f ca="1"/>
        <v>91.75</v>
      </c>
      <c r="DI114" vm="4317">
        <f ca="1"/>
        <v>91.95</v>
      </c>
      <c r="DJ114" vm="4865">
        <f ca="1"/>
        <v>91.4</v>
      </c>
      <c r="DK114" vm="5104">
        <f ca="1"/>
        <v>90.05</v>
      </c>
      <c r="DL114" vm="4626">
        <f ca="1"/>
        <v>90.25</v>
      </c>
      <c r="DM114" vm="5105">
        <f ca="1"/>
        <v>91.55</v>
      </c>
      <c r="DN114" vm="4864">
        <f ca="1"/>
        <v>90.8</v>
      </c>
      <c r="DO114" vm="4626">
        <f ca="1"/>
        <v>90.25</v>
      </c>
      <c r="DP114" vm="5106">
        <f ca="1"/>
        <v>90.95</v>
      </c>
      <c r="DQ114" vm="4861">
        <f ca="1"/>
        <v>91.6</v>
      </c>
      <c r="DR114" vm="5106">
        <f ca="1"/>
        <v>90.95</v>
      </c>
      <c r="DS114" vm="4864">
        <f ca="1"/>
        <v>90.8</v>
      </c>
      <c r="DT114" vm="5107">
        <f ca="1"/>
        <v>88.9</v>
      </c>
      <c r="DU114" vm="5108">
        <f ca="1"/>
        <v>86.45</v>
      </c>
      <c r="DV114" vm="5109">
        <f ca="1"/>
        <v>87.15</v>
      </c>
      <c r="DW114" vm="5110">
        <f ca="1"/>
        <v>84.95</v>
      </c>
      <c r="DX114" vm="5111">
        <f ca="1"/>
        <v>86.05</v>
      </c>
      <c r="DY114" vm="5112">
        <f ca="1"/>
        <v>83.2</v>
      </c>
      <c r="DZ114" vm="5113">
        <f ca="1"/>
        <v>82.7</v>
      </c>
      <c r="EA114" vm="5071">
        <f ca="1"/>
        <v>81.099999999999994</v>
      </c>
      <c r="EB114" vm="5114">
        <f ca="1"/>
        <v>82.3</v>
      </c>
      <c r="EC114" vm="5056">
        <f ca="1"/>
        <v>82.8</v>
      </c>
      <c r="ED114" vm="4311">
        <f ca="1"/>
        <v>82.75</v>
      </c>
      <c r="EE114" vm="5115">
        <f ca="1"/>
        <v>83.15</v>
      </c>
      <c r="EF114" vm="4359">
        <f ca="1"/>
        <v>83.7</v>
      </c>
      <c r="EG114" vm="5076">
        <f ca="1"/>
        <v>84.65</v>
      </c>
      <c r="EH114" vm="5116">
        <f ca="1"/>
        <v>85.35</v>
      </c>
      <c r="EI114" vm="5117">
        <f ca="1"/>
        <v>86.2</v>
      </c>
      <c r="EJ114" vm="5118">
        <f ca="1"/>
        <v>86.35</v>
      </c>
      <c r="EK114" vm="5119">
        <f ca="1"/>
        <v>86.85</v>
      </c>
      <c r="EL114" vm="4323">
        <f ca="1"/>
        <v>88.4</v>
      </c>
      <c r="EM114" vm="5120">
        <f ca="1"/>
        <v>85.1</v>
      </c>
      <c r="EN114" vm="5121">
        <f ca="1"/>
        <v>84.4</v>
      </c>
      <c r="EO114" vm="4326">
        <f ca="1"/>
        <v>84.6</v>
      </c>
      <c r="EP114" vm="5112">
        <f ca="1"/>
        <v>83.2</v>
      </c>
      <c r="EQ114" vm="4312">
        <f ca="1"/>
        <v>84.15</v>
      </c>
      <c r="ER114" vm="5122">
        <f ca="1"/>
        <v>84.3</v>
      </c>
      <c r="ES114" vm="5123">
        <f ca="1"/>
        <v>85.25</v>
      </c>
      <c r="ET114" vm="5124">
        <f ca="1"/>
        <v>84.9</v>
      </c>
      <c r="EU114" vm="4314">
        <f ca="1"/>
        <v>85.2</v>
      </c>
      <c r="EV114" vm="4324">
        <f ca="1"/>
        <v>86.1</v>
      </c>
      <c r="EW114" vm="5082">
        <f ca="1"/>
        <v>86.95</v>
      </c>
      <c r="EX114" vm="5125">
        <f ca="1"/>
        <v>89.25</v>
      </c>
      <c r="EY114" vm="5126">
        <f ca="1"/>
        <v>90.4</v>
      </c>
      <c r="EZ114" vm="4322">
        <f ca="1"/>
        <v>87.7</v>
      </c>
      <c r="FA114" vm="4315">
        <f ca="1"/>
        <v>88.05</v>
      </c>
      <c r="FB114" vm="4362">
        <f ca="1"/>
        <v>87.35</v>
      </c>
      <c r="FC114" vm="5119">
        <f ca="1"/>
        <v>86.85</v>
      </c>
      <c r="FD114" vm="5127">
        <f ca="1"/>
        <v>87.5</v>
      </c>
      <c r="FE114" vm="5084">
        <f ca="1"/>
        <v>88.15</v>
      </c>
      <c r="FF114" vm="5128">
        <f ca="1"/>
        <v>90</v>
      </c>
      <c r="FG114" vm="5129">
        <f ca="1"/>
        <v>89.75</v>
      </c>
      <c r="FH114" vm="5130">
        <f ca="1"/>
        <v>90.15</v>
      </c>
      <c r="FI114" vm="4362">
        <f ca="1"/>
        <v>87.35</v>
      </c>
      <c r="FJ114" vm="5086">
        <f ca="1"/>
        <v>88.35</v>
      </c>
      <c r="FK114" vm="5131">
        <f ca="1"/>
        <v>88.45</v>
      </c>
      <c r="FL114" vm="5080">
        <f ca="1"/>
        <v>88.5</v>
      </c>
      <c r="FM114" vm="5132">
        <f ca="1"/>
        <v>88.85</v>
      </c>
      <c r="FN114" vm="5133">
        <f ca="1"/>
        <v>88.7</v>
      </c>
      <c r="FO114" vm="5107">
        <f ca="1"/>
        <v>88.9</v>
      </c>
      <c r="FP114" vm="5134">
        <f ca="1"/>
        <v>87.8</v>
      </c>
      <c r="FQ114" vm="4324">
        <f ca="1"/>
        <v>86.1</v>
      </c>
      <c r="FR114" vm="4324">
        <f ca="1"/>
        <v>86.1</v>
      </c>
      <c r="FS114" vm="5135">
        <f ca="1"/>
        <v>87.05</v>
      </c>
      <c r="FT114" vm="5136">
        <f ca="1"/>
        <v>86.7</v>
      </c>
      <c r="FU114" vm="5137">
        <f ca="1"/>
        <v>85.45</v>
      </c>
      <c r="FV114" vm="5138">
        <f ca="1"/>
        <v>84.25</v>
      </c>
      <c r="FW114" vm="5139">
        <f ca="1"/>
        <v>83.9</v>
      </c>
      <c r="FX114" vm="5140">
        <f ca="1"/>
        <v>86.65</v>
      </c>
      <c r="FY114" vm="5109">
        <f ca="1"/>
        <v>87.15</v>
      </c>
      <c r="FZ114" vm="5141">
        <f ca="1"/>
        <v>86.75</v>
      </c>
      <c r="GA114" vm="5142">
        <f ca="1"/>
        <v>88.3</v>
      </c>
      <c r="GB114" vm="4314">
        <f ca="1"/>
        <v>85.2</v>
      </c>
      <c r="GC114" vm="5143">
        <f ca="1"/>
        <v>86.4</v>
      </c>
      <c r="GD114" vm="5144">
        <f ca="1"/>
        <v>85.7</v>
      </c>
      <c r="GE114" vm="4322">
        <f ca="1"/>
        <v>87.7</v>
      </c>
      <c r="GF114" vm="5072">
        <f ca="1"/>
        <v>81.8</v>
      </c>
      <c r="GG114" vm="5145">
        <f ca="1"/>
        <v>79.599999999999994</v>
      </c>
      <c r="GH114" vm="5146">
        <f ca="1"/>
        <v>80.05</v>
      </c>
      <c r="GI114" vm="5147">
        <f ca="1"/>
        <v>83.5</v>
      </c>
      <c r="GJ114" vm="5113">
        <f ca="1"/>
        <v>82.7</v>
      </c>
      <c r="GK114" vm="5148">
        <f ca="1"/>
        <v>84.35</v>
      </c>
      <c r="GL114" vm="5149">
        <f ca="1"/>
        <v>83.4</v>
      </c>
      <c r="GM114" vm="5077">
        <f ca="1"/>
        <v>82.55</v>
      </c>
      <c r="GN114" vm="5150">
        <f ca="1"/>
        <v>83.25</v>
      </c>
      <c r="GO114" vm="5151">
        <f ca="1"/>
        <v>83</v>
      </c>
      <c r="GP114" vm="5115">
        <f ca="1"/>
        <v>83.15</v>
      </c>
      <c r="GQ114" vm="5152">
        <f ca="1"/>
        <v>81</v>
      </c>
      <c r="GR114" vm="5153">
        <f ca="1"/>
        <v>81.25</v>
      </c>
      <c r="GS114" vm="5154">
        <f ca="1"/>
        <v>79.2</v>
      </c>
      <c r="GT114" vm="5066">
        <f ca="1"/>
        <v>80.5</v>
      </c>
      <c r="GU114" vm="5155">
        <f ca="1"/>
        <v>80.849999999999994</v>
      </c>
      <c r="GV114" vm="5153">
        <f ca="1"/>
        <v>81.25</v>
      </c>
      <c r="GW114" vm="5074">
        <f ca="1"/>
        <v>82.85</v>
      </c>
      <c r="GX114" vm="5156">
        <f ca="1"/>
        <v>82.15</v>
      </c>
      <c r="GY114" vm="5157">
        <f ca="1"/>
        <v>81.75</v>
      </c>
      <c r="GZ114" vm="5158">
        <f ca="1"/>
        <v>80.95</v>
      </c>
      <c r="HA114" vm="5159">
        <f ca="1"/>
        <v>81.150000000000006</v>
      </c>
      <c r="HB114" vm="5074">
        <f ca="1"/>
        <v>82.85</v>
      </c>
      <c r="HC114" vm="5078">
        <f ca="1"/>
        <v>83.95</v>
      </c>
      <c r="HD114" vm="5160">
        <f ca="1"/>
        <v>83.3</v>
      </c>
      <c r="HE114" vm="5161">
        <f ca="1"/>
        <v>80.55</v>
      </c>
      <c r="HF114" vm="4307">
        <f ca="1"/>
        <v>81.05</v>
      </c>
      <c r="HG114" vm="5057">
        <f ca="1"/>
        <v>82.2</v>
      </c>
      <c r="HH114" vm="5077">
        <f ca="1"/>
        <v>82.55</v>
      </c>
      <c r="HI114" vm="5162">
        <f ca="1"/>
        <v>82.1</v>
      </c>
      <c r="HJ114" vm="5163">
        <f ca="1"/>
        <v>81.55</v>
      </c>
      <c r="HK114" vm="5072">
        <f ca="1"/>
        <v>81.8</v>
      </c>
      <c r="HL114" vm="5164">
        <f ca="1"/>
        <v>80.8</v>
      </c>
      <c r="HM114" vm="5066">
        <f ca="1"/>
        <v>80.5</v>
      </c>
      <c r="HN114" vm="5165">
        <f ca="1"/>
        <v>79.5</v>
      </c>
      <c r="HO114" vm="4274">
        <f ca="1"/>
        <v>77.5</v>
      </c>
      <c r="HP114" vm="5166">
        <f ca="1"/>
        <v>78.45</v>
      </c>
      <c r="HQ114" vm="5167">
        <f ca="1"/>
        <v>78.7</v>
      </c>
      <c r="HR114" vm="5168">
        <f ca="1"/>
        <v>77.95</v>
      </c>
      <c r="HS114" vm="5169">
        <f ca="1"/>
        <v>76.650000000000006</v>
      </c>
      <c r="HT114" vm="5170">
        <f ca="1"/>
        <v>76.349999999999994</v>
      </c>
      <c r="HU114" vm="5171">
        <f ca="1"/>
        <v>77.900000000000006</v>
      </c>
      <c r="HV114" vm="5172">
        <f ca="1"/>
        <v>78.05</v>
      </c>
      <c r="HW114" vm="5173">
        <f ca="1"/>
        <v>77.7</v>
      </c>
      <c r="HX114" vm="5174">
        <f ca="1"/>
        <v>77.8</v>
      </c>
      <c r="HY114" vm="5175">
        <f ca="1"/>
        <v>75.400000000000006</v>
      </c>
      <c r="HZ114" vm="4274">
        <f ca="1"/>
        <v>77.5</v>
      </c>
      <c r="IA114" vm="5176">
        <f ca="1"/>
        <v>79.150000000000006</v>
      </c>
      <c r="IB114" vm="5177">
        <f ca="1"/>
        <v>78.400000000000006</v>
      </c>
      <c r="IC114" vm="5178">
        <f ca="1"/>
        <v>79.45</v>
      </c>
      <c r="ID114" vm="5179">
        <f ca="1"/>
        <v>80.650000000000006</v>
      </c>
      <c r="IE114" vm="5070">
        <f ca="1"/>
        <v>82.5</v>
      </c>
      <c r="IF114" vm="5156">
        <f ca="1"/>
        <v>82.15</v>
      </c>
      <c r="IG114" vm="5180">
        <f ca="1"/>
        <v>84.7</v>
      </c>
      <c r="IH114" vm="5148">
        <f ca="1"/>
        <v>84.35</v>
      </c>
      <c r="II114" vm="4311">
        <f ca="1"/>
        <v>82.75</v>
      </c>
      <c r="IJ114" vm="5113">
        <f ca="1"/>
        <v>82.7</v>
      </c>
      <c r="IK114" vm="5181">
        <f ca="1"/>
        <v>82.6</v>
      </c>
      <c r="IL114" vm="5182">
        <f ca="1"/>
        <v>81.849999999999994</v>
      </c>
      <c r="IM114" vm="5112">
        <f ca="1"/>
        <v>83.2</v>
      </c>
      <c r="IN114" vm="5183">
        <f ca="1"/>
        <v>83.45</v>
      </c>
      <c r="IO114" vm="5184">
        <f ca="1"/>
        <v>83.35</v>
      </c>
      <c r="IP114" vm="5149">
        <f ca="1"/>
        <v>83.4</v>
      </c>
      <c r="IQ114" vm="5185">
        <f ca="1"/>
        <v>84.8</v>
      </c>
      <c r="IR114" vm="5186">
        <f ca="1"/>
        <v>81.650000000000006</v>
      </c>
    </row>
    <row r="115" spans="4:252" x14ac:dyDescent="0.35">
      <c r="D115" t="e" vm="22">
        <v>#VALUE!</v>
      </c>
      <c r="E115" cm="1" vm="5187">
        <f t="array" aca="1" ref="E115:IR115" ca="1">TRANSPOSE((_xlfn.STOCKHISTORY('Portfolio Tracker '!$C29,TODAY()-365,TODAY(),0,0,1)))</f>
        <v>626.95000000000005</v>
      </c>
      <c r="F115" vm="5188">
        <f ca="1"/>
        <v>627.70000000000005</v>
      </c>
      <c r="G115" vm="5189">
        <f ca="1"/>
        <v>631.6</v>
      </c>
      <c r="H115" vm="5190">
        <f ca="1"/>
        <v>625.4</v>
      </c>
      <c r="I115" vm="5191">
        <f ca="1"/>
        <v>628.1</v>
      </c>
      <c r="J115" vm="5192">
        <f ca="1"/>
        <v>622.6</v>
      </c>
      <c r="K115" vm="5193">
        <f ca="1"/>
        <v>624.29999999999995</v>
      </c>
      <c r="L115" vm="5194">
        <f ca="1"/>
        <v>626.6</v>
      </c>
      <c r="M115" vm="5195">
        <f ca="1"/>
        <v>628.45000000000005</v>
      </c>
      <c r="N115" vm="5196">
        <f ca="1"/>
        <v>632.35</v>
      </c>
      <c r="O115" vm="5197">
        <f ca="1"/>
        <v>626.15</v>
      </c>
      <c r="P115" vm="5198">
        <f ca="1"/>
        <v>622.75</v>
      </c>
      <c r="Q115" vm="5199">
        <f ca="1"/>
        <v>614.85</v>
      </c>
      <c r="R115" vm="5200">
        <f ca="1"/>
        <v>610.35</v>
      </c>
      <c r="S115" vm="5201">
        <f ca="1"/>
        <v>623.5</v>
      </c>
      <c r="T115" vm="2855">
        <f ca="1"/>
        <v>624.35</v>
      </c>
      <c r="U115" vm="5202">
        <f ca="1"/>
        <v>618.9</v>
      </c>
      <c r="V115" vm="5203">
        <f ca="1"/>
        <v>618.54999999999995</v>
      </c>
      <c r="W115" vm="2855">
        <f ca="1"/>
        <v>624.35</v>
      </c>
      <c r="X115" vm="5204">
        <f ca="1"/>
        <v>645.75</v>
      </c>
      <c r="Y115" vm="5205">
        <f ca="1"/>
        <v>643.75</v>
      </c>
      <c r="Z115" vm="5206">
        <f ca="1"/>
        <v>649.5</v>
      </c>
      <c r="AA115" vm="5206">
        <f ca="1"/>
        <v>649.5</v>
      </c>
      <c r="AB115" vm="5207">
        <f ca="1"/>
        <v>645.45000000000005</v>
      </c>
      <c r="AC115" vm="5208">
        <f ca="1"/>
        <v>643.65</v>
      </c>
      <c r="AD115" vm="5209">
        <f ca="1"/>
        <v>643</v>
      </c>
      <c r="AE115" vm="5210">
        <f ca="1"/>
        <v>652.9</v>
      </c>
      <c r="AF115" vm="5211">
        <f ca="1"/>
        <v>644</v>
      </c>
      <c r="AG115" vm="5212">
        <f ca="1"/>
        <v>640.15</v>
      </c>
      <c r="AH115" vm="5213">
        <f ca="1"/>
        <v>645.9</v>
      </c>
      <c r="AI115" vm="5214">
        <f ca="1"/>
        <v>647.6</v>
      </c>
      <c r="AJ115" vm="5215">
        <f ca="1"/>
        <v>643.5</v>
      </c>
      <c r="AK115" vm="5209">
        <f ca="1"/>
        <v>643</v>
      </c>
      <c r="AL115" vm="5216">
        <f ca="1"/>
        <v>665</v>
      </c>
      <c r="AM115" vm="5217">
        <f ca="1"/>
        <v>667.85</v>
      </c>
      <c r="AN115" vm="5218">
        <f ca="1"/>
        <v>664.05</v>
      </c>
      <c r="AO115" vm="5219">
        <f ca="1"/>
        <v>662.35</v>
      </c>
      <c r="AP115" vm="5220">
        <f ca="1"/>
        <v>644.9</v>
      </c>
      <c r="AQ115" vm="5221">
        <f ca="1"/>
        <v>627.79999999999995</v>
      </c>
      <c r="AR115" vm="5222">
        <f ca="1"/>
        <v>632.45000000000005</v>
      </c>
      <c r="AS115" vm="5223">
        <f ca="1"/>
        <v>630.6</v>
      </c>
      <c r="AT115" vm="5224">
        <f ca="1"/>
        <v>628.79999999999995</v>
      </c>
      <c r="AU115" vm="5225">
        <f ca="1"/>
        <v>635.1</v>
      </c>
      <c r="AV115" vm="5226">
        <f ca="1"/>
        <v>633.1</v>
      </c>
      <c r="AW115" vm="5227">
        <f ca="1"/>
        <v>628.70000000000005</v>
      </c>
      <c r="AX115" vm="5223">
        <f ca="1"/>
        <v>630.6</v>
      </c>
      <c r="AY115" vm="5228">
        <f ca="1"/>
        <v>632.29999999999995</v>
      </c>
      <c r="AZ115" vm="5229">
        <f ca="1"/>
        <v>630.65</v>
      </c>
      <c r="BA115" vm="5230">
        <f ca="1"/>
        <v>615.9</v>
      </c>
      <c r="BB115" vm="5231">
        <f ca="1"/>
        <v>619</v>
      </c>
      <c r="BC115" vm="5232">
        <f ca="1"/>
        <v>620.70000000000005</v>
      </c>
      <c r="BD115" vm="5233">
        <f ca="1"/>
        <v>617.75</v>
      </c>
      <c r="BE115" vm="5234">
        <f ca="1"/>
        <v>622.85</v>
      </c>
      <c r="BF115" vm="5235">
        <f ca="1"/>
        <v>625.54999999999995</v>
      </c>
      <c r="BG115" vm="5234">
        <f ca="1"/>
        <v>622.85</v>
      </c>
      <c r="BH115" vm="5236">
        <f ca="1"/>
        <v>625.5</v>
      </c>
      <c r="BI115" vm="5237">
        <f ca="1"/>
        <v>625.15</v>
      </c>
      <c r="BJ115" vm="5238">
        <f ca="1"/>
        <v>623.1</v>
      </c>
      <c r="BK115" vm="5239">
        <f ca="1"/>
        <v>620.29999999999995</v>
      </c>
      <c r="BL115" vm="5240">
        <f ca="1"/>
        <v>619.45000000000005</v>
      </c>
      <c r="BM115" vm="5241">
        <f ca="1"/>
        <v>620</v>
      </c>
      <c r="BN115" vm="5242">
        <f ca="1"/>
        <v>619.5</v>
      </c>
      <c r="BO115" vm="5229">
        <f ca="1"/>
        <v>630.65</v>
      </c>
      <c r="BP115" vm="5243">
        <f ca="1"/>
        <v>640.65</v>
      </c>
      <c r="BQ115" vm="5244">
        <f ca="1"/>
        <v>642.75</v>
      </c>
      <c r="BR115" vm="5245">
        <f ca="1"/>
        <v>637.75</v>
      </c>
      <c r="BS115" vm="5246">
        <f ca="1"/>
        <v>660.2</v>
      </c>
      <c r="BT115" vm="5247">
        <f ca="1"/>
        <v>653.54999999999995</v>
      </c>
      <c r="BU115" vm="5248">
        <f ca="1"/>
        <v>653.79999999999995</v>
      </c>
      <c r="BV115" vm="5249">
        <f ca="1"/>
        <v>642.6</v>
      </c>
      <c r="BW115" vm="5250">
        <f ca="1"/>
        <v>648.65</v>
      </c>
      <c r="BX115" vm="5251">
        <f ca="1"/>
        <v>646.45000000000005</v>
      </c>
      <c r="BY115" vm="5252">
        <f ca="1"/>
        <v>662.5</v>
      </c>
      <c r="BZ115" vm="5253">
        <f ca="1"/>
        <v>649.65</v>
      </c>
      <c r="CA115" vm="5254">
        <f ca="1"/>
        <v>641.35</v>
      </c>
      <c r="CB115" vm="5255">
        <f ca="1"/>
        <v>649.1</v>
      </c>
      <c r="CC115" vm="5256">
        <f ca="1"/>
        <v>643.4</v>
      </c>
      <c r="CD115" vm="5257">
        <f ca="1"/>
        <v>650.5</v>
      </c>
      <c r="CE115" vm="5258">
        <f ca="1"/>
        <v>651.70000000000005</v>
      </c>
      <c r="CF115" vm="5253">
        <f ca="1"/>
        <v>649.65</v>
      </c>
      <c r="CG115" vm="5259">
        <f ca="1"/>
        <v>659.6</v>
      </c>
      <c r="CH115" vm="5260">
        <f ca="1"/>
        <v>658.25</v>
      </c>
      <c r="CI115" vm="5261">
        <f ca="1"/>
        <v>678.1</v>
      </c>
      <c r="CJ115" vm="5262">
        <f ca="1"/>
        <v>672.5</v>
      </c>
      <c r="CK115" vm="5263">
        <f ca="1"/>
        <v>672.55</v>
      </c>
      <c r="CL115" vm="5264">
        <f ca="1"/>
        <v>672</v>
      </c>
      <c r="CM115" vm="5265">
        <f ca="1"/>
        <v>688.35</v>
      </c>
      <c r="CN115" vm="5266">
        <f ca="1"/>
        <v>703.25</v>
      </c>
      <c r="CO115" vm="5267">
        <f ca="1"/>
        <v>701.9</v>
      </c>
      <c r="CP115" vm="5268">
        <f ca="1"/>
        <v>708.5</v>
      </c>
      <c r="CQ115" vm="5269">
        <f ca="1"/>
        <v>707.25</v>
      </c>
      <c r="CR115" vm="5270">
        <f ca="1"/>
        <v>725.55</v>
      </c>
      <c r="CS115" vm="5271">
        <f ca="1"/>
        <v>717.4</v>
      </c>
      <c r="CT115" vm="5272">
        <f ca="1"/>
        <v>688.2</v>
      </c>
      <c r="CU115" vm="5273">
        <f ca="1"/>
        <v>687</v>
      </c>
      <c r="CV115" vm="5274">
        <f ca="1"/>
        <v>696.4</v>
      </c>
      <c r="CW115" vm="5275">
        <f ca="1"/>
        <v>695.65</v>
      </c>
      <c r="CX115" vm="5276">
        <f ca="1"/>
        <v>689.35</v>
      </c>
      <c r="CY115" vm="5277">
        <f ca="1"/>
        <v>678.55</v>
      </c>
      <c r="CZ115" vm="5278">
        <f ca="1"/>
        <v>671.3</v>
      </c>
      <c r="DA115" vm="5279">
        <f ca="1"/>
        <v>663.35</v>
      </c>
      <c r="DB115" vm="5280">
        <f ca="1"/>
        <v>689.2</v>
      </c>
      <c r="DC115" vm="5281">
        <f ca="1"/>
        <v>681.55</v>
      </c>
      <c r="DD115" vm="5282">
        <f ca="1"/>
        <v>682</v>
      </c>
      <c r="DE115" vm="5283">
        <f ca="1"/>
        <v>672.1</v>
      </c>
      <c r="DF115" vm="5284">
        <f ca="1"/>
        <v>680.85</v>
      </c>
      <c r="DG115" vm="5285">
        <f ca="1"/>
        <v>703.55</v>
      </c>
      <c r="DH115" vm="5286">
        <f ca="1"/>
        <v>704.05</v>
      </c>
      <c r="DI115" vm="5287">
        <f ca="1"/>
        <v>719.45</v>
      </c>
      <c r="DJ115" vm="5288">
        <f ca="1"/>
        <v>719.8</v>
      </c>
      <c r="DK115" vm="5289">
        <f ca="1"/>
        <v>702.85</v>
      </c>
      <c r="DL115" vm="5290">
        <f ca="1"/>
        <v>705.7</v>
      </c>
      <c r="DM115" vm="5291">
        <f ca="1"/>
        <v>704.6</v>
      </c>
      <c r="DN115" vm="5292">
        <f ca="1"/>
        <v>700.25</v>
      </c>
      <c r="DO115" vm="5293">
        <f ca="1"/>
        <v>704.15</v>
      </c>
      <c r="DP115" vm="5294">
        <f ca="1"/>
        <v>703.35</v>
      </c>
      <c r="DQ115" vm="5295">
        <f ca="1"/>
        <v>714.6</v>
      </c>
      <c r="DR115" vm="5296">
        <f ca="1"/>
        <v>703.85</v>
      </c>
      <c r="DS115" vm="5297">
        <f ca="1"/>
        <v>699.65</v>
      </c>
      <c r="DT115" vm="5298">
        <f ca="1"/>
        <v>692.1</v>
      </c>
      <c r="DU115" vm="5299">
        <f ca="1"/>
        <v>666.2</v>
      </c>
      <c r="DV115" vm="5300">
        <f ca="1"/>
        <v>658.05</v>
      </c>
      <c r="DW115" vm="5301">
        <f ca="1"/>
        <v>645.04999999999995</v>
      </c>
      <c r="DX115" vm="5302">
        <f ca="1"/>
        <v>659.35</v>
      </c>
      <c r="DY115" vm="5303">
        <f ca="1"/>
        <v>663.3</v>
      </c>
      <c r="DZ115" vm="5304">
        <f ca="1"/>
        <v>665.35</v>
      </c>
      <c r="EA115" vm="5305">
        <f ca="1"/>
        <v>652.85</v>
      </c>
      <c r="EB115" vm="5306">
        <f ca="1"/>
        <v>655.29999999999995</v>
      </c>
      <c r="EC115" vm="5307">
        <f ca="1"/>
        <v>663.6</v>
      </c>
      <c r="ED115" vm="5308">
        <f ca="1"/>
        <v>671.5</v>
      </c>
      <c r="EE115" vm="5309">
        <f ca="1"/>
        <v>681.1</v>
      </c>
      <c r="EF115" vm="5310">
        <f ca="1"/>
        <v>676.9</v>
      </c>
      <c r="EG115" vm="5311">
        <f ca="1"/>
        <v>670.55</v>
      </c>
      <c r="EH115" vm="5312">
        <f ca="1"/>
        <v>672.45</v>
      </c>
      <c r="EI115" vm="5313">
        <f ca="1"/>
        <v>677.15</v>
      </c>
      <c r="EJ115" vm="5314">
        <f ca="1"/>
        <v>671</v>
      </c>
      <c r="EK115" vm="5315">
        <f ca="1"/>
        <v>677.35</v>
      </c>
      <c r="EL115" vm="5316">
        <f ca="1"/>
        <v>679.65</v>
      </c>
      <c r="EM115" vm="5317">
        <f ca="1"/>
        <v>707.35</v>
      </c>
      <c r="EN115" vm="5318">
        <f ca="1"/>
        <v>701.3</v>
      </c>
      <c r="EO115" vm="5319">
        <f ca="1"/>
        <v>708.95</v>
      </c>
      <c r="EP115" vm="5320">
        <f ca="1"/>
        <v>700</v>
      </c>
      <c r="EQ115" vm="5320">
        <f ca="1"/>
        <v>700</v>
      </c>
      <c r="ER115" vm="5321">
        <f ca="1"/>
        <v>692.8</v>
      </c>
      <c r="ES115" vm="5322">
        <f ca="1"/>
        <v>696.8</v>
      </c>
      <c r="ET115" vm="5323">
        <f ca="1"/>
        <v>700.5</v>
      </c>
      <c r="EU115" vm="5324">
        <f ca="1"/>
        <v>705.75</v>
      </c>
      <c r="EV115" vm="5318">
        <f ca="1"/>
        <v>701.3</v>
      </c>
      <c r="EW115" vm="5325">
        <f ca="1"/>
        <v>720.85</v>
      </c>
      <c r="EX115" vm="5326">
        <f ca="1"/>
        <v>715.1</v>
      </c>
      <c r="EY115" vm="5327">
        <f ca="1"/>
        <v>740.5</v>
      </c>
      <c r="EZ115" vm="5328">
        <f ca="1"/>
        <v>757.8</v>
      </c>
      <c r="FA115" vm="5329">
        <f ca="1"/>
        <v>749.55</v>
      </c>
      <c r="FB115" vm="5330">
        <f ca="1"/>
        <v>762.1</v>
      </c>
      <c r="FC115" vm="5331">
        <f ca="1"/>
        <v>770.6</v>
      </c>
      <c r="FD115" vm="5332">
        <f ca="1"/>
        <v>777.95</v>
      </c>
      <c r="FE115" vm="5333">
        <f ca="1"/>
        <v>791.05</v>
      </c>
      <c r="FF115" vm="5334">
        <f ca="1"/>
        <v>780.85</v>
      </c>
      <c r="FG115" vm="5335">
        <f ca="1"/>
        <v>879.15</v>
      </c>
      <c r="FH115" vm="5336">
        <f ca="1"/>
        <v>882.1</v>
      </c>
      <c r="FI115" vm="5337">
        <f ca="1"/>
        <v>815.15</v>
      </c>
      <c r="FJ115" vm="5338">
        <f ca="1"/>
        <v>868.25</v>
      </c>
      <c r="FK115" vm="5339">
        <f ca="1"/>
        <v>860.9</v>
      </c>
      <c r="FL115" vm="5340">
        <f ca="1"/>
        <v>869.8</v>
      </c>
      <c r="FM115" vm="5341">
        <f ca="1"/>
        <v>867.5</v>
      </c>
      <c r="FN115" vm="5342">
        <f ca="1"/>
        <v>864.15</v>
      </c>
      <c r="FO115" vm="5343">
        <f ca="1"/>
        <v>887.5</v>
      </c>
      <c r="FP115" vm="5344">
        <f ca="1"/>
        <v>891.85</v>
      </c>
      <c r="FQ115" vm="5345">
        <f ca="1"/>
        <v>886.2</v>
      </c>
      <c r="FR115" vm="5346">
        <f ca="1"/>
        <v>899.25</v>
      </c>
      <c r="FS115" vm="5347">
        <f ca="1"/>
        <v>901.55</v>
      </c>
      <c r="FT115" vm="5348">
        <f ca="1"/>
        <v>905.9</v>
      </c>
      <c r="FU115" vm="5349">
        <f ca="1"/>
        <v>916.55</v>
      </c>
      <c r="FV115" vm="5350">
        <f ca="1"/>
        <v>918.8</v>
      </c>
      <c r="FW115" vm="5351">
        <f ca="1"/>
        <v>941.7</v>
      </c>
      <c r="FX115" vm="5352">
        <f ca="1"/>
        <v>940.3</v>
      </c>
      <c r="FY115" vm="5353">
        <f ca="1"/>
        <v>951.2</v>
      </c>
      <c r="FZ115" vm="5354">
        <f ca="1"/>
        <v>967.4</v>
      </c>
      <c r="GA115" vm="5355">
        <f ca="1"/>
        <v>949.65</v>
      </c>
      <c r="GB115" vm="5356">
        <f ca="1"/>
        <v>934.7</v>
      </c>
      <c r="GC115" vm="5357">
        <f ca="1"/>
        <v>927.25</v>
      </c>
      <c r="GD115" vm="5358">
        <f ca="1"/>
        <v>983.8</v>
      </c>
      <c r="GE115" vm="5359">
        <f ca="1"/>
        <v>1027</v>
      </c>
      <c r="GF115" vm="5360">
        <f ca="1"/>
        <v>935.35</v>
      </c>
      <c r="GG115" vm="5361">
        <f ca="1"/>
        <v>970.6</v>
      </c>
      <c r="GH115" vm="5362">
        <f ca="1"/>
        <v>970.3</v>
      </c>
      <c r="GI115" vm="59">
        <f ca="1"/>
        <v>981.8</v>
      </c>
      <c r="GJ115" vm="62">
        <f ca="1"/>
        <v>964.05</v>
      </c>
      <c r="GK115" vm="65">
        <f ca="1"/>
        <v>977.2</v>
      </c>
      <c r="GL115" vm="68">
        <f ca="1"/>
        <v>963.3</v>
      </c>
      <c r="GM115" vm="71">
        <f ca="1"/>
        <v>967.5</v>
      </c>
      <c r="GN115" vm="74">
        <f ca="1"/>
        <v>946.65</v>
      </c>
      <c r="GO115" vm="77">
        <f ca="1"/>
        <v>965.25</v>
      </c>
      <c r="GP115" vm="80">
        <f ca="1"/>
        <v>954.75</v>
      </c>
      <c r="GQ115" vm="83">
        <f ca="1"/>
        <v>944.35</v>
      </c>
      <c r="GR115" vm="86">
        <f ca="1"/>
        <v>939.15</v>
      </c>
      <c r="GS115" vm="89">
        <f ca="1"/>
        <v>900.1</v>
      </c>
      <c r="GT115" vm="92">
        <f ca="1"/>
        <v>910.45</v>
      </c>
      <c r="GU115" vm="95">
        <f ca="1"/>
        <v>929.2</v>
      </c>
      <c r="GV115" vm="98">
        <f ca="1"/>
        <v>951.5</v>
      </c>
      <c r="GW115" vm="101">
        <f ca="1"/>
        <v>940.65</v>
      </c>
      <c r="GX115" vm="104">
        <f ca="1"/>
        <v>946.95</v>
      </c>
      <c r="GY115" vm="107">
        <f ca="1"/>
        <v>951.9</v>
      </c>
      <c r="GZ115" vm="110">
        <f ca="1"/>
        <v>925.75</v>
      </c>
      <c r="HA115" vm="113">
        <f ca="1"/>
        <v>935.65</v>
      </c>
      <c r="HB115" vm="116">
        <f ca="1"/>
        <v>964.85</v>
      </c>
      <c r="HC115" vm="119">
        <f ca="1"/>
        <v>968.4</v>
      </c>
      <c r="HD115" vm="122">
        <f ca="1"/>
        <v>952.75</v>
      </c>
      <c r="HE115" vm="125">
        <f ca="1"/>
        <v>924.05</v>
      </c>
      <c r="HF115" vm="128">
        <f ca="1"/>
        <v>927.4</v>
      </c>
      <c r="HG115" vm="131">
        <f ca="1"/>
        <v>929.3</v>
      </c>
      <c r="HH115" vm="134">
        <f ca="1"/>
        <v>933.7</v>
      </c>
      <c r="HI115" vm="137">
        <f ca="1"/>
        <v>938</v>
      </c>
      <c r="HJ115" vm="140">
        <f ca="1"/>
        <v>935.8</v>
      </c>
      <c r="HK115" vm="143">
        <f ca="1"/>
        <v>929.05</v>
      </c>
      <c r="HL115" vm="146">
        <f ca="1"/>
        <v>937.2</v>
      </c>
      <c r="HM115" vm="149">
        <f ca="1"/>
        <v>938.6</v>
      </c>
      <c r="HN115" vm="152">
        <f ca="1"/>
        <v>920.95</v>
      </c>
      <c r="HO115" vm="155">
        <f ca="1"/>
        <v>880.65</v>
      </c>
      <c r="HP115" vm="158">
        <f ca="1"/>
        <v>898.75</v>
      </c>
      <c r="HQ115" vm="161">
        <f ca="1"/>
        <v>912.5</v>
      </c>
      <c r="HR115" vm="164">
        <f ca="1"/>
        <v>918.9</v>
      </c>
      <c r="HS115" vm="167">
        <f ca="1"/>
        <v>906.4</v>
      </c>
      <c r="HT115" vm="170">
        <f ca="1"/>
        <v>901.9</v>
      </c>
      <c r="HU115" vm="173">
        <f ca="1"/>
        <v>934.75</v>
      </c>
      <c r="HV115" vm="176">
        <f ca="1"/>
        <v>928.7</v>
      </c>
      <c r="HW115" vm="179">
        <f ca="1"/>
        <v>928.75</v>
      </c>
      <c r="HX115" vm="182">
        <f ca="1"/>
        <v>929.95</v>
      </c>
      <c r="HY115" vm="185">
        <f ca="1"/>
        <v>929.7</v>
      </c>
      <c r="HZ115" vm="188">
        <f ca="1"/>
        <v>970.15</v>
      </c>
      <c r="IA115" vm="191">
        <f ca="1"/>
        <v>1003.8</v>
      </c>
      <c r="IB115" vm="194">
        <f ca="1"/>
        <v>1014.65</v>
      </c>
      <c r="IC115" vm="197">
        <f ca="1"/>
        <v>998.15</v>
      </c>
      <c r="ID115" vm="200">
        <f ca="1"/>
        <v>1002.95</v>
      </c>
      <c r="IE115" vm="203">
        <f ca="1"/>
        <v>1014.8</v>
      </c>
      <c r="IF115" vm="206">
        <f ca="1"/>
        <v>1010.45</v>
      </c>
      <c r="IG115" vm="209">
        <f ca="1"/>
        <v>1023</v>
      </c>
      <c r="IH115" vm="212">
        <f ca="1"/>
        <v>1057.6500000000001</v>
      </c>
      <c r="II115" vm="215">
        <f ca="1"/>
        <v>1029.5</v>
      </c>
      <c r="IJ115" vm="218">
        <f ca="1"/>
        <v>1016.45</v>
      </c>
      <c r="IK115" vm="221">
        <f ca="1"/>
        <v>992.95</v>
      </c>
      <c r="IL115" vm="224">
        <f ca="1"/>
        <v>992</v>
      </c>
      <c r="IM115" vm="227">
        <f ca="1"/>
        <v>1000.05</v>
      </c>
      <c r="IN115" vm="230">
        <f ca="1"/>
        <v>1016.3</v>
      </c>
      <c r="IO115" vm="233">
        <f ca="1"/>
        <v>1025.3499999999999</v>
      </c>
      <c r="IP115" vm="236">
        <f ca="1"/>
        <v>1027.8</v>
      </c>
      <c r="IQ115" vm="239">
        <f ca="1"/>
        <v>1044.45</v>
      </c>
      <c r="IR115" vm="242">
        <f ca="1"/>
        <v>1045.25</v>
      </c>
    </row>
    <row r="116" spans="4:252" x14ac:dyDescent="0.35">
      <c r="D116" t="e" vm="23">
        <v>#VALUE!</v>
      </c>
      <c r="E116" cm="1" vm="5363">
        <f t="array" aca="1" ref="E116:IR116" ca="1">TRANSPOSE((_xlfn.STOCKHISTORY('Portfolio Tracker '!$C30,TODAY()-365,TODAY(),0,0,1)))</f>
        <v>424.45</v>
      </c>
      <c r="F116" vm="5364">
        <f ca="1"/>
        <v>427.15</v>
      </c>
      <c r="G116" vm="5365">
        <f ca="1"/>
        <v>424.6</v>
      </c>
      <c r="H116" vm="5366">
        <f ca="1"/>
        <v>428.75</v>
      </c>
      <c r="I116" vm="5367">
        <f ca="1"/>
        <v>431.45</v>
      </c>
      <c r="J116" vm="5368">
        <f ca="1"/>
        <v>423.8</v>
      </c>
      <c r="K116" vm="5369">
        <f ca="1"/>
        <v>425.35</v>
      </c>
      <c r="L116" vm="5370">
        <f ca="1"/>
        <v>420.4</v>
      </c>
      <c r="M116" vm="5371">
        <f ca="1"/>
        <v>420.45</v>
      </c>
      <c r="N116" vm="5372">
        <f ca="1"/>
        <v>427.8</v>
      </c>
      <c r="O116" vm="5373">
        <f ca="1"/>
        <v>423.95</v>
      </c>
      <c r="P116" vm="3626">
        <f ca="1"/>
        <v>427.6</v>
      </c>
      <c r="Q116" vm="5374">
        <f ca="1"/>
        <v>419.7</v>
      </c>
      <c r="R116" vm="5375">
        <f ca="1"/>
        <v>419.85</v>
      </c>
      <c r="S116" vm="5376">
        <f ca="1"/>
        <v>424.75</v>
      </c>
      <c r="T116" vm="5377">
        <f ca="1"/>
        <v>429.15</v>
      </c>
      <c r="U116" vm="5378">
        <f ca="1"/>
        <v>433.5</v>
      </c>
      <c r="V116" vm="5379">
        <f ca="1"/>
        <v>441.15</v>
      </c>
      <c r="W116" vm="5380">
        <f ca="1"/>
        <v>443.6</v>
      </c>
      <c r="X116" vm="5381">
        <f ca="1"/>
        <v>449.1</v>
      </c>
      <c r="Y116" vm="5382">
        <f ca="1"/>
        <v>449.9</v>
      </c>
      <c r="Z116" vm="5383">
        <f ca="1"/>
        <v>445.5</v>
      </c>
      <c r="AA116" vm="5384">
        <f ca="1"/>
        <v>439.7</v>
      </c>
      <c r="AB116" vm="5385">
        <f ca="1"/>
        <v>443.4</v>
      </c>
      <c r="AC116" vm="5386">
        <f ca="1"/>
        <v>440.65</v>
      </c>
      <c r="AD116" vm="5387">
        <f ca="1"/>
        <v>442.8</v>
      </c>
      <c r="AE116" vm="5388">
        <f ca="1"/>
        <v>443.95</v>
      </c>
      <c r="AF116" vm="5389">
        <f ca="1"/>
        <v>442.9</v>
      </c>
      <c r="AG116" vm="5390">
        <f ca="1"/>
        <v>438.45</v>
      </c>
      <c r="AH116" vm="5391">
        <f ca="1"/>
        <v>436.95</v>
      </c>
      <c r="AI116" vm="5392">
        <f ca="1"/>
        <v>445.4</v>
      </c>
      <c r="AJ116" vm="5393">
        <f ca="1"/>
        <v>444.5</v>
      </c>
      <c r="AK116" vm="5394">
        <f ca="1"/>
        <v>448.1</v>
      </c>
      <c r="AL116" vm="5395">
        <f ca="1"/>
        <v>453.1</v>
      </c>
      <c r="AM116" vm="5396">
        <f ca="1"/>
        <v>453.6</v>
      </c>
      <c r="AN116" vm="5397">
        <f ca="1"/>
        <v>452.85</v>
      </c>
      <c r="AO116" vm="5398">
        <f ca="1"/>
        <v>447.05</v>
      </c>
      <c r="AP116" vm="5399">
        <f ca="1"/>
        <v>447.65</v>
      </c>
      <c r="AQ116" vm="5400">
        <f ca="1"/>
        <v>444.75</v>
      </c>
      <c r="AR116" vm="5401">
        <f ca="1"/>
        <v>445.7</v>
      </c>
      <c r="AS116" vm="5402">
        <f ca="1"/>
        <v>445.1</v>
      </c>
      <c r="AT116" vm="5403">
        <f ca="1"/>
        <v>449.35</v>
      </c>
      <c r="AU116" vm="5404">
        <f ca="1"/>
        <v>451.6</v>
      </c>
      <c r="AV116" vm="5405">
        <f ca="1"/>
        <v>463.25</v>
      </c>
      <c r="AW116" vm="5406">
        <f ca="1"/>
        <v>466.35</v>
      </c>
      <c r="AX116" vm="5407">
        <f ca="1"/>
        <v>475.1</v>
      </c>
      <c r="AY116" vm="5408">
        <f ca="1"/>
        <v>473.9</v>
      </c>
      <c r="AZ116" vm="3711">
        <f ca="1"/>
        <v>468.4</v>
      </c>
      <c r="BA116" vm="5409">
        <f ca="1"/>
        <v>465.85</v>
      </c>
      <c r="BB116" vm="5410">
        <f ca="1"/>
        <v>473.15</v>
      </c>
      <c r="BC116" vm="5411">
        <f ca="1"/>
        <v>472.3</v>
      </c>
      <c r="BD116" vm="5412">
        <f ca="1"/>
        <v>472</v>
      </c>
      <c r="BE116" vm="5413">
        <f ca="1"/>
        <v>472.9</v>
      </c>
      <c r="BF116" vm="5414">
        <f ca="1"/>
        <v>472.35</v>
      </c>
      <c r="BG116" vm="5415">
        <f ca="1"/>
        <v>472.5</v>
      </c>
      <c r="BH116" vm="5416">
        <f ca="1"/>
        <v>478.85</v>
      </c>
      <c r="BI116" vm="5417">
        <f ca="1"/>
        <v>492.15</v>
      </c>
      <c r="BJ116" vm="3700">
        <f ca="1"/>
        <v>490.45</v>
      </c>
      <c r="BK116" vm="5418">
        <f ca="1"/>
        <v>471.35</v>
      </c>
      <c r="BL116" vm="5419">
        <f ca="1"/>
        <v>462.3</v>
      </c>
      <c r="BM116" vm="5420">
        <f ca="1"/>
        <v>472.25</v>
      </c>
      <c r="BN116" vm="5421">
        <f ca="1"/>
        <v>465.05</v>
      </c>
      <c r="BO116" vm="5422">
        <f ca="1"/>
        <v>468.45</v>
      </c>
      <c r="BP116" vm="5423">
        <f ca="1"/>
        <v>465.7</v>
      </c>
      <c r="BQ116" vm="5424">
        <f ca="1"/>
        <v>464.8</v>
      </c>
      <c r="BR116" vm="5425">
        <f ca="1"/>
        <v>460.1</v>
      </c>
      <c r="BS116" vm="5426">
        <f ca="1"/>
        <v>456.05</v>
      </c>
      <c r="BT116" vm="5427">
        <f ca="1"/>
        <v>454.95</v>
      </c>
      <c r="BU116" vm="5428">
        <f ca="1"/>
        <v>454.9</v>
      </c>
      <c r="BV116" vm="5429">
        <f ca="1"/>
        <v>452.35</v>
      </c>
      <c r="BW116" vm="3698">
        <f ca="1"/>
        <v>458.65</v>
      </c>
      <c r="BX116" vm="5430">
        <f ca="1"/>
        <v>451.75</v>
      </c>
      <c r="BY116" vm="5431">
        <f ca="1"/>
        <v>448.75</v>
      </c>
      <c r="BZ116" vm="5432">
        <f ca="1"/>
        <v>449.2</v>
      </c>
      <c r="CA116" vm="5433">
        <f ca="1"/>
        <v>450.25</v>
      </c>
      <c r="CB116" vm="5434">
        <f ca="1"/>
        <v>441</v>
      </c>
      <c r="CC116" vm="5435">
        <f ca="1"/>
        <v>441.65</v>
      </c>
      <c r="CD116" vm="5436">
        <f ca="1"/>
        <v>447.8</v>
      </c>
      <c r="CE116" vm="5437">
        <f ca="1"/>
        <v>454.25</v>
      </c>
      <c r="CF116" vm="5438">
        <f ca="1"/>
        <v>450.45</v>
      </c>
      <c r="CG116" vm="5439">
        <f ca="1"/>
        <v>450.9</v>
      </c>
      <c r="CH116" vm="5440">
        <f ca="1"/>
        <v>443.35</v>
      </c>
      <c r="CI116" vm="5441">
        <f ca="1"/>
        <v>441.4</v>
      </c>
      <c r="CJ116" vm="5442">
        <f ca="1"/>
        <v>440.1</v>
      </c>
      <c r="CK116" vm="5387">
        <f ca="1"/>
        <v>442.8</v>
      </c>
      <c r="CL116" vm="5384">
        <f ca="1"/>
        <v>439.7</v>
      </c>
      <c r="CM116" vm="5443">
        <f ca="1"/>
        <v>441.05</v>
      </c>
      <c r="CN116" vm="5444">
        <f ca="1"/>
        <v>437.5</v>
      </c>
      <c r="CO116" vm="5445">
        <f ca="1"/>
        <v>443.1</v>
      </c>
      <c r="CP116" vm="5446">
        <f ca="1"/>
        <v>447.45</v>
      </c>
      <c r="CQ116" vm="5447">
        <f ca="1"/>
        <v>445.9</v>
      </c>
      <c r="CR116" vm="5448">
        <f ca="1"/>
        <v>442.65</v>
      </c>
      <c r="CS116" vm="5449">
        <f ca="1"/>
        <v>447.2</v>
      </c>
      <c r="CT116" vm="5450">
        <f ca="1"/>
        <v>451.15</v>
      </c>
      <c r="CU116" vm="5451">
        <f ca="1"/>
        <v>453.5</v>
      </c>
      <c r="CV116" vm="5452">
        <f ca="1"/>
        <v>449.95</v>
      </c>
      <c r="CW116" vm="5453">
        <f ca="1"/>
        <v>448.35</v>
      </c>
      <c r="CX116" vm="5454">
        <f ca="1"/>
        <v>452.05</v>
      </c>
      <c r="CY116" vm="5455">
        <f ca="1"/>
        <v>452.95</v>
      </c>
      <c r="CZ116" vm="5456">
        <f ca="1"/>
        <v>447.5</v>
      </c>
      <c r="DA116" vm="5445">
        <f ca="1"/>
        <v>443.1</v>
      </c>
      <c r="DB116" vm="5457">
        <f ca="1"/>
        <v>442.6</v>
      </c>
      <c r="DC116" vm="5458">
        <f ca="1"/>
        <v>442.45</v>
      </c>
      <c r="DD116" vm="5459">
        <f ca="1"/>
        <v>449.15</v>
      </c>
      <c r="DE116" vm="5460">
        <f ca="1"/>
        <v>440.75</v>
      </c>
      <c r="DF116" vm="5461">
        <f ca="1"/>
        <v>444.4</v>
      </c>
      <c r="DG116" vm="5462">
        <f ca="1"/>
        <v>439.75</v>
      </c>
      <c r="DH116" vm="5463">
        <f ca="1"/>
        <v>436.1</v>
      </c>
      <c r="DI116" vm="5464">
        <f ca="1"/>
        <v>436.05</v>
      </c>
      <c r="DJ116" vm="5465">
        <f ca="1"/>
        <v>442.15</v>
      </c>
      <c r="DK116" vm="5466">
        <f ca="1"/>
        <v>440.45</v>
      </c>
      <c r="DL116" vm="5461">
        <f ca="1"/>
        <v>444.4</v>
      </c>
      <c r="DM116" vm="5467">
        <f ca="1"/>
        <v>448.25</v>
      </c>
      <c r="DN116" vm="5468">
        <f ca="1"/>
        <v>450.7</v>
      </c>
      <c r="DO116" vm="5453">
        <f ca="1"/>
        <v>448.35</v>
      </c>
      <c r="DP116" vm="5469">
        <f ca="1"/>
        <v>448.95</v>
      </c>
      <c r="DQ116" vm="5470">
        <f ca="1"/>
        <v>453.45</v>
      </c>
      <c r="DR116" vm="5471">
        <f ca="1"/>
        <v>451.65</v>
      </c>
      <c r="DS116" vm="5472">
        <f ca="1"/>
        <v>450.4</v>
      </c>
      <c r="DT116" vm="5473">
        <f ca="1"/>
        <v>438.3</v>
      </c>
      <c r="DU116" vm="5474">
        <f ca="1"/>
        <v>435.9</v>
      </c>
      <c r="DV116" vm="5475">
        <f ca="1"/>
        <v>432.7</v>
      </c>
      <c r="DW116" vm="5476">
        <f ca="1"/>
        <v>434.35</v>
      </c>
      <c r="DX116" vm="5477">
        <f ca="1"/>
        <v>433.75</v>
      </c>
      <c r="DY116" vm="5478">
        <f ca="1"/>
        <v>430.45</v>
      </c>
      <c r="DZ116" vm="5479">
        <f ca="1"/>
        <v>428.4</v>
      </c>
      <c r="EA116" vm="5480">
        <f ca="1"/>
        <v>428.1</v>
      </c>
      <c r="EB116" vm="5481">
        <f ca="1"/>
        <v>431.15</v>
      </c>
      <c r="EC116" vm="5482">
        <f ca="1"/>
        <v>433.25</v>
      </c>
      <c r="ED116" vm="5483">
        <f ca="1"/>
        <v>435.35</v>
      </c>
      <c r="EE116" vm="5475">
        <f ca="1"/>
        <v>432.7</v>
      </c>
      <c r="EF116" vm="5391">
        <f ca="1"/>
        <v>436.95</v>
      </c>
      <c r="EG116" vm="5484">
        <f ca="1"/>
        <v>434.4</v>
      </c>
      <c r="EH116" vm="5485">
        <f ca="1"/>
        <v>436.55</v>
      </c>
      <c r="EI116" vm="5390">
        <f ca="1"/>
        <v>438.45</v>
      </c>
      <c r="EJ116" vm="5486">
        <f ca="1"/>
        <v>436</v>
      </c>
      <c r="EK116" vm="5487">
        <f ca="1"/>
        <v>441.95</v>
      </c>
      <c r="EL116" vm="5488">
        <f ca="1"/>
        <v>438.65</v>
      </c>
      <c r="EM116" vm="5489">
        <f ca="1"/>
        <v>439.25</v>
      </c>
      <c r="EN116" vm="5490">
        <f ca="1"/>
        <v>436.8</v>
      </c>
      <c r="EO116" vm="5491">
        <f ca="1"/>
        <v>436.25</v>
      </c>
      <c r="EP116" vm="5384">
        <f ca="1"/>
        <v>439.7</v>
      </c>
      <c r="EQ116" vm="5492">
        <f ca="1"/>
        <v>440.35</v>
      </c>
      <c r="ER116" vm="5493">
        <f ca="1"/>
        <v>437.8</v>
      </c>
      <c r="ES116" vm="5494">
        <f ca="1"/>
        <v>435.25</v>
      </c>
      <c r="ET116" vm="5495">
        <f ca="1"/>
        <v>437.2</v>
      </c>
      <c r="EU116" vm="5496">
        <f ca="1"/>
        <v>435.8</v>
      </c>
      <c r="EV116" vm="5497">
        <f ca="1"/>
        <v>449.8</v>
      </c>
      <c r="EW116" vm="5498">
        <f ca="1"/>
        <v>454.05</v>
      </c>
      <c r="EX116" vm="5430">
        <f ca="1"/>
        <v>451.75</v>
      </c>
      <c r="EY116" vm="5405">
        <f ca="1"/>
        <v>463.25</v>
      </c>
      <c r="EZ116" vm="5499">
        <f ca="1"/>
        <v>458.1</v>
      </c>
      <c r="FA116" vm="5459">
        <f ca="1"/>
        <v>449.15</v>
      </c>
      <c r="FB116" vm="3640">
        <f ca="1"/>
        <v>452.45</v>
      </c>
      <c r="FC116" vm="5395">
        <f ca="1"/>
        <v>453.1</v>
      </c>
      <c r="FD116" vm="3642">
        <f ca="1"/>
        <v>455.65</v>
      </c>
      <c r="FE116" vm="5425">
        <f ca="1"/>
        <v>460.1</v>
      </c>
      <c r="FF116" vm="5500">
        <f ca="1"/>
        <v>458.2</v>
      </c>
      <c r="FG116" vm="5471">
        <f ca="1"/>
        <v>451.65</v>
      </c>
      <c r="FH116" vm="2822">
        <f ca="1"/>
        <v>456.1</v>
      </c>
      <c r="FI116" vm="5501">
        <f ca="1"/>
        <v>451</v>
      </c>
      <c r="FJ116" vm="5502">
        <f ca="1"/>
        <v>451.45</v>
      </c>
      <c r="FK116" vm="5503">
        <f ca="1"/>
        <v>455.2</v>
      </c>
      <c r="FL116" vm="5504">
        <f ca="1"/>
        <v>456.45</v>
      </c>
      <c r="FM116" vm="5505">
        <f ca="1"/>
        <v>457.1</v>
      </c>
      <c r="FN116" vm="5506">
        <f ca="1"/>
        <v>464.1</v>
      </c>
      <c r="FO116" vm="5507">
        <f ca="1"/>
        <v>462.1</v>
      </c>
      <c r="FP116" vm="5508">
        <f ca="1"/>
        <v>468.05</v>
      </c>
      <c r="FQ116" vm="5509">
        <f ca="1"/>
        <v>470.35</v>
      </c>
      <c r="FR116" vm="5510">
        <f ca="1"/>
        <v>477.25</v>
      </c>
      <c r="FS116" vm="5511">
        <f ca="1"/>
        <v>476.4</v>
      </c>
      <c r="FT116" vm="5512">
        <f ca="1"/>
        <v>473.95</v>
      </c>
      <c r="FU116" vm="5513">
        <f ca="1"/>
        <v>465.5</v>
      </c>
      <c r="FV116" vm="5514">
        <f ca="1"/>
        <v>464.55</v>
      </c>
      <c r="FW116" vm="5515">
        <f ca="1"/>
        <v>463.3</v>
      </c>
      <c r="FX116" vm="5516">
        <f ca="1"/>
        <v>462.65</v>
      </c>
      <c r="FY116" vm="5517">
        <f ca="1"/>
        <v>466.7</v>
      </c>
      <c r="FZ116" vm="5518">
        <f ca="1"/>
        <v>467.6</v>
      </c>
      <c r="GA116" vm="5411">
        <f ca="1"/>
        <v>472.3</v>
      </c>
      <c r="GB116" vm="5519">
        <f ca="1"/>
        <v>466.6</v>
      </c>
      <c r="GC116" vm="5513">
        <f ca="1"/>
        <v>465.5</v>
      </c>
      <c r="GD116" vm="5520">
        <f ca="1"/>
        <v>471.5</v>
      </c>
      <c r="GE116" vm="3711">
        <f ca="1"/>
        <v>468.4</v>
      </c>
      <c r="GF116" vm="5521">
        <f ca="1"/>
        <v>459.3</v>
      </c>
      <c r="GG116" vm="5522">
        <f ca="1"/>
        <v>463.6</v>
      </c>
      <c r="GH116" vm="3642">
        <f ca="1"/>
        <v>455.65</v>
      </c>
      <c r="GI116" vm="5497">
        <f ca="1"/>
        <v>449.8</v>
      </c>
      <c r="GJ116" vm="5523">
        <f ca="1"/>
        <v>438.05</v>
      </c>
      <c r="GK116" vm="5524">
        <f ca="1"/>
        <v>441.55</v>
      </c>
      <c r="GL116" vm="5389">
        <f ca="1"/>
        <v>442.9</v>
      </c>
      <c r="GM116" vm="5442">
        <f ca="1"/>
        <v>440.1</v>
      </c>
      <c r="GN116" vm="5523">
        <f ca="1"/>
        <v>438.05</v>
      </c>
      <c r="GO116" vm="5525">
        <f ca="1"/>
        <v>431.4</v>
      </c>
      <c r="GP116" vm="5526">
        <f ca="1"/>
        <v>431.8</v>
      </c>
      <c r="GQ116" vm="5527">
        <f ca="1"/>
        <v>414.55</v>
      </c>
      <c r="GR116" vm="5528">
        <f ca="1"/>
        <v>415.5</v>
      </c>
      <c r="GS116" vm="5529">
        <f ca="1"/>
        <v>406.85</v>
      </c>
      <c r="GT116" vm="5530">
        <f ca="1"/>
        <v>406.75</v>
      </c>
      <c r="GU116" vm="5531">
        <f ca="1"/>
        <v>411.55</v>
      </c>
      <c r="GV116" vm="5532">
        <f ca="1"/>
        <v>403.9</v>
      </c>
      <c r="GW116" vm="5533">
        <f ca="1"/>
        <v>404.6</v>
      </c>
      <c r="GX116" vm="5534">
        <f ca="1"/>
        <v>409.25</v>
      </c>
      <c r="GY116" vm="5535">
        <f ca="1"/>
        <v>406.1</v>
      </c>
      <c r="GZ116" vm="5536">
        <f ca="1"/>
        <v>403.35</v>
      </c>
      <c r="HA116" vm="5537">
        <f ca="1"/>
        <v>414.45</v>
      </c>
      <c r="HB116" vm="5538">
        <f ca="1"/>
        <v>411.4</v>
      </c>
      <c r="HC116" vm="5539">
        <f ca="1"/>
        <v>409.2</v>
      </c>
      <c r="HD116" vm="5540">
        <f ca="1"/>
        <v>411.15</v>
      </c>
      <c r="HE116" vm="5541">
        <f ca="1"/>
        <v>408.3</v>
      </c>
      <c r="HF116" vm="5542">
        <f ca="1"/>
        <v>406.3</v>
      </c>
      <c r="HG116" vm="3624">
        <f ca="1"/>
        <v>409.5</v>
      </c>
      <c r="HH116" vm="5543">
        <f ca="1"/>
        <v>412.05</v>
      </c>
      <c r="HI116" vm="5544">
        <f ca="1"/>
        <v>409.1</v>
      </c>
      <c r="HJ116" vm="5545">
        <f ca="1"/>
        <v>406.15</v>
      </c>
      <c r="HK116" vm="5546">
        <f ca="1"/>
        <v>407.85</v>
      </c>
      <c r="HL116" vm="5547">
        <f ca="1"/>
        <v>413.55</v>
      </c>
      <c r="HM116" vm="5548">
        <f ca="1"/>
        <v>409.4</v>
      </c>
      <c r="HN116" vm="5549">
        <f ca="1"/>
        <v>404.45</v>
      </c>
      <c r="HO116" vm="5550">
        <f ca="1"/>
        <v>422.45</v>
      </c>
      <c r="HP116" vm="5551">
        <f ca="1"/>
        <v>419.65</v>
      </c>
      <c r="HQ116" vm="5552">
        <f ca="1"/>
        <v>419.1</v>
      </c>
      <c r="HR116" vm="5553">
        <f ca="1"/>
        <v>417.45</v>
      </c>
      <c r="HS116" vm="5554">
        <f ca="1"/>
        <v>409.55</v>
      </c>
      <c r="HT116" vm="5555">
        <f ca="1"/>
        <v>415.7</v>
      </c>
      <c r="HU116" vm="5556">
        <f ca="1"/>
        <v>421.25</v>
      </c>
      <c r="HV116" vm="5557">
        <f ca="1"/>
        <v>428.6</v>
      </c>
      <c r="HW116" vm="5558">
        <f ca="1"/>
        <v>427.65</v>
      </c>
      <c r="HX116" vm="5559">
        <f ca="1"/>
        <v>428</v>
      </c>
      <c r="HY116" vm="5560">
        <f ca="1"/>
        <v>428.35</v>
      </c>
      <c r="HZ116" vm="5561">
        <f ca="1"/>
        <v>426.7</v>
      </c>
      <c r="IA116" vm="5562">
        <f ca="1"/>
        <v>425.85</v>
      </c>
      <c r="IB116" vm="5563">
        <f ca="1"/>
        <v>425.2</v>
      </c>
      <c r="IC116" vm="5564">
        <f ca="1"/>
        <v>422.75</v>
      </c>
      <c r="ID116" vm="5565">
        <f ca="1"/>
        <v>427.55</v>
      </c>
      <c r="IE116" vm="5566">
        <f ca="1"/>
        <v>429.1</v>
      </c>
      <c r="IF116" vm="5567">
        <f ca="1"/>
        <v>426.35</v>
      </c>
      <c r="IG116" vm="5391">
        <f ca="1"/>
        <v>436.95</v>
      </c>
      <c r="IH116" vm="5568">
        <f ca="1"/>
        <v>430.1</v>
      </c>
      <c r="II116" vm="5569">
        <f ca="1"/>
        <v>425.9</v>
      </c>
      <c r="IJ116" vm="5569">
        <f ca="1"/>
        <v>425.9</v>
      </c>
      <c r="IK116" vm="5570">
        <f ca="1"/>
        <v>418.85</v>
      </c>
      <c r="IL116" vm="5376">
        <f ca="1"/>
        <v>424.75</v>
      </c>
      <c r="IM116" vm="5571">
        <f ca="1"/>
        <v>425.3</v>
      </c>
      <c r="IN116" vm="5572">
        <f ca="1"/>
        <v>429.2</v>
      </c>
      <c r="IO116" vm="5573">
        <f ca="1"/>
        <v>428.9</v>
      </c>
      <c r="IP116" vm="5574">
        <f ca="1"/>
        <v>437.55</v>
      </c>
      <c r="IQ116" vm="5575">
        <f ca="1"/>
        <v>440</v>
      </c>
      <c r="IR116" vm="5576">
        <f ca="1"/>
        <v>438.2</v>
      </c>
    </row>
    <row r="117" spans="4:252" x14ac:dyDescent="0.35">
      <c r="D117" t="e" vm="24">
        <v>#VALUE!</v>
      </c>
      <c r="E117" cm="1" vm="5577">
        <f t="array" aca="1" ref="E117:FS117" ca="1">TRANSPOSE((_xlfn.STOCKHISTORY('Portfolio Tracker '!$C31,TODAY()-365,TODAY(),0,0,1)))</f>
        <v>248.9</v>
      </c>
      <c r="F117" vm="5578">
        <f ca="1"/>
        <v>236.45</v>
      </c>
      <c r="G117" vm="5579">
        <f ca="1"/>
        <v>224.65</v>
      </c>
      <c r="H117" vm="5580">
        <f ca="1"/>
        <v>213.45</v>
      </c>
      <c r="I117" vm="5581">
        <f ca="1"/>
        <v>214.5</v>
      </c>
      <c r="J117" vm="5582">
        <f ca="1"/>
        <v>211.15</v>
      </c>
      <c r="K117" vm="5583">
        <f ca="1"/>
        <v>220.25</v>
      </c>
      <c r="L117" vm="5584">
        <f ca="1"/>
        <v>231.25</v>
      </c>
      <c r="M117" vm="5585">
        <f ca="1"/>
        <v>233.5</v>
      </c>
      <c r="N117" vm="5586">
        <f ca="1"/>
        <v>245.15</v>
      </c>
      <c r="O117" vm="5587">
        <f ca="1"/>
        <v>253.45</v>
      </c>
      <c r="P117" vm="5588">
        <f ca="1"/>
        <v>255.05</v>
      </c>
      <c r="Q117" vm="5589">
        <f ca="1"/>
        <v>252.85</v>
      </c>
      <c r="R117" vm="5590">
        <f ca="1"/>
        <v>251.8</v>
      </c>
      <c r="S117" vm="5591">
        <f ca="1"/>
        <v>253.2</v>
      </c>
      <c r="T117" vm="5592">
        <f ca="1"/>
        <v>250.15</v>
      </c>
      <c r="U117" vm="5593">
        <f ca="1"/>
        <v>244.25</v>
      </c>
      <c r="V117" vm="5594">
        <f ca="1"/>
        <v>240.2</v>
      </c>
      <c r="W117" vm="5595">
        <f ca="1"/>
        <v>242.55</v>
      </c>
      <c r="X117" vm="5596">
        <f ca="1"/>
        <v>239.4</v>
      </c>
      <c r="Y117" vm="3541">
        <f ca="1"/>
        <v>233.2</v>
      </c>
      <c r="Z117" vm="5597">
        <f ca="1"/>
        <v>229.65</v>
      </c>
      <c r="AA117" vm="5598">
        <f ca="1"/>
        <v>227.65</v>
      </c>
      <c r="AB117" vm="5599">
        <f ca="1"/>
        <v>227.8</v>
      </c>
      <c r="AC117" vm="5600">
        <f ca="1"/>
        <v>229.75</v>
      </c>
      <c r="AD117" vm="5601">
        <f ca="1"/>
        <v>230.4</v>
      </c>
      <c r="AE117" vm="5602">
        <f ca="1"/>
        <v>227.35</v>
      </c>
      <c r="AF117" vm="5603">
        <f ca="1"/>
        <v>225.05</v>
      </c>
      <c r="AG117" vm="5604">
        <f ca="1"/>
        <v>231.2</v>
      </c>
      <c r="AH117" vm="4770">
        <f ca="1"/>
        <v>231.4</v>
      </c>
      <c r="AI117" vm="5579">
        <f ca="1"/>
        <v>224.65</v>
      </c>
      <c r="AJ117" vm="5605">
        <f ca="1"/>
        <v>225.4</v>
      </c>
      <c r="AK117" vm="5606">
        <f ca="1"/>
        <v>225.1</v>
      </c>
      <c r="AL117" vm="5607">
        <f ca="1"/>
        <v>219.65</v>
      </c>
      <c r="AM117" vm="5608">
        <f ca="1"/>
        <v>220.15</v>
      </c>
      <c r="AN117" vm="5606">
        <f ca="1"/>
        <v>225.1</v>
      </c>
      <c r="AO117" vm="5609">
        <f ca="1"/>
        <v>225.15</v>
      </c>
      <c r="AP117" vm="5610">
        <f ca="1"/>
        <v>224.55</v>
      </c>
      <c r="AQ117" vm="5611">
        <f ca="1"/>
        <v>224.8</v>
      </c>
      <c r="AR117" vm="5612">
        <f ca="1"/>
        <v>220.95</v>
      </c>
      <c r="AS117" vm="5613">
        <f ca="1"/>
        <v>216</v>
      </c>
      <c r="AT117" vm="5614">
        <f ca="1"/>
        <v>214.2</v>
      </c>
      <c r="AU117" vm="5614">
        <f ca="1"/>
        <v>214.2</v>
      </c>
      <c r="AV117" vm="5615">
        <f ca="1"/>
        <v>206.6</v>
      </c>
      <c r="AW117" vm="5616">
        <f ca="1"/>
        <v>210.15</v>
      </c>
      <c r="AX117" vm="5617">
        <f ca="1"/>
        <v>215.85</v>
      </c>
      <c r="AY117" vm="5618">
        <f ca="1"/>
        <v>222.9</v>
      </c>
      <c r="AZ117" vm="5619">
        <f ca="1"/>
        <v>219</v>
      </c>
      <c r="BA117" vm="5619">
        <f ca="1"/>
        <v>219</v>
      </c>
      <c r="BB117" vm="4715">
        <f ca="1"/>
        <v>217.65</v>
      </c>
      <c r="BC117" vm="5620">
        <f ca="1"/>
        <v>217.35</v>
      </c>
      <c r="BD117" vm="5621">
        <f ca="1"/>
        <v>219.05</v>
      </c>
      <c r="BE117" vm="5622">
        <f ca="1"/>
        <v>217.15</v>
      </c>
      <c r="BF117" vm="4713">
        <f ca="1"/>
        <v>217.2</v>
      </c>
      <c r="BG117" vm="4768">
        <f ca="1"/>
        <v>214.15</v>
      </c>
      <c r="BH117" vm="5623">
        <f ca="1"/>
        <v>215.15</v>
      </c>
      <c r="BI117" vm="5624">
        <f ca="1"/>
        <v>221.95</v>
      </c>
      <c r="BJ117" vm="5625">
        <f ca="1"/>
        <v>225.55</v>
      </c>
      <c r="BK117" vm="5626">
        <f ca="1"/>
        <v>224.75</v>
      </c>
      <c r="BL117" vm="5627">
        <f ca="1"/>
        <v>224.15</v>
      </c>
      <c r="BM117" vm="5628">
        <f ca="1"/>
        <v>226.95</v>
      </c>
      <c r="BN117" vm="5629">
        <f ca="1"/>
        <v>220.8</v>
      </c>
      <c r="BO117" vm="5630">
        <f ca="1"/>
        <v>215.5</v>
      </c>
      <c r="BP117" vm="5631">
        <f ca="1"/>
        <v>220.2</v>
      </c>
      <c r="BQ117" vm="5632">
        <f ca="1"/>
        <v>221.9</v>
      </c>
      <c r="BR117" vm="5633">
        <f ca="1"/>
        <v>221.25</v>
      </c>
      <c r="BS117" vm="5634">
        <f ca="1"/>
        <v>226.5</v>
      </c>
      <c r="BT117" vm="5635">
        <f ca="1"/>
        <v>226.35</v>
      </c>
      <c r="BU117" vm="5636">
        <f ca="1"/>
        <v>226.05</v>
      </c>
      <c r="BV117" vm="5637">
        <f ca="1"/>
        <v>229.4</v>
      </c>
      <c r="BW117" vm="5638">
        <f ca="1"/>
        <v>225.5</v>
      </c>
      <c r="BX117" vm="5639">
        <f ca="1"/>
        <v>230.1</v>
      </c>
      <c r="BY117" vm="5640">
        <f ca="1"/>
        <v>242.5</v>
      </c>
      <c r="BZ117" vm="5641">
        <f ca="1"/>
        <v>247.05</v>
      </c>
      <c r="CA117" vm="5642">
        <f ca="1"/>
        <v>249.15</v>
      </c>
      <c r="CB117" vm="5593">
        <f ca="1"/>
        <v>244.25</v>
      </c>
      <c r="CC117" vm="5643">
        <f ca="1"/>
        <v>245.6</v>
      </c>
      <c r="CD117" vm="5644">
        <f ca="1"/>
        <v>240.55</v>
      </c>
      <c r="CE117" vm="5645">
        <f ca="1"/>
        <v>239.75</v>
      </c>
      <c r="CF117" vm="5646">
        <f ca="1"/>
        <v>238.6</v>
      </c>
      <c r="CG117" vm="5647">
        <f ca="1"/>
        <v>237.65</v>
      </c>
      <c r="CH117" vm="5648">
        <f ca="1"/>
        <v>240.15</v>
      </c>
      <c r="CI117" vm="5649">
        <f ca="1"/>
        <v>238.3</v>
      </c>
      <c r="CJ117" vm="5650">
        <f ca="1"/>
        <v>232.1</v>
      </c>
      <c r="CK117" vm="5651">
        <f ca="1"/>
        <v>238</v>
      </c>
      <c r="CL117" vm="5652">
        <f ca="1"/>
        <v>236.75</v>
      </c>
      <c r="CM117" vm="5653">
        <f ca="1"/>
        <v>234.7</v>
      </c>
      <c r="CN117" vm="5654">
        <f ca="1"/>
        <v>234</v>
      </c>
      <c r="CO117" vm="5655">
        <f ca="1"/>
        <v>233.35</v>
      </c>
      <c r="CP117" vm="5656">
        <f ca="1"/>
        <v>232.95</v>
      </c>
      <c r="CQ117" vm="5657">
        <f ca="1"/>
        <v>234.55</v>
      </c>
      <c r="CR117" vm="5658">
        <f ca="1"/>
        <v>235.35</v>
      </c>
      <c r="CS117" vm="5659">
        <f ca="1"/>
        <v>234.5</v>
      </c>
      <c r="CT117" vm="5660">
        <f ca="1"/>
        <v>241.4</v>
      </c>
      <c r="CU117" vm="5661">
        <f ca="1"/>
        <v>243.65</v>
      </c>
      <c r="CV117" vm="5662">
        <f ca="1"/>
        <v>242.4</v>
      </c>
      <c r="CW117" vm="5663">
        <f ca="1"/>
        <v>242.15</v>
      </c>
      <c r="CX117" vm="5664">
        <f ca="1"/>
        <v>240.95</v>
      </c>
      <c r="CY117" vm="5665">
        <f ca="1"/>
        <v>251.55</v>
      </c>
      <c r="CZ117" vm="5588">
        <f ca="1"/>
        <v>255.05</v>
      </c>
      <c r="DA117" vm="5666">
        <f ca="1"/>
        <v>266.75</v>
      </c>
      <c r="DB117" vm="5667">
        <f ca="1"/>
        <v>248.85</v>
      </c>
      <c r="DC117" vm="5595">
        <f ca="1"/>
        <v>242.55</v>
      </c>
      <c r="DD117" vm="5668">
        <f ca="1"/>
        <v>243.25</v>
      </c>
      <c r="DE117" vm="5669">
        <f ca="1"/>
        <v>246.25</v>
      </c>
      <c r="DF117" vm="5670">
        <f ca="1"/>
        <v>246.45</v>
      </c>
      <c r="DG117" vm="5671">
        <f ca="1"/>
        <v>240.4</v>
      </c>
      <c r="DH117" vm="5645">
        <f ca="1"/>
        <v>239.75</v>
      </c>
      <c r="DI117" vm="5672">
        <f ca="1"/>
        <v>239.85</v>
      </c>
      <c r="DJ117" vm="3577">
        <f ca="1"/>
        <v>251</v>
      </c>
      <c r="DK117" vm="5673">
        <f ca="1"/>
        <v>247.7</v>
      </c>
      <c r="DL117" vm="5674">
        <f ca="1"/>
        <v>248.25</v>
      </c>
      <c r="DM117" vm="5675">
        <f ca="1"/>
        <v>252.4</v>
      </c>
      <c r="DN117" vm="5676">
        <f ca="1"/>
        <v>253.8</v>
      </c>
      <c r="DO117" vm="5677">
        <f ca="1"/>
        <v>289.10000000000002</v>
      </c>
      <c r="DP117" vm="5678">
        <f ca="1"/>
        <v>270.95</v>
      </c>
      <c r="DQ117" vm="5679">
        <f ca="1"/>
        <v>268.5</v>
      </c>
      <c r="DR117" vm="5680">
        <f ca="1"/>
        <v>262.8</v>
      </c>
      <c r="DS117" vm="5681">
        <f ca="1"/>
        <v>273</v>
      </c>
      <c r="DT117" vm="3594">
        <f ca="1"/>
        <v>271.45</v>
      </c>
      <c r="DU117" vm="5682">
        <f ca="1"/>
        <v>272.75</v>
      </c>
      <c r="DV117" vm="5681">
        <f ca="1"/>
        <v>273</v>
      </c>
      <c r="DW117" vm="5683">
        <f ca="1"/>
        <v>274.05</v>
      </c>
      <c r="DX117" vm="5684">
        <f ca="1"/>
        <v>271.89999999999998</v>
      </c>
      <c r="DY117" vm="4789">
        <f ca="1"/>
        <v>274</v>
      </c>
      <c r="DZ117" vm="5685">
        <f ca="1"/>
        <v>281.7</v>
      </c>
      <c r="EA117" vm="5686">
        <f ca="1"/>
        <v>290.10000000000002</v>
      </c>
      <c r="EB117" vm="5687">
        <f ca="1"/>
        <v>302.85000000000002</v>
      </c>
      <c r="EC117" vm="5688">
        <f ca="1"/>
        <v>333.95</v>
      </c>
      <c r="ED117" vm="5689">
        <f ca="1"/>
        <v>327.8</v>
      </c>
      <c r="EE117" vm="5690">
        <f ca="1"/>
        <v>318.5</v>
      </c>
      <c r="EF117" vm="5691">
        <f ca="1"/>
        <v>308.3</v>
      </c>
      <c r="EG117" vm="5692">
        <f ca="1"/>
        <v>310</v>
      </c>
      <c r="EH117" vm="5693">
        <f ca="1"/>
        <v>317.89999999999998</v>
      </c>
      <c r="EI117" vm="5694">
        <f ca="1"/>
        <v>328.25</v>
      </c>
      <c r="EJ117" vm="5695">
        <f ca="1"/>
        <v>322.60000000000002</v>
      </c>
      <c r="EK117" vm="5696">
        <f ca="1"/>
        <v>321.7</v>
      </c>
      <c r="EL117" vm="5697">
        <f ca="1"/>
        <v>326.35000000000002</v>
      </c>
      <c r="EM117" vm="5698">
        <f ca="1"/>
        <v>333.9</v>
      </c>
      <c r="EN117" vm="5699">
        <f ca="1"/>
        <v>355.65</v>
      </c>
      <c r="EO117" vm="5700">
        <f ca="1"/>
        <v>361.85</v>
      </c>
      <c r="EP117" vm="5701">
        <f ca="1"/>
        <v>328.2</v>
      </c>
      <c r="EQ117" vm="5702">
        <f ca="1"/>
        <v>338.35</v>
      </c>
      <c r="ER117" vm="5703">
        <f ca="1"/>
        <v>344.75</v>
      </c>
      <c r="ES117" vm="5704">
        <f ca="1"/>
        <v>352.55</v>
      </c>
      <c r="ET117" vm="5705">
        <f ca="1"/>
        <v>353.3</v>
      </c>
      <c r="EU117" vm="5706">
        <f ca="1"/>
        <v>337.5</v>
      </c>
      <c r="EV117" vm="5707">
        <f ca="1"/>
        <v>338.7</v>
      </c>
      <c r="EW117" vm="5708">
        <f ca="1"/>
        <v>344.65</v>
      </c>
      <c r="EX117" vm="5709">
        <f ca="1"/>
        <v>346.15</v>
      </c>
      <c r="EY117" vm="5710">
        <f ca="1"/>
        <v>350.7</v>
      </c>
      <c r="EZ117" vm="5711">
        <f ca="1"/>
        <v>353.75</v>
      </c>
      <c r="FA117" vm="5712">
        <f ca="1"/>
        <v>356.95</v>
      </c>
      <c r="FB117" vm="5713">
        <f ca="1"/>
        <v>357.1</v>
      </c>
      <c r="FC117" vm="5713">
        <f ca="1"/>
        <v>357.1</v>
      </c>
      <c r="FD117" vm="5714">
        <f ca="1"/>
        <v>361.3</v>
      </c>
      <c r="FE117" vm="5715">
        <f ca="1"/>
        <v>373.2</v>
      </c>
      <c r="FF117" vm="5716">
        <f ca="1"/>
        <v>369.25</v>
      </c>
      <c r="FG117" vm="5717">
        <f ca="1"/>
        <v>367.7</v>
      </c>
      <c r="FH117" vm="5718">
        <f ca="1"/>
        <v>370.45</v>
      </c>
      <c r="FI117" vm="5719">
        <f ca="1"/>
        <v>372.2</v>
      </c>
      <c r="FJ117" vm="4808">
        <f ca="1"/>
        <v>354.3</v>
      </c>
      <c r="FK117" vm="5700">
        <f ca="1"/>
        <v>361.85</v>
      </c>
      <c r="FL117" vm="5720">
        <f ca="1"/>
        <v>378.4</v>
      </c>
      <c r="FM117" vm="5721">
        <f ca="1"/>
        <v>370.1</v>
      </c>
      <c r="FN117" vm="5722">
        <f ca="1"/>
        <v>382.7</v>
      </c>
      <c r="FO117" vm="5723">
        <f ca="1"/>
        <v>387.95</v>
      </c>
      <c r="FP117" vm="5724">
        <f ca="1"/>
        <v>381.85</v>
      </c>
      <c r="FQ117" vm="5725">
        <f ca="1"/>
        <v>382.3</v>
      </c>
      <c r="FR117" vm="5726">
        <f ca="1"/>
        <v>381.75</v>
      </c>
      <c r="FS117" vm="5727">
        <f ca="1"/>
        <v>380.5</v>
      </c>
    </row>
    <row r="118" spans="4:252" x14ac:dyDescent="0.35">
      <c r="D118" t="e" vm="25">
        <v>#VALUE!</v>
      </c>
      <c r="E118" cm="1" vm="5728">
        <f t="array" aca="1" ref="E118:IR118" ca="1">TRANSPOSE((_xlfn.STOCKHISTORY('Portfolio Tracker '!$C32,TODAY()-365,TODAY(),0,0,1)))</f>
        <v>461.6</v>
      </c>
      <c r="F118" vm="5729">
        <f ca="1"/>
        <v>458</v>
      </c>
      <c r="G118" vm="5730">
        <f ca="1"/>
        <v>471.9</v>
      </c>
      <c r="H118" vm="5731">
        <f ca="1"/>
        <v>465.15</v>
      </c>
      <c r="I118" vm="5732">
        <f ca="1"/>
        <v>466</v>
      </c>
      <c r="J118" vm="5522">
        <f ca="1"/>
        <v>463.6</v>
      </c>
      <c r="K118" vm="5733">
        <f ca="1"/>
        <v>469.15</v>
      </c>
      <c r="L118" vm="5734">
        <f ca="1"/>
        <v>470.5</v>
      </c>
      <c r="M118" vm="5735">
        <f ca="1"/>
        <v>467.35</v>
      </c>
      <c r="N118" vm="5736">
        <f ca="1"/>
        <v>469.05</v>
      </c>
      <c r="O118" vm="5517">
        <f ca="1"/>
        <v>466.7</v>
      </c>
      <c r="P118" vm="5737">
        <f ca="1"/>
        <v>481.1</v>
      </c>
      <c r="Q118" vm="5738">
        <f ca="1"/>
        <v>474.7</v>
      </c>
      <c r="R118" vm="5739">
        <f ca="1"/>
        <v>468.7</v>
      </c>
      <c r="S118" vm="5740">
        <f ca="1"/>
        <v>469.6</v>
      </c>
      <c r="T118" vm="5741">
        <f ca="1"/>
        <v>474</v>
      </c>
      <c r="U118" vm="5742">
        <f ca="1"/>
        <v>473.8</v>
      </c>
      <c r="V118" vm="5743">
        <f ca="1"/>
        <v>489.15</v>
      </c>
      <c r="W118" vm="5744">
        <f ca="1"/>
        <v>483.65</v>
      </c>
      <c r="X118" vm="5745">
        <f ca="1"/>
        <v>482.4</v>
      </c>
      <c r="Y118" vm="5746">
        <f ca="1"/>
        <v>487.95</v>
      </c>
      <c r="Z118" vm="5747">
        <f ca="1"/>
        <v>483.3</v>
      </c>
      <c r="AA118" vm="5748">
        <f ca="1"/>
        <v>491.5</v>
      </c>
      <c r="AB118" vm="5749">
        <f ca="1"/>
        <v>492.05</v>
      </c>
      <c r="AC118" vm="5750">
        <f ca="1"/>
        <v>494</v>
      </c>
      <c r="AD118" vm="5751">
        <f ca="1"/>
        <v>490.75</v>
      </c>
      <c r="AE118" vm="5752">
        <f ca="1"/>
        <v>493.05</v>
      </c>
      <c r="AF118" vm="5753">
        <f ca="1"/>
        <v>486.05</v>
      </c>
      <c r="AG118" vm="5754">
        <f ca="1"/>
        <v>479.55</v>
      </c>
      <c r="AH118" vm="5755">
        <f ca="1"/>
        <v>483.15</v>
      </c>
      <c r="AI118" vm="5756">
        <f ca="1"/>
        <v>485</v>
      </c>
      <c r="AJ118" vm="5757">
        <f ca="1"/>
        <v>494.3</v>
      </c>
      <c r="AK118" vm="5758">
        <f ca="1"/>
        <v>497</v>
      </c>
      <c r="AL118" vm="5759">
        <f ca="1"/>
        <v>498.15</v>
      </c>
      <c r="AM118" vm="5760">
        <f ca="1"/>
        <v>494.4</v>
      </c>
      <c r="AN118" vm="5758">
        <f ca="1"/>
        <v>497</v>
      </c>
      <c r="AO118" vm="5761">
        <f ca="1"/>
        <v>495.15</v>
      </c>
      <c r="AP118" vm="5762">
        <f ca="1"/>
        <v>495.3</v>
      </c>
      <c r="AQ118" vm="5416">
        <f ca="1"/>
        <v>478.85</v>
      </c>
      <c r="AR118" vm="5763">
        <f ca="1"/>
        <v>486.7</v>
      </c>
      <c r="AS118" vm="5764">
        <f ca="1"/>
        <v>494.2</v>
      </c>
      <c r="AT118" vm="5765">
        <f ca="1"/>
        <v>495</v>
      </c>
      <c r="AU118" vm="5766">
        <f ca="1"/>
        <v>501.25</v>
      </c>
      <c r="AV118" vm="5767">
        <f ca="1"/>
        <v>502.2</v>
      </c>
      <c r="AW118" vm="5768">
        <f ca="1"/>
        <v>499.9</v>
      </c>
      <c r="AX118" vm="5769">
        <f ca="1"/>
        <v>493.55</v>
      </c>
      <c r="AY118" vm="5770">
        <f ca="1"/>
        <v>492.45</v>
      </c>
      <c r="AZ118" vm="5771">
        <f ca="1"/>
        <v>493.25</v>
      </c>
      <c r="BA118" vm="5772">
        <f ca="1"/>
        <v>481.5</v>
      </c>
      <c r="BB118" vm="5773">
        <f ca="1"/>
        <v>480.15</v>
      </c>
      <c r="BC118" vm="5774">
        <f ca="1"/>
        <v>479.8</v>
      </c>
      <c r="BD118" vm="5775">
        <f ca="1"/>
        <v>471.15</v>
      </c>
      <c r="BE118" vm="5776">
        <f ca="1"/>
        <v>470.7</v>
      </c>
      <c r="BF118" vm="5777">
        <f ca="1"/>
        <v>474.85</v>
      </c>
      <c r="BG118" vm="5778">
        <f ca="1"/>
        <v>470.8</v>
      </c>
      <c r="BH118" vm="5779">
        <f ca="1"/>
        <v>476</v>
      </c>
      <c r="BI118" vm="5780">
        <f ca="1"/>
        <v>473.05</v>
      </c>
      <c r="BJ118" vm="5781">
        <f ca="1"/>
        <v>466.95</v>
      </c>
      <c r="BK118" vm="5782">
        <f ca="1"/>
        <v>467</v>
      </c>
      <c r="BL118" vm="5783">
        <f ca="1"/>
        <v>476.65</v>
      </c>
      <c r="BM118" vm="5784">
        <f ca="1"/>
        <v>467.95</v>
      </c>
      <c r="BN118" vm="5778">
        <f ca="1"/>
        <v>470.8</v>
      </c>
      <c r="BO118" vm="5785">
        <f ca="1"/>
        <v>477.7</v>
      </c>
      <c r="BP118" vm="5786">
        <f ca="1"/>
        <v>478.5</v>
      </c>
      <c r="BQ118" vm="5787">
        <f ca="1"/>
        <v>490.4</v>
      </c>
      <c r="BR118" vm="5788">
        <f ca="1"/>
        <v>488.05</v>
      </c>
      <c r="BS118" vm="5789">
        <f ca="1"/>
        <v>491.25</v>
      </c>
      <c r="BT118" vm="5790">
        <f ca="1"/>
        <v>517.15</v>
      </c>
      <c r="BU118" vm="5791">
        <f ca="1"/>
        <v>513.54999999999995</v>
      </c>
      <c r="BV118" vm="5792">
        <f ca="1"/>
        <v>506</v>
      </c>
      <c r="BW118" vm="5793">
        <f ca="1"/>
        <v>501.05</v>
      </c>
      <c r="BX118" vm="5794">
        <f ca="1"/>
        <v>492.2</v>
      </c>
      <c r="BY118" vm="5759">
        <f ca="1"/>
        <v>498.15</v>
      </c>
      <c r="BZ118" vm="5795">
        <f ca="1"/>
        <v>491.1</v>
      </c>
      <c r="CA118" vm="5796">
        <f ca="1"/>
        <v>482.55</v>
      </c>
      <c r="CB118" vm="5797">
        <f ca="1"/>
        <v>478.3</v>
      </c>
      <c r="CC118" vm="5798">
        <f ca="1"/>
        <v>481.35</v>
      </c>
      <c r="CD118" vm="5799">
        <f ca="1"/>
        <v>483.5</v>
      </c>
      <c r="CE118" vm="5749">
        <f ca="1"/>
        <v>492.05</v>
      </c>
      <c r="CF118" vm="3713">
        <f ca="1"/>
        <v>492.7</v>
      </c>
      <c r="CG118" vm="5800">
        <f ca="1"/>
        <v>486.8</v>
      </c>
      <c r="CH118" vm="5801">
        <f ca="1"/>
        <v>485.1</v>
      </c>
      <c r="CI118" vm="5800">
        <f ca="1"/>
        <v>486.8</v>
      </c>
      <c r="CJ118" vm="5802">
        <f ca="1"/>
        <v>485.25</v>
      </c>
      <c r="CK118" vm="2067">
        <f ca="1"/>
        <v>507.9</v>
      </c>
      <c r="CL118" vm="5803">
        <f ca="1"/>
        <v>512.04999999999995</v>
      </c>
      <c r="CM118" vm="2066">
        <f ca="1"/>
        <v>506.05</v>
      </c>
      <c r="CN118" vm="5804">
        <f ca="1"/>
        <v>502.7</v>
      </c>
      <c r="CO118" vm="5805">
        <f ca="1"/>
        <v>533.29999999999995</v>
      </c>
      <c r="CP118" vm="1985">
        <f ca="1"/>
        <v>540.70000000000005</v>
      </c>
      <c r="CQ118" vm="5806">
        <f ca="1"/>
        <v>532.95000000000005</v>
      </c>
      <c r="CR118" vm="2032">
        <f ca="1"/>
        <v>532.70000000000005</v>
      </c>
      <c r="CS118" vm="5807">
        <f ca="1"/>
        <v>545.65</v>
      </c>
      <c r="CT118" vm="5808">
        <f ca="1"/>
        <v>528</v>
      </c>
      <c r="CU118" vm="5809">
        <f ca="1"/>
        <v>518.54999999999995</v>
      </c>
      <c r="CV118" vm="5810">
        <f ca="1"/>
        <v>522.65</v>
      </c>
      <c r="CW118" vm="2054">
        <f ca="1"/>
        <v>533.4</v>
      </c>
      <c r="CX118" vm="5811">
        <f ca="1"/>
        <v>538.95000000000005</v>
      </c>
      <c r="CY118" vm="1990">
        <f ca="1"/>
        <v>533.79999999999995</v>
      </c>
      <c r="CZ118" vm="5812">
        <f ca="1"/>
        <v>535.45000000000005</v>
      </c>
      <c r="DA118" vm="2065">
        <f ca="1"/>
        <v>531</v>
      </c>
      <c r="DB118" vm="5813">
        <f ca="1"/>
        <v>541.25</v>
      </c>
      <c r="DC118" vm="1997">
        <f ca="1"/>
        <v>545.79999999999995</v>
      </c>
      <c r="DD118" vm="5814">
        <f ca="1"/>
        <v>551.54999999999995</v>
      </c>
      <c r="DE118" vm="5815">
        <f ca="1"/>
        <v>540.65</v>
      </c>
      <c r="DF118" vm="5816">
        <f ca="1"/>
        <v>533.1</v>
      </c>
      <c r="DG118" vm="5817">
        <f ca="1"/>
        <v>540.29999999999995</v>
      </c>
      <c r="DH118" vm="5818">
        <f ca="1"/>
        <v>534.45000000000005</v>
      </c>
      <c r="DI118" vm="5819">
        <f ca="1"/>
        <v>530.20000000000005</v>
      </c>
      <c r="DJ118" vm="5820">
        <f ca="1"/>
        <v>532.9</v>
      </c>
      <c r="DK118" vm="5821">
        <f ca="1"/>
        <v>536.9</v>
      </c>
      <c r="DL118" vm="5822">
        <f ca="1"/>
        <v>530.35</v>
      </c>
      <c r="DM118" vm="2052">
        <f ca="1"/>
        <v>531.5</v>
      </c>
      <c r="DN118" vm="5823">
        <f ca="1"/>
        <v>543.25</v>
      </c>
      <c r="DO118" vm="2047">
        <f ca="1"/>
        <v>538.15</v>
      </c>
      <c r="DP118" vm="5824">
        <f ca="1"/>
        <v>532.04999999999995</v>
      </c>
      <c r="DQ118" vm="5825">
        <f ca="1"/>
        <v>535.79999999999995</v>
      </c>
      <c r="DR118" vm="2052">
        <f ca="1"/>
        <v>531.5</v>
      </c>
      <c r="DS118" vm="5826">
        <f ca="1"/>
        <v>529.75</v>
      </c>
      <c r="DT118" vm="5827">
        <f ca="1"/>
        <v>527</v>
      </c>
      <c r="DU118" vm="5828">
        <f ca="1"/>
        <v>524.85</v>
      </c>
      <c r="DV118" vm="5829">
        <f ca="1"/>
        <v>529.1</v>
      </c>
      <c r="DW118" vm="2066">
        <f ca="1"/>
        <v>506.05</v>
      </c>
      <c r="DX118" vm="1862">
        <f ca="1"/>
        <v>505</v>
      </c>
      <c r="DY118" vm="5830">
        <f ca="1"/>
        <v>494.55</v>
      </c>
      <c r="DZ118" vm="5831">
        <f ca="1"/>
        <v>500.95</v>
      </c>
      <c r="EA118" vm="5832">
        <f ca="1"/>
        <v>498.75</v>
      </c>
      <c r="EB118" vm="5833">
        <f ca="1"/>
        <v>501.4</v>
      </c>
      <c r="EC118" vm="5834">
        <f ca="1"/>
        <v>506.8</v>
      </c>
      <c r="ED118" vm="5835">
        <f ca="1"/>
        <v>507.95</v>
      </c>
      <c r="EE118" vm="5836">
        <f ca="1"/>
        <v>504.15</v>
      </c>
      <c r="EF118" vm="2067">
        <f ca="1"/>
        <v>507.9</v>
      </c>
      <c r="EG118" vm="5837">
        <f ca="1"/>
        <v>505.75</v>
      </c>
      <c r="EH118" vm="5838">
        <f ca="1"/>
        <v>507.6</v>
      </c>
      <c r="EI118" vm="3683">
        <f ca="1"/>
        <v>508.3</v>
      </c>
      <c r="EJ118" vm="5839">
        <f ca="1"/>
        <v>504.95</v>
      </c>
      <c r="EK118" vm="5840">
        <f ca="1"/>
        <v>515.75</v>
      </c>
      <c r="EL118" vm="5841">
        <f ca="1"/>
        <v>527.35</v>
      </c>
      <c r="EM118" vm="5842">
        <f ca="1"/>
        <v>528.04999999999995</v>
      </c>
      <c r="EN118" vm="5843">
        <f ca="1"/>
        <v>521.25</v>
      </c>
      <c r="EO118" vm="5844">
        <f ca="1"/>
        <v>518.45000000000005</v>
      </c>
      <c r="EP118" vm="1861">
        <f ca="1"/>
        <v>530.4</v>
      </c>
      <c r="EQ118" vm="2837">
        <f ca="1"/>
        <v>537.54999999999995</v>
      </c>
      <c r="ER118" vm="5845">
        <f ca="1"/>
        <v>544.85</v>
      </c>
      <c r="ES118" vm="5846">
        <f ca="1"/>
        <v>544.70000000000005</v>
      </c>
      <c r="ET118" vm="5847">
        <f ca="1"/>
        <v>563.25</v>
      </c>
      <c r="EU118" vm="5848">
        <f ca="1"/>
        <v>560.85</v>
      </c>
      <c r="EV118" vm="5849">
        <f ca="1"/>
        <v>565.4</v>
      </c>
      <c r="EW118" vm="5850">
        <f ca="1"/>
        <v>561.45000000000005</v>
      </c>
      <c r="EX118" vm="2012">
        <f ca="1"/>
        <v>556.85</v>
      </c>
      <c r="EY118" vm="5851">
        <f ca="1"/>
        <v>555.85</v>
      </c>
      <c r="EZ118" vm="1955">
        <f ca="1"/>
        <v>561</v>
      </c>
      <c r="FA118" vm="5852">
        <f ca="1"/>
        <v>559.75</v>
      </c>
      <c r="FB118" vm="5853">
        <f ca="1"/>
        <v>560.54999999999995</v>
      </c>
      <c r="FC118" vm="5854">
        <f ca="1"/>
        <v>558.29999999999995</v>
      </c>
      <c r="FD118" vm="5855">
        <f ca="1"/>
        <v>556.15</v>
      </c>
      <c r="FE118" vm="1891">
        <f ca="1"/>
        <v>569.04999999999995</v>
      </c>
      <c r="FF118" vm="5856">
        <f ca="1"/>
        <v>565.45000000000005</v>
      </c>
      <c r="FG118" vm="5857">
        <f ca="1"/>
        <v>559.1</v>
      </c>
      <c r="FH118" vm="5858">
        <f ca="1"/>
        <v>564.95000000000005</v>
      </c>
      <c r="FI118" vm="1890">
        <f ca="1"/>
        <v>562.35</v>
      </c>
      <c r="FJ118" vm="1933">
        <f ca="1"/>
        <v>565.5</v>
      </c>
      <c r="FK118" vm="5859">
        <f ca="1"/>
        <v>581.45000000000005</v>
      </c>
      <c r="FL118" vm="5860">
        <f ca="1"/>
        <v>570.20000000000005</v>
      </c>
      <c r="FM118" vm="5861">
        <f ca="1"/>
        <v>567.5</v>
      </c>
      <c r="FN118" vm="5862">
        <f ca="1"/>
        <v>570.15</v>
      </c>
      <c r="FO118" vm="2842">
        <f ca="1"/>
        <v>565.04999999999995</v>
      </c>
      <c r="FP118" vm="1946">
        <f ca="1"/>
        <v>561.54999999999995</v>
      </c>
      <c r="FQ118" vm="5863">
        <f ca="1"/>
        <v>558.6</v>
      </c>
      <c r="FR118" vm="5864">
        <f ca="1"/>
        <v>554</v>
      </c>
      <c r="FS118" vm="1950">
        <f ca="1"/>
        <v>561.15</v>
      </c>
      <c r="FT118" vm="5865">
        <f ca="1"/>
        <v>555.54999999999995</v>
      </c>
      <c r="FU118" vm="2009">
        <f ca="1"/>
        <v>534.35</v>
      </c>
      <c r="FV118" vm="5866">
        <f ca="1"/>
        <v>524.6</v>
      </c>
      <c r="FW118" vm="5867">
        <f ca="1"/>
        <v>522.9</v>
      </c>
      <c r="FX118" vm="5868">
        <f ca="1"/>
        <v>527.70000000000005</v>
      </c>
      <c r="FY118" vm="1969">
        <f ca="1"/>
        <v>525.65</v>
      </c>
      <c r="FZ118" vm="5806">
        <f ca="1"/>
        <v>532.95000000000005</v>
      </c>
      <c r="GA118" vm="1861">
        <f ca="1"/>
        <v>530.4</v>
      </c>
      <c r="GB118" vm="5868">
        <f ca="1"/>
        <v>527.70000000000005</v>
      </c>
      <c r="GC118" vm="5869">
        <f ca="1"/>
        <v>524.29999999999995</v>
      </c>
      <c r="GD118" vm="5870">
        <f ca="1"/>
        <v>531.65</v>
      </c>
      <c r="GE118" vm="5871">
        <f ca="1"/>
        <v>523.20000000000005</v>
      </c>
      <c r="GF118" vm="5872">
        <f ca="1"/>
        <v>520.6</v>
      </c>
      <c r="GG118" vm="5873">
        <f ca="1"/>
        <v>525.5</v>
      </c>
      <c r="GH118" vm="5874">
        <f ca="1"/>
        <v>508.25</v>
      </c>
      <c r="GI118" vm="5875">
        <f ca="1"/>
        <v>513.15</v>
      </c>
      <c r="GJ118" vm="5876">
        <f ca="1"/>
        <v>510.15</v>
      </c>
      <c r="GK118" vm="5877">
        <f ca="1"/>
        <v>519.54999999999995</v>
      </c>
      <c r="GL118" vm="5878">
        <f ca="1"/>
        <v>501.9</v>
      </c>
      <c r="GM118" vm="5879">
        <f ca="1"/>
        <v>494.85</v>
      </c>
      <c r="GN118" vm="5880">
        <f ca="1"/>
        <v>484.85</v>
      </c>
      <c r="GO118" vm="5881">
        <f ca="1"/>
        <v>479.85</v>
      </c>
      <c r="GP118" vm="5779">
        <f ca="1"/>
        <v>476</v>
      </c>
      <c r="GQ118" vm="5738">
        <f ca="1"/>
        <v>474.7</v>
      </c>
      <c r="GR118" vm="5882">
        <f ca="1"/>
        <v>482.05</v>
      </c>
      <c r="GS118" vm="5883">
        <f ca="1"/>
        <v>475.3</v>
      </c>
      <c r="GT118" vm="5884">
        <f ca="1"/>
        <v>471.95</v>
      </c>
      <c r="GU118" vm="5885">
        <f ca="1"/>
        <v>479.35</v>
      </c>
      <c r="GV118" vm="5886">
        <f ca="1"/>
        <v>478.8</v>
      </c>
      <c r="GW118" vm="5887">
        <f ca="1"/>
        <v>496</v>
      </c>
      <c r="GX118" vm="5888">
        <f ca="1"/>
        <v>496.5</v>
      </c>
      <c r="GY118" vm="5889">
        <f ca="1"/>
        <v>507.7</v>
      </c>
      <c r="GZ118" vm="5890">
        <f ca="1"/>
        <v>495.25</v>
      </c>
      <c r="HA118" vm="5891">
        <f ca="1"/>
        <v>491.4</v>
      </c>
      <c r="HB118" vm="5892">
        <f ca="1"/>
        <v>493.5</v>
      </c>
      <c r="HC118" vm="5893">
        <f ca="1"/>
        <v>486.5</v>
      </c>
      <c r="HD118" vm="5894">
        <f ca="1"/>
        <v>483.25</v>
      </c>
      <c r="HE118" vm="5895">
        <f ca="1"/>
        <v>469.7</v>
      </c>
      <c r="HF118" vm="5896">
        <f ca="1"/>
        <v>463.9</v>
      </c>
      <c r="HG118" vm="5897">
        <f ca="1"/>
        <v>463.1</v>
      </c>
      <c r="HH118" vm="3711">
        <f ca="1"/>
        <v>468.4</v>
      </c>
      <c r="HI118" vm="5898">
        <f ca="1"/>
        <v>463.65</v>
      </c>
      <c r="HJ118" vm="5899">
        <f ca="1"/>
        <v>457.25</v>
      </c>
      <c r="HK118" vm="5900">
        <f ca="1"/>
        <v>449.65</v>
      </c>
      <c r="HL118" vm="5901">
        <f ca="1"/>
        <v>453.4</v>
      </c>
      <c r="HM118" vm="5902">
        <f ca="1"/>
        <v>450.85</v>
      </c>
      <c r="HN118" vm="5903">
        <f ca="1"/>
        <v>445</v>
      </c>
      <c r="HO118" vm="5904">
        <f ca="1"/>
        <v>431</v>
      </c>
      <c r="HP118" vm="5905">
        <f ca="1"/>
        <v>444.95</v>
      </c>
      <c r="HQ118" vm="5906">
        <f ca="1"/>
        <v>447.55</v>
      </c>
      <c r="HR118" vm="5386">
        <f ca="1"/>
        <v>440.65</v>
      </c>
      <c r="HS118" vm="5447">
        <f ca="1"/>
        <v>445.9</v>
      </c>
      <c r="HT118" vm="5380">
        <f ca="1"/>
        <v>443.6</v>
      </c>
      <c r="HU118" vm="5907">
        <f ca="1"/>
        <v>450.3</v>
      </c>
      <c r="HV118" vm="3640">
        <f ca="1"/>
        <v>452.45</v>
      </c>
      <c r="HW118" vm="5908">
        <f ca="1"/>
        <v>465.8</v>
      </c>
      <c r="HX118" vm="3628">
        <f ca="1"/>
        <v>454.85</v>
      </c>
      <c r="HY118" vm="5909">
        <f ca="1"/>
        <v>448.85</v>
      </c>
      <c r="HZ118" vm="3628">
        <f ca="1"/>
        <v>454.85</v>
      </c>
      <c r="IA118" vm="5500">
        <f ca="1"/>
        <v>458.2</v>
      </c>
      <c r="IB118" vm="5910">
        <f ca="1"/>
        <v>460.25</v>
      </c>
      <c r="IC118" vm="5424">
        <f ca="1"/>
        <v>464.8</v>
      </c>
      <c r="ID118" vm="5911">
        <f ca="1"/>
        <v>460.5</v>
      </c>
      <c r="IE118" vm="5912">
        <f ca="1"/>
        <v>452.7</v>
      </c>
      <c r="IF118" vm="5913">
        <f ca="1"/>
        <v>448</v>
      </c>
      <c r="IG118" vm="5395">
        <f ca="1"/>
        <v>453.1</v>
      </c>
      <c r="IH118" vm="5914">
        <f ca="1"/>
        <v>461.35</v>
      </c>
      <c r="II118" vm="5404">
        <f ca="1"/>
        <v>451.6</v>
      </c>
      <c r="IJ118" vm="5915">
        <f ca="1"/>
        <v>444.7</v>
      </c>
      <c r="IK118" vm="5916">
        <f ca="1"/>
        <v>441.9</v>
      </c>
      <c r="IL118" vm="5917">
        <f ca="1"/>
        <v>435.65</v>
      </c>
      <c r="IM118" vm="5918">
        <f ca="1"/>
        <v>438.5</v>
      </c>
      <c r="IN118" vm="5465">
        <f ca="1"/>
        <v>442.15</v>
      </c>
      <c r="IO118" vm="5919">
        <f ca="1"/>
        <v>440.15</v>
      </c>
      <c r="IP118" vm="5920">
        <f ca="1"/>
        <v>439</v>
      </c>
      <c r="IQ118" vm="5921">
        <f ca="1"/>
        <v>437.35</v>
      </c>
      <c r="IR118" vm="5922">
        <f ca="1"/>
        <v>439.05</v>
      </c>
    </row>
    <row r="119" spans="4:252" x14ac:dyDescent="0.35">
      <c r="D119" t="e" vm="26">
        <v>#VALUE!</v>
      </c>
      <c r="E119" cm="1" vm="5923">
        <f t="array" aca="1" ref="E119:IR119" ca="1">TRANSPOSE((_xlfn.STOCKHISTORY('Portfolio Tracker '!$C33,TODAY()-365,TODAY(),0,0,1)))</f>
        <v>935.3</v>
      </c>
      <c r="F119" vm="5924">
        <f ca="1"/>
        <v>922.4</v>
      </c>
      <c r="G119" vm="5925">
        <f ca="1"/>
        <v>909.25</v>
      </c>
      <c r="H119" vm="5926">
        <f ca="1"/>
        <v>884.55</v>
      </c>
      <c r="I119" vm="2954">
        <f ca="1"/>
        <v>883.15</v>
      </c>
      <c r="J119" vm="5927">
        <f ca="1"/>
        <v>880.55</v>
      </c>
      <c r="K119" vm="5928">
        <f ca="1"/>
        <v>896.25</v>
      </c>
      <c r="L119" vm="5929">
        <f ca="1"/>
        <v>897.75</v>
      </c>
      <c r="M119" vm="3324">
        <f ca="1"/>
        <v>898.65</v>
      </c>
      <c r="N119" vm="5930">
        <f ca="1"/>
        <v>920.9</v>
      </c>
      <c r="O119" vm="5931">
        <f ca="1"/>
        <v>927.2</v>
      </c>
      <c r="P119" vm="5932">
        <f ca="1"/>
        <v>933.15</v>
      </c>
      <c r="Q119" vm="5933">
        <f ca="1"/>
        <v>941.05</v>
      </c>
      <c r="R119" vm="5934">
        <f ca="1"/>
        <v>943.75</v>
      </c>
      <c r="S119" vm="3015">
        <f ca="1"/>
        <v>938.8</v>
      </c>
      <c r="T119" vm="5935">
        <f ca="1"/>
        <v>926.2</v>
      </c>
      <c r="U119" vm="5936">
        <f ca="1"/>
        <v>979.65</v>
      </c>
      <c r="V119" vm="5937">
        <f ca="1"/>
        <v>1020.3</v>
      </c>
      <c r="W119" vm="5938">
        <f ca="1"/>
        <v>1006.8</v>
      </c>
      <c r="X119" vm="5939">
        <f ca="1"/>
        <v>993.75</v>
      </c>
      <c r="Y119" vm="5940">
        <f ca="1"/>
        <v>1011</v>
      </c>
      <c r="Z119" vm="5941">
        <f ca="1"/>
        <v>1063.05</v>
      </c>
      <c r="AA119" vm="713">
        <f ca="1"/>
        <v>1100.3</v>
      </c>
      <c r="AB119" vm="5942">
        <f ca="1"/>
        <v>1114.8499999999999</v>
      </c>
      <c r="AC119" vm="5943">
        <f ca="1"/>
        <v>1115.5999999999999</v>
      </c>
      <c r="AD119" vm="5944">
        <f ca="1"/>
        <v>1131.05</v>
      </c>
      <c r="AE119" vm="5945">
        <f ca="1"/>
        <v>1153.2</v>
      </c>
      <c r="AF119" vm="5946">
        <f ca="1"/>
        <v>1129.1500000000001</v>
      </c>
      <c r="AG119" vm="3741">
        <f ca="1"/>
        <v>1139.6500000000001</v>
      </c>
      <c r="AH119" vm="5947">
        <f ca="1"/>
        <v>1142.25</v>
      </c>
      <c r="AI119" vm="5948">
        <f ca="1"/>
        <v>1092.75</v>
      </c>
      <c r="AJ119" vm="5949">
        <f ca="1"/>
        <v>1039.7</v>
      </c>
      <c r="AK119" vm="5950">
        <f ca="1"/>
        <v>1063.6500000000001</v>
      </c>
      <c r="AL119" vm="5951">
        <f ca="1"/>
        <v>1084.4000000000001</v>
      </c>
      <c r="AM119" vm="5952">
        <f ca="1"/>
        <v>1071.6500000000001</v>
      </c>
      <c r="AN119" vm="5953">
        <f ca="1"/>
        <v>1058.45</v>
      </c>
      <c r="AO119" vm="5954">
        <f ca="1"/>
        <v>1063.1500000000001</v>
      </c>
      <c r="AP119" vm="5955">
        <f ca="1"/>
        <v>1062.2</v>
      </c>
      <c r="AQ119" vm="5956">
        <f ca="1"/>
        <v>1067.3499999999999</v>
      </c>
      <c r="AR119" vm="5957">
        <f ca="1"/>
        <v>1075.3499999999999</v>
      </c>
      <c r="AS119" vm="5958">
        <f ca="1"/>
        <v>1082.1500000000001</v>
      </c>
      <c r="AT119" vm="5959">
        <f ca="1"/>
        <v>1094.75</v>
      </c>
      <c r="AU119" vm="5960">
        <f ca="1"/>
        <v>1089.8</v>
      </c>
      <c r="AV119" vm="5961">
        <f ca="1"/>
        <v>1076.3499999999999</v>
      </c>
      <c r="AW119" vm="5962">
        <f ca="1"/>
        <v>1060.75</v>
      </c>
      <c r="AX119" vm="5963">
        <f ca="1"/>
        <v>1055.5999999999999</v>
      </c>
      <c r="AY119" vm="5964">
        <f ca="1"/>
        <v>1085.75</v>
      </c>
      <c r="AZ119" vm="5965">
        <f ca="1"/>
        <v>1079.4000000000001</v>
      </c>
      <c r="BA119" vm="5966">
        <f ca="1"/>
        <v>1060.9000000000001</v>
      </c>
      <c r="BB119" vm="5967">
        <f ca="1"/>
        <v>1054.4000000000001</v>
      </c>
      <c r="BC119" vm="5968">
        <f ca="1"/>
        <v>1064.3</v>
      </c>
      <c r="BD119" vm="5969">
        <f ca="1"/>
        <v>1047.55</v>
      </c>
      <c r="BE119" vm="5954">
        <f ca="1"/>
        <v>1063.1500000000001</v>
      </c>
      <c r="BF119" vm="723">
        <f ca="1"/>
        <v>1090.6500000000001</v>
      </c>
      <c r="BG119" vm="5970">
        <f ca="1"/>
        <v>1067.0999999999999</v>
      </c>
      <c r="BH119" vm="5971">
        <f ca="1"/>
        <v>1084.3499999999999</v>
      </c>
      <c r="BI119" vm="5972">
        <f ca="1"/>
        <v>1060.7</v>
      </c>
      <c r="BJ119" vm="5973">
        <f ca="1"/>
        <v>1000.9</v>
      </c>
      <c r="BK119" vm="5974">
        <f ca="1"/>
        <v>1056.8</v>
      </c>
      <c r="BL119" vm="5975">
        <f ca="1"/>
        <v>1056.5999999999999</v>
      </c>
      <c r="BM119" vm="5976">
        <f ca="1"/>
        <v>1064.05</v>
      </c>
      <c r="BN119" vm="5977">
        <f ca="1"/>
        <v>1084.8499999999999</v>
      </c>
      <c r="BO119" vm="5978">
        <f ca="1"/>
        <v>1071.5</v>
      </c>
      <c r="BP119" vm="5979">
        <f ca="1"/>
        <v>1082.75</v>
      </c>
      <c r="BQ119" vm="5980">
        <f ca="1"/>
        <v>1092.4000000000001</v>
      </c>
      <c r="BR119" vm="5981">
        <f ca="1"/>
        <v>1099.7</v>
      </c>
      <c r="BS119" vm="677">
        <f ca="1"/>
        <v>1081.2</v>
      </c>
      <c r="BT119" vm="5982">
        <f ca="1"/>
        <v>1146.25</v>
      </c>
      <c r="BU119" vm="5983">
        <f ca="1"/>
        <v>1151</v>
      </c>
      <c r="BV119" vm="5984">
        <f ca="1"/>
        <v>1147.0999999999999</v>
      </c>
      <c r="BW119" vm="5985">
        <f ca="1"/>
        <v>1139.4000000000001</v>
      </c>
      <c r="BX119" vm="5986">
        <f ca="1"/>
        <v>1120.6500000000001</v>
      </c>
      <c r="BY119" vm="5987">
        <f ca="1"/>
        <v>1142.1500000000001</v>
      </c>
      <c r="BZ119" vm="5988">
        <f ca="1"/>
        <v>1127</v>
      </c>
      <c r="CA119" vm="5989">
        <f ca="1"/>
        <v>1135.55</v>
      </c>
      <c r="CB119" vm="5990">
        <f ca="1"/>
        <v>1154.2</v>
      </c>
      <c r="CC119" vm="5991">
        <f ca="1"/>
        <v>1152.6500000000001</v>
      </c>
      <c r="CD119" vm="5992">
        <f ca="1"/>
        <v>1131.4000000000001</v>
      </c>
      <c r="CE119" vm="5993">
        <f ca="1"/>
        <v>1132.55</v>
      </c>
      <c r="CF119" vm="5994">
        <f ca="1"/>
        <v>1177.3499999999999</v>
      </c>
      <c r="CG119" vm="5995">
        <f ca="1"/>
        <v>1173.25</v>
      </c>
      <c r="CH119" vm="5996">
        <f ca="1"/>
        <v>1147.55</v>
      </c>
      <c r="CI119" vm="5997">
        <f ca="1"/>
        <v>1151.0999999999999</v>
      </c>
      <c r="CJ119" vm="5998">
        <f ca="1"/>
        <v>1155.5999999999999</v>
      </c>
      <c r="CK119" vm="5999">
        <f ca="1"/>
        <v>1155.6500000000001</v>
      </c>
      <c r="CL119" vm="6000">
        <f ca="1"/>
        <v>1175.9000000000001</v>
      </c>
      <c r="CM119" vm="6001">
        <f ca="1"/>
        <v>1200.7</v>
      </c>
      <c r="CN119" vm="6002">
        <f ca="1"/>
        <v>1178.3</v>
      </c>
      <c r="CO119" vm="6003">
        <f ca="1"/>
        <v>1165.95</v>
      </c>
      <c r="CP119" vm="6004">
        <f ca="1"/>
        <v>1167.45</v>
      </c>
      <c r="CQ119" vm="6005">
        <f ca="1"/>
        <v>1164.5</v>
      </c>
      <c r="CR119" vm="6005">
        <f ca="1"/>
        <v>1164.5</v>
      </c>
      <c r="CS119" vm="6006">
        <f ca="1"/>
        <v>1166.8499999999999</v>
      </c>
      <c r="CT119" vm="6007">
        <f ca="1"/>
        <v>1144.45</v>
      </c>
      <c r="CU119" vm="6008">
        <f ca="1"/>
        <v>1137.45</v>
      </c>
      <c r="CV119" vm="6009">
        <f ca="1"/>
        <v>1169.2</v>
      </c>
      <c r="CW119" vm="6010">
        <f ca="1"/>
        <v>1169.6500000000001</v>
      </c>
      <c r="CX119" vm="6011">
        <f ca="1"/>
        <v>1140.55</v>
      </c>
      <c r="CY119" vm="6012">
        <f ca="1"/>
        <v>1128.8</v>
      </c>
      <c r="CZ119" vm="853">
        <f ca="1"/>
        <v>1077.5999999999999</v>
      </c>
      <c r="DA119" vm="705">
        <f ca="1"/>
        <v>1073.75</v>
      </c>
      <c r="DB119" vm="6013">
        <f ca="1"/>
        <v>1051.2</v>
      </c>
      <c r="DC119" vm="6014">
        <f ca="1"/>
        <v>1086.5999999999999</v>
      </c>
      <c r="DD119" vm="6015">
        <f ca="1"/>
        <v>1128.3</v>
      </c>
      <c r="DE119" vm="6016">
        <f ca="1"/>
        <v>1142.4000000000001</v>
      </c>
      <c r="DF119" vm="6017">
        <f ca="1"/>
        <v>1152.3</v>
      </c>
      <c r="DG119" vm="6018">
        <f ca="1"/>
        <v>1130</v>
      </c>
      <c r="DH119" vm="6019">
        <f ca="1"/>
        <v>1139.3499999999999</v>
      </c>
      <c r="DI119" vm="6020">
        <f ca="1"/>
        <v>1157.3</v>
      </c>
      <c r="DJ119" vm="6021">
        <f ca="1"/>
        <v>1146.8</v>
      </c>
      <c r="DK119" vm="6022">
        <f ca="1"/>
        <v>1133.2</v>
      </c>
      <c r="DL119" vm="6023">
        <f ca="1"/>
        <v>1165.05</v>
      </c>
      <c r="DM119" vm="6024">
        <f ca="1"/>
        <v>1223.7</v>
      </c>
      <c r="DN119" vm="6025">
        <f ca="1"/>
        <v>1211.05</v>
      </c>
      <c r="DO119" vm="6026">
        <f ca="1"/>
        <v>1201.2</v>
      </c>
      <c r="DP119" vm="6027">
        <f ca="1"/>
        <v>1229.1500000000001</v>
      </c>
      <c r="DQ119" vm="6028">
        <f ca="1"/>
        <v>1198.7</v>
      </c>
      <c r="DR119" vm="6029">
        <f ca="1"/>
        <v>1204.8499999999999</v>
      </c>
      <c r="DS119" vm="6030">
        <f ca="1"/>
        <v>1213.25</v>
      </c>
      <c r="DT119" vm="6031">
        <f ca="1"/>
        <v>1195.4000000000001</v>
      </c>
      <c r="DU119" vm="6032">
        <f ca="1"/>
        <v>1151.9000000000001</v>
      </c>
      <c r="DV119" vm="6033">
        <f ca="1"/>
        <v>1147.8499999999999</v>
      </c>
      <c r="DW119" vm="6034">
        <f ca="1"/>
        <v>1120.3499999999999</v>
      </c>
      <c r="DX119" vm="6035">
        <f ca="1"/>
        <v>1128.5</v>
      </c>
      <c r="DY119" vm="6036">
        <f ca="1"/>
        <v>1185.4000000000001</v>
      </c>
      <c r="DZ119" vm="6037">
        <f ca="1"/>
        <v>1217.55</v>
      </c>
      <c r="EA119" vm="6038">
        <f ca="1"/>
        <v>1213.8499999999999</v>
      </c>
      <c r="EB119" vm="6039">
        <f ca="1"/>
        <v>1221.0999999999999</v>
      </c>
      <c r="EC119" vm="6040">
        <f ca="1"/>
        <v>1241.5</v>
      </c>
      <c r="ED119" vm="6041">
        <f ca="1"/>
        <v>1253.3499999999999</v>
      </c>
      <c r="EE119" vm="6042">
        <f ca="1"/>
        <v>1271.95</v>
      </c>
      <c r="EF119" vm="6043">
        <f ca="1"/>
        <v>1327.75</v>
      </c>
      <c r="EG119" vm="6044">
        <f ca="1"/>
        <v>1314.7</v>
      </c>
      <c r="EH119" vm="3860">
        <f ca="1"/>
        <v>1369.2</v>
      </c>
      <c r="EI119" vm="6045">
        <f ca="1"/>
        <v>1411.2</v>
      </c>
      <c r="EJ119" vm="6046">
        <f ca="1"/>
        <v>1393.5</v>
      </c>
      <c r="EK119" vm="6047">
        <f ca="1"/>
        <v>1393.1</v>
      </c>
      <c r="EL119" vm="6048">
        <f ca="1"/>
        <v>1479.95</v>
      </c>
      <c r="EM119" vm="6049">
        <f ca="1"/>
        <v>1536.65</v>
      </c>
      <c r="EN119" vm="6050">
        <f ca="1"/>
        <v>1624</v>
      </c>
      <c r="EO119" vm="6051">
        <f ca="1"/>
        <v>1505.8</v>
      </c>
      <c r="EP119" vm="6052">
        <f ca="1"/>
        <v>1445.8</v>
      </c>
      <c r="EQ119" vm="6053">
        <f ca="1"/>
        <v>1446.45</v>
      </c>
      <c r="ER119" vm="6054">
        <f ca="1"/>
        <v>1468.75</v>
      </c>
      <c r="ES119" vm="6055">
        <f ca="1"/>
        <v>1489.8</v>
      </c>
      <c r="ET119" vm="6056">
        <f ca="1"/>
        <v>1492.6</v>
      </c>
      <c r="EU119" vm="6057">
        <f ca="1"/>
        <v>1499.3</v>
      </c>
      <c r="EV119" vm="6058">
        <f ca="1"/>
        <v>1483.05</v>
      </c>
      <c r="EW119" vm="6059">
        <f ca="1"/>
        <v>1497.25</v>
      </c>
      <c r="EX119" vm="6060">
        <f ca="1"/>
        <v>1478.15</v>
      </c>
      <c r="EY119" vm="6061">
        <f ca="1"/>
        <v>1462.2</v>
      </c>
      <c r="EZ119" vm="6062">
        <f ca="1"/>
        <v>1458.95</v>
      </c>
      <c r="FA119" vm="6063">
        <f ca="1"/>
        <v>1478.6</v>
      </c>
      <c r="FB119" vm="6064">
        <f ca="1"/>
        <v>1463.25</v>
      </c>
      <c r="FC119" vm="6065">
        <f ca="1"/>
        <v>1432.65</v>
      </c>
      <c r="FD119" vm="6066">
        <f ca="1"/>
        <v>1474.95</v>
      </c>
      <c r="FE119" vm="6067">
        <f ca="1"/>
        <v>1482.95</v>
      </c>
      <c r="FF119" vm="6068">
        <f ca="1"/>
        <v>1518.6</v>
      </c>
      <c r="FG119" vm="6069">
        <f ca="1"/>
        <v>1493.5</v>
      </c>
      <c r="FH119" vm="6070">
        <f ca="1"/>
        <v>1501.25</v>
      </c>
      <c r="FI119" vm="6071">
        <f ca="1"/>
        <v>1467.35</v>
      </c>
      <c r="FJ119" vm="6072">
        <f ca="1"/>
        <v>1516.4</v>
      </c>
      <c r="FK119" vm="6073">
        <f ca="1"/>
        <v>1539.35</v>
      </c>
      <c r="FL119" vm="6074">
        <f ca="1"/>
        <v>1527.7</v>
      </c>
      <c r="FM119" vm="6075">
        <f ca="1"/>
        <v>1517.85</v>
      </c>
      <c r="FN119" vm="6076">
        <f ca="1"/>
        <v>1505.9</v>
      </c>
      <c r="FO119" vm="6077">
        <f ca="1"/>
        <v>1513.85</v>
      </c>
      <c r="FP119" vm="6078">
        <f ca="1"/>
        <v>1490.5</v>
      </c>
      <c r="FQ119" vm="6079">
        <f ca="1"/>
        <v>1467.85</v>
      </c>
      <c r="FR119" vm="3867">
        <f ca="1"/>
        <v>1462.7</v>
      </c>
      <c r="FS119" vm="6080">
        <f ca="1"/>
        <v>1472.4</v>
      </c>
      <c r="FT119" vm="6081">
        <f ca="1"/>
        <v>1506.55</v>
      </c>
      <c r="FU119" vm="6082">
        <f ca="1"/>
        <v>1506.1</v>
      </c>
      <c r="FV119" vm="6083">
        <f ca="1"/>
        <v>1517.6</v>
      </c>
      <c r="FW119" vm="6084">
        <f ca="1"/>
        <v>1532.9</v>
      </c>
      <c r="FX119" vm="6085">
        <f ca="1"/>
        <v>1540.95</v>
      </c>
      <c r="FY119" vm="6086">
        <f ca="1"/>
        <v>1550.3</v>
      </c>
      <c r="FZ119" vm="6087">
        <f ca="1"/>
        <v>1538.8</v>
      </c>
      <c r="GA119" vm="6088">
        <f ca="1"/>
        <v>1546.3</v>
      </c>
      <c r="GB119" vm="6089">
        <f ca="1"/>
        <v>1541.3</v>
      </c>
      <c r="GC119" vm="4088">
        <f ca="1"/>
        <v>1532.1</v>
      </c>
      <c r="GD119" vm="6090">
        <f ca="1"/>
        <v>1547.8</v>
      </c>
      <c r="GE119" vm="1627">
        <f ca="1"/>
        <v>1524.45</v>
      </c>
      <c r="GF119" vm="6091">
        <f ca="1"/>
        <v>1501.5</v>
      </c>
      <c r="GG119" vm="6081">
        <f ca="1"/>
        <v>1506.55</v>
      </c>
      <c r="GH119" vm="6092">
        <f ca="1"/>
        <v>1415.45</v>
      </c>
      <c r="GI119" vm="6093">
        <f ca="1"/>
        <v>1407.15</v>
      </c>
      <c r="GJ119" vm="6094">
        <f ca="1"/>
        <v>1457.25</v>
      </c>
      <c r="GK119" vm="6095">
        <f ca="1"/>
        <v>1550.8</v>
      </c>
      <c r="GL119" vm="6096">
        <f ca="1"/>
        <v>1524.65</v>
      </c>
      <c r="GM119" vm="6097">
        <f ca="1"/>
        <v>1577.1</v>
      </c>
      <c r="GN119" vm="6098">
        <f ca="1"/>
        <v>1594.35</v>
      </c>
      <c r="GO119" vm="6099">
        <f ca="1"/>
        <v>1674.95</v>
      </c>
      <c r="GP119" vm="6100">
        <f ca="1"/>
        <v>1655.05</v>
      </c>
      <c r="GQ119" vm="6101">
        <f ca="1"/>
        <v>1711</v>
      </c>
      <c r="GR119" vm="6102">
        <f ca="1"/>
        <v>1727.85</v>
      </c>
      <c r="GS119" vm="6103">
        <f ca="1"/>
        <v>1708</v>
      </c>
      <c r="GT119" vm="6104">
        <f ca="1"/>
        <v>1588.6</v>
      </c>
      <c r="GU119" vm="6105">
        <f ca="1"/>
        <v>1637.4</v>
      </c>
      <c r="GV119" vm="6106">
        <f ca="1"/>
        <v>1643.25</v>
      </c>
      <c r="GW119" vm="6107">
        <f ca="1"/>
        <v>1673.6</v>
      </c>
      <c r="GX119" vm="3900">
        <f ca="1"/>
        <v>1630.6</v>
      </c>
      <c r="GY119" vm="6108">
        <f ca="1"/>
        <v>1619.75</v>
      </c>
      <c r="GZ119" vm="6109">
        <f ca="1"/>
        <v>1571.75</v>
      </c>
      <c r="HA119" vm="6110">
        <f ca="1"/>
        <v>1590.65</v>
      </c>
      <c r="HB119" vm="6111">
        <f ca="1"/>
        <v>1583.65</v>
      </c>
      <c r="HC119" vm="6112">
        <f ca="1"/>
        <v>1591.4</v>
      </c>
      <c r="HD119" vm="6113">
        <f ca="1"/>
        <v>1579.95</v>
      </c>
      <c r="HE119" vm="6114">
        <f ca="1"/>
        <v>1572.3</v>
      </c>
      <c r="HF119" vm="1785">
        <f ca="1"/>
        <v>1570.55</v>
      </c>
      <c r="HG119" vm="6115">
        <f ca="1"/>
        <v>1578.65</v>
      </c>
      <c r="HH119" vm="6116">
        <f ca="1"/>
        <v>1583.9</v>
      </c>
      <c r="HI119" vm="6117">
        <f ca="1"/>
        <v>1546.1</v>
      </c>
      <c r="HJ119" vm="6118">
        <f ca="1"/>
        <v>1493.35</v>
      </c>
      <c r="HK119" vm="1629">
        <f ca="1"/>
        <v>1506.35</v>
      </c>
      <c r="HL119" vm="6119">
        <f ca="1"/>
        <v>1496.3</v>
      </c>
      <c r="HM119" vm="6120">
        <f ca="1"/>
        <v>1475.5</v>
      </c>
      <c r="HN119" vm="6121">
        <f ca="1"/>
        <v>1456.3</v>
      </c>
      <c r="HO119" vm="6122">
        <f ca="1"/>
        <v>1415.65</v>
      </c>
      <c r="HP119" vm="6123">
        <f ca="1"/>
        <v>1429.35</v>
      </c>
      <c r="HQ119" vm="6123">
        <f ca="1"/>
        <v>1429.35</v>
      </c>
      <c r="HR119" vm="6124">
        <f ca="1"/>
        <v>1383.3</v>
      </c>
      <c r="HS119" vm="6125">
        <f ca="1"/>
        <v>1357.95</v>
      </c>
      <c r="HT119" vm="6126">
        <f ca="1"/>
        <v>1347.55</v>
      </c>
      <c r="HU119" vm="6127">
        <f ca="1"/>
        <v>1358.2</v>
      </c>
      <c r="HV119" vm="6128">
        <f ca="1"/>
        <v>1385.7</v>
      </c>
      <c r="HW119" vm="6129">
        <f ca="1"/>
        <v>1428.5</v>
      </c>
      <c r="HX119" vm="6130">
        <f ca="1"/>
        <v>1482</v>
      </c>
      <c r="HY119" vm="6131">
        <f ca="1"/>
        <v>1486.4</v>
      </c>
      <c r="HZ119" vm="6132">
        <f ca="1"/>
        <v>1488.75</v>
      </c>
      <c r="IA119" vm="6133">
        <f ca="1"/>
        <v>1511.5</v>
      </c>
      <c r="IB119" vm="6134">
        <f ca="1"/>
        <v>1505.65</v>
      </c>
      <c r="IC119" vm="1772">
        <f ca="1"/>
        <v>1510.15</v>
      </c>
      <c r="ID119" vm="6133">
        <f ca="1"/>
        <v>1511.5</v>
      </c>
      <c r="IE119" vm="1804">
        <f ca="1"/>
        <v>1493.55</v>
      </c>
      <c r="IF119" vm="6135">
        <f ca="1"/>
        <v>1497.5</v>
      </c>
      <c r="IG119" vm="6136">
        <f ca="1"/>
        <v>1490.3</v>
      </c>
      <c r="IH119" vm="6137">
        <f ca="1"/>
        <v>1474.75</v>
      </c>
      <c r="II119" vm="6138">
        <f ca="1"/>
        <v>1428.3</v>
      </c>
      <c r="IJ119" vm="6139">
        <f ca="1"/>
        <v>1410.75</v>
      </c>
      <c r="IK119" vm="6140">
        <f ca="1"/>
        <v>1397.6</v>
      </c>
      <c r="IL119" vm="6141">
        <f ca="1"/>
        <v>1409.3</v>
      </c>
      <c r="IM119" vm="1686">
        <f ca="1"/>
        <v>1378.65</v>
      </c>
      <c r="IN119" vm="1743">
        <f ca="1"/>
        <v>1373.7</v>
      </c>
      <c r="IO119" vm="6142">
        <f ca="1"/>
        <v>1371.2</v>
      </c>
      <c r="IP119" vm="6143">
        <f ca="1"/>
        <v>1373.95</v>
      </c>
      <c r="IQ119" vm="6144">
        <f ca="1"/>
        <v>1416.45</v>
      </c>
      <c r="IR119" vm="6145">
        <f ca="1"/>
        <v>1508.5</v>
      </c>
    </row>
    <row r="120" spans="4:252" x14ac:dyDescent="0.35">
      <c r="D120" t="e" vm="27">
        <v>#VALUE!</v>
      </c>
      <c r="E120" cm="1" vm="4830">
        <f t="array" aca="1" ref="E120:IR120" ca="1">TRANSPOSE((_xlfn.STOCKHISTORY('Portfolio Tracker '!$C34,TODAY()-365,TODAY(),0,0,1)))</f>
        <v>311.60000000000002</v>
      </c>
      <c r="F120" vm="4798">
        <f ca="1"/>
        <v>321</v>
      </c>
      <c r="G120" vm="6146">
        <f ca="1"/>
        <v>318.95</v>
      </c>
      <c r="H120" vm="6147">
        <f ca="1"/>
        <v>315.55</v>
      </c>
      <c r="I120" vm="6148">
        <f ca="1"/>
        <v>330.1</v>
      </c>
      <c r="J120" vm="6149">
        <f ca="1"/>
        <v>334.15</v>
      </c>
      <c r="K120" vm="6150">
        <f ca="1"/>
        <v>332.55</v>
      </c>
      <c r="L120" vm="6151">
        <f ca="1"/>
        <v>321.45</v>
      </c>
      <c r="M120" vm="6152">
        <f ca="1"/>
        <v>310.64999999999998</v>
      </c>
      <c r="N120" vm="6153">
        <f ca="1"/>
        <v>311.35000000000002</v>
      </c>
      <c r="O120" vm="6154">
        <f ca="1"/>
        <v>315</v>
      </c>
      <c r="P120" vm="6155">
        <f ca="1"/>
        <v>311.85000000000002</v>
      </c>
      <c r="Q120" vm="6156">
        <f ca="1"/>
        <v>310.39999999999998</v>
      </c>
      <c r="R120" vm="6157">
        <f ca="1"/>
        <v>312.39999999999998</v>
      </c>
      <c r="S120" vm="6158">
        <f ca="1"/>
        <v>312.10000000000002</v>
      </c>
      <c r="T120" vm="6159">
        <f ca="1"/>
        <v>314.45</v>
      </c>
      <c r="U120" vm="6160">
        <f ca="1"/>
        <v>334.8</v>
      </c>
      <c r="V120" vm="6161">
        <f ca="1"/>
        <v>333.4</v>
      </c>
      <c r="W120" vm="6162">
        <f ca="1"/>
        <v>334.85</v>
      </c>
      <c r="X120" vm="6163">
        <f ca="1"/>
        <v>334.65</v>
      </c>
      <c r="Y120" vm="3610">
        <f ca="1"/>
        <v>331.75</v>
      </c>
      <c r="Z120" vm="6164">
        <f ca="1"/>
        <v>330.7</v>
      </c>
      <c r="AA120" vm="6165">
        <f ca="1"/>
        <v>340.5</v>
      </c>
      <c r="AB120" vm="6166">
        <f ca="1"/>
        <v>346.05</v>
      </c>
      <c r="AC120" vm="6167">
        <f ca="1"/>
        <v>341.65</v>
      </c>
      <c r="AD120" vm="6168">
        <f ca="1"/>
        <v>342.05</v>
      </c>
      <c r="AE120" vm="6169">
        <f ca="1"/>
        <v>348.85</v>
      </c>
      <c r="AF120" vm="6170">
        <f ca="1"/>
        <v>347.15</v>
      </c>
      <c r="AG120" vm="6165">
        <f ca="1"/>
        <v>340.5</v>
      </c>
      <c r="AH120" vm="6171">
        <f ca="1"/>
        <v>343.4</v>
      </c>
      <c r="AI120" vm="6172">
        <f ca="1"/>
        <v>360.1</v>
      </c>
      <c r="AJ120" vm="6173">
        <f ca="1"/>
        <v>359</v>
      </c>
      <c r="AK120" vm="6174">
        <f ca="1"/>
        <v>366.75</v>
      </c>
      <c r="AL120" vm="6175">
        <f ca="1"/>
        <v>367.95</v>
      </c>
      <c r="AM120" vm="6176">
        <f ca="1"/>
        <v>364.5</v>
      </c>
      <c r="AN120" vm="6177">
        <f ca="1"/>
        <v>365.5</v>
      </c>
      <c r="AO120" vm="6178">
        <f ca="1"/>
        <v>364.75</v>
      </c>
      <c r="AP120" vm="6179">
        <f ca="1"/>
        <v>355.95</v>
      </c>
      <c r="AQ120" vm="6180">
        <f ca="1"/>
        <v>350.65</v>
      </c>
      <c r="AR120" vm="6181">
        <f ca="1"/>
        <v>361.95</v>
      </c>
      <c r="AS120" vm="6182">
        <f ca="1"/>
        <v>366.7</v>
      </c>
      <c r="AT120" vm="6183">
        <f ca="1"/>
        <v>363.1</v>
      </c>
      <c r="AU120" vm="6184">
        <f ca="1"/>
        <v>366.65</v>
      </c>
      <c r="AV120" vm="6185">
        <f ca="1"/>
        <v>357</v>
      </c>
      <c r="AW120" vm="6186">
        <f ca="1"/>
        <v>350</v>
      </c>
      <c r="AX120" vm="6187">
        <f ca="1"/>
        <v>354.35</v>
      </c>
      <c r="AY120" vm="5717">
        <f ca="1"/>
        <v>367.7</v>
      </c>
      <c r="AZ120" vm="6188">
        <f ca="1"/>
        <v>364.95</v>
      </c>
      <c r="BA120" vm="6189">
        <f ca="1"/>
        <v>358</v>
      </c>
      <c r="BB120" vm="6190">
        <f ca="1"/>
        <v>356.8</v>
      </c>
      <c r="BC120" vm="6191">
        <f ca="1"/>
        <v>352.75</v>
      </c>
      <c r="BD120" vm="6192">
        <f ca="1"/>
        <v>347.1</v>
      </c>
      <c r="BE120" vm="6193">
        <f ca="1"/>
        <v>351.5</v>
      </c>
      <c r="BF120" vm="6194">
        <f ca="1"/>
        <v>351.35</v>
      </c>
      <c r="BG120" vm="6195">
        <f ca="1"/>
        <v>353.05</v>
      </c>
      <c r="BH120" vm="6196">
        <f ca="1"/>
        <v>350.8</v>
      </c>
      <c r="BI120" vm="6196">
        <f ca="1"/>
        <v>350.8</v>
      </c>
      <c r="BJ120" vm="6197">
        <f ca="1"/>
        <v>348.75</v>
      </c>
      <c r="BK120" vm="6198">
        <f ca="1"/>
        <v>348.65</v>
      </c>
      <c r="BL120" vm="6199">
        <f ca="1"/>
        <v>346.9</v>
      </c>
      <c r="BM120" vm="4835">
        <f ca="1"/>
        <v>341.15</v>
      </c>
      <c r="BN120" vm="6200">
        <f ca="1"/>
        <v>343.9</v>
      </c>
      <c r="BO120" vm="6201">
        <f ca="1"/>
        <v>337.8</v>
      </c>
      <c r="BP120" vm="6202">
        <f ca="1"/>
        <v>352</v>
      </c>
      <c r="BQ120" vm="6203">
        <f ca="1"/>
        <v>358.3</v>
      </c>
      <c r="BR120" vm="6204">
        <f ca="1"/>
        <v>364.6</v>
      </c>
      <c r="BS120" vm="6205">
        <f ca="1"/>
        <v>384.35</v>
      </c>
      <c r="BT120" vm="6206">
        <f ca="1"/>
        <v>392.3</v>
      </c>
      <c r="BU120" vm="6207">
        <f ca="1"/>
        <v>400.15</v>
      </c>
      <c r="BV120" vm="6208">
        <f ca="1"/>
        <v>411.8</v>
      </c>
      <c r="BW120" vm="6209">
        <f ca="1"/>
        <v>410.35</v>
      </c>
      <c r="BX120" vm="6210">
        <f ca="1"/>
        <v>398.6</v>
      </c>
      <c r="BY120" vm="6211">
        <f ca="1"/>
        <v>388.25</v>
      </c>
      <c r="BZ120" vm="6212">
        <f ca="1"/>
        <v>384.75</v>
      </c>
      <c r="CA120" vm="6213">
        <f ca="1"/>
        <v>390.25</v>
      </c>
      <c r="CB120" vm="6214">
        <f ca="1"/>
        <v>386.85</v>
      </c>
      <c r="CC120" vm="6215">
        <f ca="1"/>
        <v>381.35</v>
      </c>
      <c r="CD120" vm="6216">
        <f ca="1"/>
        <v>388.75</v>
      </c>
      <c r="CE120" vm="6217">
        <f ca="1"/>
        <v>391.25</v>
      </c>
      <c r="CF120" vm="6218">
        <f ca="1"/>
        <v>395.2</v>
      </c>
      <c r="CG120" vm="6219">
        <f ca="1"/>
        <v>390.05</v>
      </c>
      <c r="CH120" vm="6220">
        <f ca="1"/>
        <v>387.55</v>
      </c>
      <c r="CI120" vm="6221">
        <f ca="1"/>
        <v>391.5</v>
      </c>
      <c r="CJ120" vm="6222">
        <f ca="1"/>
        <v>391.05</v>
      </c>
      <c r="CK120" vm="6223">
        <f ca="1"/>
        <v>400</v>
      </c>
      <c r="CL120" vm="6224">
        <f ca="1"/>
        <v>399.6</v>
      </c>
      <c r="CM120" vm="6225">
        <f ca="1"/>
        <v>396.45</v>
      </c>
      <c r="CN120" vm="6226">
        <f ca="1"/>
        <v>394.3</v>
      </c>
      <c r="CO120" vm="6227">
        <f ca="1"/>
        <v>406.6</v>
      </c>
      <c r="CP120" vm="6228">
        <f ca="1"/>
        <v>407.3</v>
      </c>
      <c r="CQ120" vm="6229">
        <f ca="1"/>
        <v>405.2</v>
      </c>
      <c r="CR120" vm="3625">
        <f ca="1"/>
        <v>410.25</v>
      </c>
      <c r="CS120" vm="6230">
        <f ca="1"/>
        <v>407.4</v>
      </c>
      <c r="CT120" vm="6231">
        <f ca="1"/>
        <v>384.1</v>
      </c>
      <c r="CU120" vm="6232">
        <f ca="1"/>
        <v>388.1</v>
      </c>
      <c r="CV120" vm="6233">
        <f ca="1"/>
        <v>399.2</v>
      </c>
      <c r="CW120" vm="6234">
        <f ca="1"/>
        <v>400.95</v>
      </c>
      <c r="CX120" vm="6235">
        <f ca="1"/>
        <v>393.7</v>
      </c>
      <c r="CY120" vm="6236">
        <f ca="1"/>
        <v>395.1</v>
      </c>
      <c r="CZ120" vm="6237">
        <f ca="1"/>
        <v>390.7</v>
      </c>
      <c r="DA120" vm="6238">
        <f ca="1"/>
        <v>386.6</v>
      </c>
      <c r="DB120" vm="6239">
        <f ca="1"/>
        <v>388.8</v>
      </c>
      <c r="DC120" vm="6240">
        <f ca="1"/>
        <v>385.3</v>
      </c>
      <c r="DD120" vm="6241">
        <f ca="1"/>
        <v>394.05</v>
      </c>
      <c r="DE120" vm="6242">
        <f ca="1"/>
        <v>390.9</v>
      </c>
      <c r="DF120" vm="6243">
        <f ca="1"/>
        <v>395.4</v>
      </c>
      <c r="DG120" vm="6244">
        <f ca="1"/>
        <v>397.45</v>
      </c>
      <c r="DH120" vm="6245">
        <f ca="1"/>
        <v>391.2</v>
      </c>
      <c r="DI120" vm="6246">
        <f ca="1"/>
        <v>394.65</v>
      </c>
      <c r="DJ120" vm="6247">
        <f ca="1"/>
        <v>398.45</v>
      </c>
      <c r="DK120" vm="6248">
        <f ca="1"/>
        <v>399.15</v>
      </c>
      <c r="DL120" vm="6207">
        <f ca="1"/>
        <v>400.15</v>
      </c>
      <c r="DM120" vm="6249">
        <f ca="1"/>
        <v>400.3</v>
      </c>
      <c r="DN120" vm="6250">
        <f ca="1"/>
        <v>401.6</v>
      </c>
      <c r="DO120" vm="6251">
        <f ca="1"/>
        <v>404</v>
      </c>
      <c r="DP120" vm="6252">
        <f ca="1"/>
        <v>398.7</v>
      </c>
      <c r="DQ120" vm="6253">
        <f ca="1"/>
        <v>400.25</v>
      </c>
      <c r="DR120" vm="6254">
        <f ca="1"/>
        <v>399.05</v>
      </c>
      <c r="DS120" vm="6255">
        <f ca="1"/>
        <v>396.4</v>
      </c>
      <c r="DT120" vm="6234">
        <f ca="1"/>
        <v>400.95</v>
      </c>
      <c r="DU120" vm="6256">
        <f ca="1"/>
        <v>362.4</v>
      </c>
      <c r="DV120" vm="6257">
        <f ca="1"/>
        <v>356.65</v>
      </c>
      <c r="DW120" vm="6258">
        <f ca="1"/>
        <v>359.1</v>
      </c>
      <c r="DX120" vm="6190">
        <f ca="1"/>
        <v>356.8</v>
      </c>
      <c r="DY120" vm="6259">
        <f ca="1"/>
        <v>361.35</v>
      </c>
      <c r="DZ120" vm="6260">
        <f ca="1"/>
        <v>361.75</v>
      </c>
      <c r="EA120" vm="6261">
        <f ca="1"/>
        <v>358.9</v>
      </c>
      <c r="EB120" vm="6262">
        <f ca="1"/>
        <v>362.3</v>
      </c>
      <c r="EC120" vm="6263">
        <f ca="1"/>
        <v>364.3</v>
      </c>
      <c r="ED120" vm="6264">
        <f ca="1"/>
        <v>372.4</v>
      </c>
      <c r="EE120" vm="6265">
        <f ca="1"/>
        <v>369.95</v>
      </c>
      <c r="EF120" vm="6266">
        <f ca="1"/>
        <v>371.65</v>
      </c>
      <c r="EG120" vm="6267">
        <f ca="1"/>
        <v>369.7</v>
      </c>
      <c r="EH120" vm="6268">
        <f ca="1"/>
        <v>368.95</v>
      </c>
      <c r="EI120" vm="6269">
        <f ca="1"/>
        <v>371.3</v>
      </c>
      <c r="EJ120" vm="6270">
        <f ca="1"/>
        <v>373.15</v>
      </c>
      <c r="EK120" vm="6265">
        <f ca="1"/>
        <v>369.95</v>
      </c>
      <c r="EL120" vm="6271">
        <f ca="1"/>
        <v>373.85</v>
      </c>
      <c r="EM120" vm="6272">
        <f ca="1"/>
        <v>369.85</v>
      </c>
      <c r="EN120" vm="6273">
        <f ca="1"/>
        <v>368.05</v>
      </c>
      <c r="EO120" vm="6274">
        <f ca="1"/>
        <v>373.7</v>
      </c>
      <c r="EP120" vm="6275">
        <f ca="1"/>
        <v>374.45</v>
      </c>
      <c r="EQ120" vm="6276">
        <f ca="1"/>
        <v>369.35</v>
      </c>
      <c r="ER120" vm="6277">
        <f ca="1"/>
        <v>372.75</v>
      </c>
      <c r="ES120" vm="6278">
        <f ca="1"/>
        <v>370.75</v>
      </c>
      <c r="ET120" vm="6279">
        <f ca="1"/>
        <v>374.8</v>
      </c>
      <c r="EU120" vm="6280">
        <f ca="1"/>
        <v>380.85</v>
      </c>
      <c r="EV120" vm="6281">
        <f ca="1"/>
        <v>378.75</v>
      </c>
      <c r="EW120" vm="6282">
        <f ca="1"/>
        <v>379.25</v>
      </c>
      <c r="EX120" vm="6283">
        <f ca="1"/>
        <v>376.35</v>
      </c>
      <c r="EY120" vm="6284">
        <f ca="1"/>
        <v>379.1</v>
      </c>
      <c r="EZ120" vm="6219">
        <f ca="1"/>
        <v>390.05</v>
      </c>
      <c r="FA120" vm="6285">
        <f ca="1"/>
        <v>383.65</v>
      </c>
      <c r="FB120" vm="6286">
        <f ca="1"/>
        <v>390.75</v>
      </c>
      <c r="FC120" vm="6211">
        <f ca="1"/>
        <v>388.25</v>
      </c>
      <c r="FD120" vm="6215">
        <f ca="1"/>
        <v>381.35</v>
      </c>
      <c r="FE120" vm="6287">
        <f ca="1"/>
        <v>385.55</v>
      </c>
      <c r="FF120" vm="6288">
        <f ca="1"/>
        <v>385.7</v>
      </c>
      <c r="FG120" vm="6289">
        <f ca="1"/>
        <v>399.35</v>
      </c>
      <c r="FH120" vm="6210">
        <f ca="1"/>
        <v>398.6</v>
      </c>
      <c r="FI120" vm="6290">
        <f ca="1"/>
        <v>388.3</v>
      </c>
      <c r="FJ120" vm="6291">
        <f ca="1"/>
        <v>397.15</v>
      </c>
      <c r="FK120" vm="5527">
        <f ca="1"/>
        <v>414.55</v>
      </c>
      <c r="FL120" vm="6292">
        <f ca="1"/>
        <v>435.45</v>
      </c>
      <c r="FM120" vm="6293">
        <f ca="1"/>
        <v>432.3</v>
      </c>
      <c r="FN120" vm="6294">
        <f ca="1"/>
        <v>426.75</v>
      </c>
      <c r="FO120" vm="6295">
        <f ca="1"/>
        <v>430.2</v>
      </c>
      <c r="FP120" vm="6296">
        <f ca="1"/>
        <v>433.05</v>
      </c>
      <c r="FQ120" vm="5917">
        <f ca="1"/>
        <v>435.65</v>
      </c>
      <c r="FR120" vm="6297">
        <f ca="1"/>
        <v>429.45</v>
      </c>
      <c r="FS120" vm="6298">
        <f ca="1"/>
        <v>430.55</v>
      </c>
      <c r="FT120" vm="6299">
        <f ca="1"/>
        <v>427.3</v>
      </c>
      <c r="FU120" vm="6300">
        <f ca="1"/>
        <v>418.7</v>
      </c>
      <c r="FV120" vm="6301">
        <f ca="1"/>
        <v>424.85</v>
      </c>
      <c r="FW120" vm="6302">
        <f ca="1"/>
        <v>419.4</v>
      </c>
      <c r="FX120" vm="6303">
        <f ca="1"/>
        <v>423.05</v>
      </c>
      <c r="FY120" vm="6304">
        <f ca="1"/>
        <v>416.15</v>
      </c>
      <c r="FZ120" vm="6305">
        <f ca="1"/>
        <v>420.9</v>
      </c>
      <c r="GA120" vm="6306">
        <f ca="1"/>
        <v>414.8</v>
      </c>
      <c r="GB120" vm="6307">
        <f ca="1"/>
        <v>411.7</v>
      </c>
      <c r="GC120" vm="6308">
        <f ca="1"/>
        <v>415.05</v>
      </c>
      <c r="GD120" vm="6309">
        <f ca="1"/>
        <v>412.2</v>
      </c>
      <c r="GE120" vm="6310">
        <f ca="1"/>
        <v>401.85</v>
      </c>
      <c r="GF120" vm="6311">
        <f ca="1"/>
        <v>398.95</v>
      </c>
      <c r="GG120" vm="6312">
        <f ca="1"/>
        <v>400.9</v>
      </c>
      <c r="GH120" vm="6313">
        <f ca="1"/>
        <v>378.8</v>
      </c>
      <c r="GI120" vm="6314">
        <f ca="1"/>
        <v>374.2</v>
      </c>
      <c r="GJ120" vm="6315">
        <f ca="1"/>
        <v>370.3</v>
      </c>
      <c r="GK120" vm="6215">
        <f ca="1"/>
        <v>381.35</v>
      </c>
      <c r="GL120" vm="6316">
        <f ca="1"/>
        <v>389.25</v>
      </c>
      <c r="GM120" vm="6317">
        <f ca="1"/>
        <v>392.6</v>
      </c>
      <c r="GN120" vm="6318">
        <f ca="1"/>
        <v>386.8</v>
      </c>
      <c r="GO120" vm="6319">
        <f ca="1"/>
        <v>398.65</v>
      </c>
      <c r="GP120" vm="6319">
        <f ca="1"/>
        <v>398.65</v>
      </c>
      <c r="GQ120" vm="6320">
        <f ca="1"/>
        <v>395.05</v>
      </c>
      <c r="GR120" vm="6321">
        <f ca="1"/>
        <v>392.5</v>
      </c>
      <c r="GS120" vm="6242">
        <f ca="1"/>
        <v>390.9</v>
      </c>
      <c r="GT120" vm="6322">
        <f ca="1"/>
        <v>392.4</v>
      </c>
      <c r="GU120" vm="6323">
        <f ca="1"/>
        <v>391.75</v>
      </c>
      <c r="GV120" vm="6324">
        <f ca="1"/>
        <v>392.55</v>
      </c>
      <c r="GW120" vm="6325">
        <f ca="1"/>
        <v>399.85</v>
      </c>
      <c r="GX120" vm="6326">
        <f ca="1"/>
        <v>406.45</v>
      </c>
      <c r="GY120" vm="6327">
        <f ca="1"/>
        <v>401.25</v>
      </c>
      <c r="GZ120" vm="6328">
        <f ca="1"/>
        <v>395.65</v>
      </c>
      <c r="HA120" vm="6223">
        <f ca="1"/>
        <v>400</v>
      </c>
      <c r="HB120" vm="6329">
        <f ca="1"/>
        <v>398.55</v>
      </c>
      <c r="HC120" vm="6330">
        <f ca="1"/>
        <v>395.45</v>
      </c>
      <c r="HD120" vm="6331">
        <f ca="1"/>
        <v>399.95</v>
      </c>
      <c r="HE120" vm="6332">
        <f ca="1"/>
        <v>405.05</v>
      </c>
      <c r="HF120" vm="6333">
        <f ca="1"/>
        <v>406.05</v>
      </c>
      <c r="HG120" vm="6334">
        <f ca="1"/>
        <v>409.8</v>
      </c>
      <c r="HH120" vm="6335">
        <f ca="1"/>
        <v>408.9</v>
      </c>
      <c r="HI120" vm="6336">
        <f ca="1"/>
        <v>417.55</v>
      </c>
      <c r="HJ120" vm="6337">
        <f ca="1"/>
        <v>420.15</v>
      </c>
      <c r="HK120" vm="6338">
        <f ca="1"/>
        <v>410.65</v>
      </c>
      <c r="HL120" vm="6339">
        <f ca="1"/>
        <v>422</v>
      </c>
      <c r="HM120" vm="6340">
        <f ca="1"/>
        <v>409.85</v>
      </c>
      <c r="HN120" vm="6341">
        <f ca="1"/>
        <v>414.05</v>
      </c>
      <c r="HO120" vm="6342">
        <f ca="1"/>
        <v>400.6</v>
      </c>
      <c r="HP120" vm="6342">
        <f ca="1"/>
        <v>400.6</v>
      </c>
      <c r="HQ120" vm="6312">
        <f ca="1"/>
        <v>400.9</v>
      </c>
      <c r="HR120" vm="6343">
        <f ca="1"/>
        <v>397.5</v>
      </c>
      <c r="HS120" vm="6344">
        <f ca="1"/>
        <v>387.25</v>
      </c>
      <c r="HT120" vm="6345">
        <f ca="1"/>
        <v>379.05</v>
      </c>
      <c r="HU120" vm="6346">
        <f ca="1"/>
        <v>383.9</v>
      </c>
      <c r="HV120" vm="6347">
        <f ca="1"/>
        <v>397.8</v>
      </c>
      <c r="HW120" vm="6348">
        <f ca="1"/>
        <v>397.65</v>
      </c>
      <c r="HX120" vm="6349">
        <f ca="1"/>
        <v>392.2</v>
      </c>
      <c r="HY120" vm="6350">
        <f ca="1"/>
        <v>392.35</v>
      </c>
      <c r="HZ120" vm="6351">
        <f ca="1"/>
        <v>405.25</v>
      </c>
      <c r="IA120" vm="6352">
        <f ca="1"/>
        <v>415.25</v>
      </c>
      <c r="IB120" vm="6353">
        <f ca="1"/>
        <v>439.85</v>
      </c>
      <c r="IC120" vm="6354">
        <f ca="1"/>
        <v>437.4</v>
      </c>
      <c r="ID120" vm="6355">
        <f ca="1"/>
        <v>439.3</v>
      </c>
      <c r="IE120" vm="6356">
        <f ca="1"/>
        <v>462.45</v>
      </c>
      <c r="IF120" vm="5498">
        <f ca="1"/>
        <v>454.05</v>
      </c>
      <c r="IG120" vm="6357">
        <f ca="1"/>
        <v>459.5</v>
      </c>
      <c r="IH120" vm="5916">
        <f ca="1"/>
        <v>441.9</v>
      </c>
      <c r="II120" vm="6358">
        <f ca="1"/>
        <v>429.95</v>
      </c>
      <c r="IJ120" vm="6359">
        <f ca="1"/>
        <v>443.15</v>
      </c>
      <c r="IK120" vm="5525">
        <f ca="1"/>
        <v>431.4</v>
      </c>
      <c r="IL120" vm="6360">
        <f ca="1"/>
        <v>426.5</v>
      </c>
      <c r="IM120" vm="6361">
        <f ca="1"/>
        <v>430.05</v>
      </c>
      <c r="IN120" vm="6362">
        <f ca="1"/>
        <v>433.1</v>
      </c>
      <c r="IO120" vm="5484">
        <f ca="1"/>
        <v>434.4</v>
      </c>
      <c r="IP120" vm="5569">
        <f ca="1"/>
        <v>425.9</v>
      </c>
      <c r="IQ120" vm="5391">
        <f ca="1"/>
        <v>436.95</v>
      </c>
      <c r="IR120" vm="6363">
        <f ca="1"/>
        <v>443.75</v>
      </c>
    </row>
    <row r="121" spans="4:252" x14ac:dyDescent="0.35">
      <c r="D121" t="e" vm="28">
        <v>#VALUE!</v>
      </c>
      <c r="E121" cm="1" vm="6364">
        <f t="array" aca="1" ref="E121:IR121" ca="1">TRANSPOSE((_xlfn.STOCKHISTORY('Portfolio Tracker '!$C35,TODAY()-365,TODAY(),0,0,1)))</f>
        <v>12.35</v>
      </c>
      <c r="F121" vm="6365">
        <f ca="1"/>
        <v>12.5</v>
      </c>
      <c r="G121" vm="6366">
        <f ca="1"/>
        <v>12.45</v>
      </c>
      <c r="H121" vm="6367">
        <f ca="1"/>
        <v>12.4</v>
      </c>
      <c r="I121" vm="6368">
        <f ca="1"/>
        <v>12.65</v>
      </c>
      <c r="J121" vm="6369">
        <f ca="1"/>
        <v>12.15</v>
      </c>
      <c r="K121" vm="6370">
        <f ca="1"/>
        <v>12.25</v>
      </c>
      <c r="L121" vm="6364">
        <f ca="1"/>
        <v>12.35</v>
      </c>
      <c r="M121" vm="6370">
        <f ca="1"/>
        <v>12.25</v>
      </c>
      <c r="N121" vm="6371">
        <f ca="1"/>
        <v>12.1</v>
      </c>
      <c r="O121" vm="6370">
        <f ca="1"/>
        <v>12.25</v>
      </c>
      <c r="P121" vm="6371">
        <f ca="1"/>
        <v>12.1</v>
      </c>
      <c r="Q121" vm="6371">
        <f ca="1"/>
        <v>12.1</v>
      </c>
      <c r="R121" vm="6372">
        <f ca="1"/>
        <v>12</v>
      </c>
      <c r="S121" vm="6371">
        <f ca="1"/>
        <v>12.1</v>
      </c>
      <c r="T121" vm="6366">
        <f ca="1"/>
        <v>12.45</v>
      </c>
      <c r="U121" vm="6367">
        <f ca="1"/>
        <v>12.4</v>
      </c>
      <c r="V121" vm="6373">
        <f ca="1"/>
        <v>12.7</v>
      </c>
      <c r="W121" vm="6374">
        <f ca="1"/>
        <v>12.9</v>
      </c>
      <c r="X121" vm="6373">
        <f ca="1"/>
        <v>12.7</v>
      </c>
      <c r="Y121" vm="6375">
        <f ca="1"/>
        <v>12.8</v>
      </c>
      <c r="Z121" vm="6373">
        <f ca="1"/>
        <v>12.7</v>
      </c>
      <c r="AA121" vm="6376">
        <f ca="1"/>
        <v>12.55</v>
      </c>
      <c r="AB121" vm="6367">
        <f ca="1"/>
        <v>12.4</v>
      </c>
      <c r="AC121" vm="6377">
        <f ca="1"/>
        <v>12.6</v>
      </c>
      <c r="AD121" vm="6378">
        <f ca="1"/>
        <v>13.2</v>
      </c>
      <c r="AE121" vm="6379">
        <f ca="1"/>
        <v>12.95</v>
      </c>
      <c r="AF121" vm="6368">
        <f ca="1"/>
        <v>12.65</v>
      </c>
      <c r="AG121" vm="6376">
        <f ca="1"/>
        <v>12.55</v>
      </c>
      <c r="AH121" vm="6368">
        <f ca="1"/>
        <v>12.65</v>
      </c>
      <c r="AI121" vm="6380">
        <f ca="1"/>
        <v>13</v>
      </c>
      <c r="AJ121" vm="6381">
        <f ca="1"/>
        <v>14.2</v>
      </c>
      <c r="AK121" vm="6382">
        <f ca="1"/>
        <v>14.65</v>
      </c>
      <c r="AL121" vm="6381">
        <f ca="1"/>
        <v>14.2</v>
      </c>
      <c r="AM121" vm="6383">
        <f ca="1"/>
        <v>14.95</v>
      </c>
      <c r="AN121" vm="6383">
        <f ca="1"/>
        <v>14.95</v>
      </c>
      <c r="AO121" vm="6384">
        <f ca="1"/>
        <v>14.6</v>
      </c>
      <c r="AP121" vm="6385">
        <f ca="1"/>
        <v>13.85</v>
      </c>
      <c r="AQ121" vm="6380">
        <f ca="1"/>
        <v>13</v>
      </c>
      <c r="AR121" vm="6379">
        <f ca="1"/>
        <v>12.95</v>
      </c>
      <c r="AS121" vm="6386">
        <f ca="1"/>
        <v>14.4</v>
      </c>
      <c r="AT121" vm="6382">
        <f ca="1"/>
        <v>14.65</v>
      </c>
      <c r="AU121" vm="6384">
        <f ca="1"/>
        <v>14.6</v>
      </c>
      <c r="AV121" vm="6387">
        <f ca="1"/>
        <v>14</v>
      </c>
      <c r="AW121" vm="6388">
        <f ca="1"/>
        <v>14.35</v>
      </c>
      <c r="AX121" vm="6389">
        <f ca="1"/>
        <v>14.05</v>
      </c>
      <c r="AY121" vm="6390">
        <f ca="1"/>
        <v>14.15</v>
      </c>
      <c r="AZ121" vm="6391">
        <f ca="1"/>
        <v>14.1</v>
      </c>
      <c r="BA121" vm="6389">
        <f ca="1"/>
        <v>14.05</v>
      </c>
      <c r="BB121" vm="6391">
        <f ca="1"/>
        <v>14.1</v>
      </c>
      <c r="BC121" vm="6387">
        <f ca="1"/>
        <v>14</v>
      </c>
      <c r="BD121" vm="6387">
        <f ca="1"/>
        <v>14</v>
      </c>
      <c r="BE121" vm="6392">
        <f ca="1"/>
        <v>13.9</v>
      </c>
      <c r="BF121" vm="6393">
        <f ca="1"/>
        <v>13.8</v>
      </c>
      <c r="BG121" vm="6392">
        <f ca="1"/>
        <v>13.9</v>
      </c>
      <c r="BH121" vm="6394">
        <f ca="1"/>
        <v>13.95</v>
      </c>
      <c r="BI121" vm="6393">
        <f ca="1"/>
        <v>13.8</v>
      </c>
      <c r="BJ121" vm="6395">
        <f ca="1"/>
        <v>13.6</v>
      </c>
      <c r="BK121" vm="6396">
        <f ca="1"/>
        <v>13.45</v>
      </c>
      <c r="BL121" vm="6396">
        <f ca="1"/>
        <v>13.45</v>
      </c>
      <c r="BM121" vm="6397">
        <f ca="1"/>
        <v>13.4</v>
      </c>
      <c r="BN121" vm="6396">
        <f ca="1"/>
        <v>13.45</v>
      </c>
      <c r="BO121" vm="6398">
        <f ca="1"/>
        <v>13.5</v>
      </c>
      <c r="BP121" vm="6395">
        <f ca="1"/>
        <v>13.6</v>
      </c>
      <c r="BQ121" vm="6399">
        <f ca="1"/>
        <v>13.7</v>
      </c>
      <c r="BR121" vm="6393">
        <f ca="1"/>
        <v>13.8</v>
      </c>
      <c r="BS121" vm="6399">
        <f ca="1"/>
        <v>13.7</v>
      </c>
      <c r="BT121" vm="6395">
        <f ca="1"/>
        <v>13.6</v>
      </c>
      <c r="BU121" vm="6400">
        <f ca="1"/>
        <v>13.75</v>
      </c>
      <c r="BV121" vm="6401">
        <f ca="1"/>
        <v>13.65</v>
      </c>
      <c r="BW121" vm="6399">
        <f ca="1"/>
        <v>13.7</v>
      </c>
      <c r="BX121" vm="6399">
        <f ca="1"/>
        <v>13.7</v>
      </c>
      <c r="BY121" vm="6401">
        <f ca="1"/>
        <v>13.65</v>
      </c>
      <c r="BZ121" vm="6402">
        <f ca="1"/>
        <v>13.3</v>
      </c>
      <c r="CA121" vm="6403">
        <f ca="1"/>
        <v>11.65</v>
      </c>
      <c r="CB121" vm="6371">
        <f ca="1"/>
        <v>12.1</v>
      </c>
      <c r="CC121" vm="6385">
        <f ca="1"/>
        <v>13.85</v>
      </c>
      <c r="CD121" vm="6404">
        <f ca="1"/>
        <v>13.55</v>
      </c>
      <c r="CE121" vm="6405">
        <f ca="1"/>
        <v>13.25</v>
      </c>
      <c r="CF121" vm="6405">
        <f ca="1"/>
        <v>13.25</v>
      </c>
      <c r="CG121" vm="6405">
        <f ca="1"/>
        <v>13.25</v>
      </c>
      <c r="CH121" vm="6374">
        <f ca="1"/>
        <v>12.9</v>
      </c>
      <c r="CI121" vm="6406">
        <f ca="1"/>
        <v>12.85</v>
      </c>
      <c r="CJ121" vm="6374">
        <f ca="1"/>
        <v>12.9</v>
      </c>
      <c r="CK121" vm="6378">
        <f ca="1"/>
        <v>13.2</v>
      </c>
      <c r="CL121" vm="6380">
        <f ca="1"/>
        <v>13</v>
      </c>
      <c r="CM121" vm="6407">
        <f ca="1"/>
        <v>13.05</v>
      </c>
      <c r="CN121" vm="6380">
        <f ca="1"/>
        <v>13</v>
      </c>
      <c r="CO121" vm="6380">
        <f ca="1"/>
        <v>13</v>
      </c>
      <c r="CP121" vm="6407">
        <f ca="1"/>
        <v>13.05</v>
      </c>
      <c r="CQ121" vm="6396">
        <f ca="1"/>
        <v>13.45</v>
      </c>
      <c r="CR121" vm="6397">
        <f ca="1"/>
        <v>13.4</v>
      </c>
      <c r="CS121" vm="6402">
        <f ca="1"/>
        <v>13.3</v>
      </c>
      <c r="CT121" vm="6407">
        <f ca="1"/>
        <v>13.05</v>
      </c>
      <c r="CU121" vm="6407">
        <f ca="1"/>
        <v>13.05</v>
      </c>
      <c r="CV121" vm="6408">
        <f ca="1"/>
        <v>13.15</v>
      </c>
      <c r="CW121" vm="6409">
        <f ca="1"/>
        <v>13.1</v>
      </c>
      <c r="CX121" vm="6410">
        <f ca="1"/>
        <v>13.35</v>
      </c>
      <c r="CY121" vm="6410">
        <f ca="1"/>
        <v>13.35</v>
      </c>
      <c r="CZ121" vm="6378">
        <f ca="1"/>
        <v>13.2</v>
      </c>
      <c r="DA121" vm="6408">
        <f ca="1"/>
        <v>13.15</v>
      </c>
      <c r="DB121" vm="6407">
        <f ca="1"/>
        <v>13.05</v>
      </c>
      <c r="DC121" vm="6379">
        <f ca="1"/>
        <v>12.95</v>
      </c>
      <c r="DD121" vm="6379">
        <f ca="1"/>
        <v>12.95</v>
      </c>
      <c r="DE121" vm="6380">
        <f ca="1"/>
        <v>13</v>
      </c>
      <c r="DF121" vm="6380">
        <f ca="1"/>
        <v>13</v>
      </c>
      <c r="DG121" vm="6407">
        <f ca="1"/>
        <v>13.05</v>
      </c>
      <c r="DH121" vm="6379">
        <f ca="1"/>
        <v>12.95</v>
      </c>
      <c r="DI121" vm="6405">
        <f ca="1"/>
        <v>13.25</v>
      </c>
      <c r="DJ121" vm="6397">
        <f ca="1"/>
        <v>13.4</v>
      </c>
      <c r="DK121" vm="6380">
        <f ca="1"/>
        <v>13</v>
      </c>
      <c r="DL121" vm="6380">
        <f ca="1"/>
        <v>13</v>
      </c>
      <c r="DM121" vm="6374">
        <f ca="1"/>
        <v>12.9</v>
      </c>
      <c r="DN121" vm="6389">
        <f ca="1"/>
        <v>14.05</v>
      </c>
      <c r="DO121" vm="6389">
        <f ca="1"/>
        <v>14.05</v>
      </c>
      <c r="DP121" vm="6394">
        <f ca="1"/>
        <v>13.95</v>
      </c>
      <c r="DQ121" vm="6381">
        <f ca="1"/>
        <v>14.2</v>
      </c>
      <c r="DR121" vm="6411">
        <f ca="1"/>
        <v>14.5</v>
      </c>
      <c r="DS121" vm="6384">
        <f ca="1"/>
        <v>14.6</v>
      </c>
      <c r="DT121" vm="6388">
        <f ca="1"/>
        <v>14.35</v>
      </c>
      <c r="DU121" vm="6396">
        <f ca="1"/>
        <v>13.45</v>
      </c>
      <c r="DV121" vm="6407">
        <f ca="1"/>
        <v>13.05</v>
      </c>
      <c r="DW121" vm="6393">
        <f ca="1"/>
        <v>13.8</v>
      </c>
      <c r="DX121" vm="6392">
        <f ca="1"/>
        <v>13.9</v>
      </c>
      <c r="DY121" vm="6401">
        <f ca="1"/>
        <v>13.65</v>
      </c>
      <c r="DZ121" vm="6385">
        <f ca="1"/>
        <v>13.85</v>
      </c>
      <c r="EA121" vm="6401">
        <f ca="1"/>
        <v>13.65</v>
      </c>
      <c r="EB121" vm="6398">
        <f ca="1"/>
        <v>13.5</v>
      </c>
      <c r="EC121" vm="6412">
        <f ca="1"/>
        <v>15.2</v>
      </c>
      <c r="ED121" vm="6413">
        <f ca="1"/>
        <v>15.6</v>
      </c>
      <c r="EE121" vm="6414">
        <f ca="1"/>
        <v>15.75</v>
      </c>
      <c r="EF121" vm="6415">
        <f ca="1"/>
        <v>16.7</v>
      </c>
      <c r="EG121" vm="6416">
        <f ca="1"/>
        <v>16.75</v>
      </c>
      <c r="EH121" vm="6417">
        <f ca="1"/>
        <v>16.05</v>
      </c>
      <c r="EI121" vm="6418">
        <f ca="1"/>
        <v>16.350000000000001</v>
      </c>
      <c r="EJ121" vm="6419">
        <f ca="1"/>
        <v>16.3</v>
      </c>
      <c r="EK121" vm="6420">
        <f ca="1"/>
        <v>16.600000000000001</v>
      </c>
      <c r="EL121" vm="6421">
        <f ca="1"/>
        <v>16.95</v>
      </c>
      <c r="EM121" vm="6422">
        <f ca="1"/>
        <v>16.649999999999999</v>
      </c>
      <c r="EN121" vm="6419">
        <f ca="1"/>
        <v>16.3</v>
      </c>
      <c r="EO121" vm="6423">
        <f ca="1"/>
        <v>16.149999999999999</v>
      </c>
      <c r="EP121" vm="6424">
        <f ca="1"/>
        <v>15.65</v>
      </c>
      <c r="EQ121" vm="6425">
        <f ca="1"/>
        <v>16.100000000000001</v>
      </c>
      <c r="ER121" vm="6426">
        <f ca="1"/>
        <v>16.45</v>
      </c>
      <c r="ES121" vm="6427">
        <f ca="1"/>
        <v>16.5</v>
      </c>
      <c r="ET121" vm="6428">
        <f ca="1"/>
        <v>16.2</v>
      </c>
      <c r="EU121" vm="6417">
        <f ca="1"/>
        <v>16.05</v>
      </c>
      <c r="EV121" vm="6429">
        <f ca="1"/>
        <v>15.35</v>
      </c>
      <c r="EW121" vm="6413">
        <f ca="1"/>
        <v>15.6</v>
      </c>
      <c r="EX121" vm="6430">
        <f ca="1"/>
        <v>15.7</v>
      </c>
      <c r="EY121" vm="6429">
        <f ca="1"/>
        <v>15.35</v>
      </c>
      <c r="EZ121" vm="6431">
        <f ca="1"/>
        <v>15.4</v>
      </c>
      <c r="FA121" vm="6432">
        <f ca="1"/>
        <v>15.5</v>
      </c>
      <c r="FB121" vm="6433">
        <f ca="1"/>
        <v>15.45</v>
      </c>
      <c r="FC121" vm="6434">
        <f ca="1"/>
        <v>17.100000000000001</v>
      </c>
      <c r="FD121" vm="6435">
        <f ca="1"/>
        <v>18.649999999999999</v>
      </c>
      <c r="FE121" vm="6436">
        <f ca="1"/>
        <v>17.95</v>
      </c>
      <c r="FF121" vm="6437">
        <f ca="1"/>
        <v>17.45</v>
      </c>
      <c r="FG121" vm="6438">
        <f ca="1"/>
        <v>18.8</v>
      </c>
      <c r="FH121" vm="6435">
        <f ca="1"/>
        <v>18.649999999999999</v>
      </c>
      <c r="FI121" vm="6439">
        <f ca="1"/>
        <v>17.05</v>
      </c>
      <c r="FJ121" vm="6440">
        <f ca="1"/>
        <v>17.850000000000001</v>
      </c>
      <c r="FK121" vm="6441">
        <f ca="1"/>
        <v>17.8</v>
      </c>
      <c r="FL121" vm="6442">
        <f ca="1"/>
        <v>18.5</v>
      </c>
      <c r="FM121" vm="6443">
        <f ca="1"/>
        <v>18.149999999999999</v>
      </c>
      <c r="FN121" vm="6440">
        <f ca="1"/>
        <v>17.850000000000001</v>
      </c>
      <c r="FO121" vm="6444">
        <f ca="1"/>
        <v>18</v>
      </c>
      <c r="FP121" vm="6445">
        <f ca="1"/>
        <v>19</v>
      </c>
      <c r="FQ121" vm="6446">
        <f ca="1"/>
        <v>19.2</v>
      </c>
      <c r="FR121" vm="6447">
        <f ca="1"/>
        <v>18.95</v>
      </c>
      <c r="FS121" vm="6438">
        <f ca="1"/>
        <v>18.8</v>
      </c>
      <c r="FT121" vm="6448">
        <f ca="1"/>
        <v>19.149999999999999</v>
      </c>
      <c r="FU121" vm="6449">
        <f ca="1"/>
        <v>19.75</v>
      </c>
      <c r="FV121" vm="6450">
        <f ca="1"/>
        <v>19.55</v>
      </c>
      <c r="FW121" vm="6451">
        <f ca="1"/>
        <v>20.05</v>
      </c>
      <c r="FX121" vm="6452">
        <f ca="1"/>
        <v>20.100000000000001</v>
      </c>
      <c r="FY121" vm="6453">
        <f ca="1"/>
        <v>19.649999999999999</v>
      </c>
      <c r="FZ121" vm="6454">
        <f ca="1"/>
        <v>19.100000000000001</v>
      </c>
      <c r="GA121" vm="6455">
        <f ca="1"/>
        <v>18.45</v>
      </c>
      <c r="GB121" vm="6456">
        <f ca="1"/>
        <v>18.100000000000001</v>
      </c>
      <c r="GC121" vm="6438">
        <f ca="1"/>
        <v>18.8</v>
      </c>
      <c r="GD121" vm="6445">
        <f ca="1"/>
        <v>19</v>
      </c>
      <c r="GE121" vm="6457">
        <f ca="1"/>
        <v>18.7</v>
      </c>
      <c r="GF121" vm="6456">
        <f ca="1"/>
        <v>18.100000000000001</v>
      </c>
      <c r="GG121" vm="6458">
        <f ca="1"/>
        <v>18.3</v>
      </c>
      <c r="GH121" vm="6448">
        <f ca="1"/>
        <v>19.149999999999999</v>
      </c>
      <c r="GI121" vm="6459">
        <f ca="1"/>
        <v>19.25</v>
      </c>
      <c r="GJ121" vm="6460">
        <f ca="1"/>
        <v>18.850000000000001</v>
      </c>
      <c r="GK121" vm="6461">
        <f ca="1"/>
        <v>21.5</v>
      </c>
      <c r="GL121" vm="6462">
        <f ca="1"/>
        <v>21</v>
      </c>
      <c r="GM121" vm="6463">
        <f ca="1"/>
        <v>22.7</v>
      </c>
      <c r="GN121" vm="6464">
        <f ca="1"/>
        <v>21.95</v>
      </c>
      <c r="GO121" vm="6465">
        <f ca="1"/>
        <v>24.4</v>
      </c>
      <c r="GP121" vm="6466">
        <f ca="1"/>
        <v>26.2</v>
      </c>
      <c r="GQ121" vm="6467">
        <f ca="1"/>
        <v>24.45</v>
      </c>
      <c r="GR121" vm="6468">
        <f ca="1"/>
        <v>23.4</v>
      </c>
      <c r="GS121" vm="6468">
        <f ca="1"/>
        <v>23.4</v>
      </c>
      <c r="GT121" vm="6469">
        <f ca="1"/>
        <v>22.05</v>
      </c>
      <c r="GU121" vm="6470">
        <f ca="1"/>
        <v>23.25</v>
      </c>
      <c r="GV121" vm="6471">
        <f ca="1"/>
        <v>23.6</v>
      </c>
      <c r="GW121" vm="6472">
        <f ca="1"/>
        <v>23.7</v>
      </c>
      <c r="GX121" vm="6473">
        <f ca="1"/>
        <v>24.3</v>
      </c>
      <c r="GY121" vm="6474">
        <f ca="1"/>
        <v>23.9</v>
      </c>
      <c r="GZ121" vm="6475">
        <f ca="1"/>
        <v>22.9</v>
      </c>
      <c r="HA121" vm="6476">
        <f ca="1"/>
        <v>22.8</v>
      </c>
      <c r="HB121" vm="6477">
        <f ca="1"/>
        <v>22.85</v>
      </c>
      <c r="HC121" vm="6463">
        <f ca="1"/>
        <v>22.7</v>
      </c>
      <c r="HD121" vm="6478">
        <f ca="1"/>
        <v>22.1</v>
      </c>
      <c r="HE121" vm="6479">
        <f ca="1"/>
        <v>21.3</v>
      </c>
      <c r="HF121" vm="6480">
        <f ca="1"/>
        <v>21.85</v>
      </c>
      <c r="HG121" vm="6481">
        <f ca="1"/>
        <v>21.75</v>
      </c>
      <c r="HH121" vm="6482">
        <f ca="1"/>
        <v>22</v>
      </c>
      <c r="HI121" vm="6483">
        <f ca="1"/>
        <v>21.45</v>
      </c>
      <c r="HJ121" vm="6484">
        <f ca="1"/>
        <v>20.8</v>
      </c>
      <c r="HK121" vm="6485">
        <f ca="1"/>
        <v>19.95</v>
      </c>
      <c r="HL121" vm="6486">
        <f ca="1"/>
        <v>20.2</v>
      </c>
      <c r="HM121" vm="6460">
        <f ca="1"/>
        <v>18.850000000000001</v>
      </c>
      <c r="HN121" vm="6487">
        <f ca="1"/>
        <v>17.899999999999999</v>
      </c>
      <c r="HO121" vm="6488">
        <f ca="1"/>
        <v>16.399999999999999</v>
      </c>
      <c r="HP121" vm="6489">
        <f ca="1"/>
        <v>17.7</v>
      </c>
      <c r="HQ121" vm="6444">
        <f ca="1"/>
        <v>18</v>
      </c>
      <c r="HR121" vm="6447">
        <f ca="1"/>
        <v>18.95</v>
      </c>
      <c r="HS121" vm="6490">
        <f ca="1"/>
        <v>19.3</v>
      </c>
      <c r="HT121" vm="6442">
        <f ca="1"/>
        <v>18.5</v>
      </c>
      <c r="HU121" vm="6491">
        <f ca="1"/>
        <v>19.05</v>
      </c>
      <c r="HV121" vm="6448">
        <f ca="1"/>
        <v>19.149999999999999</v>
      </c>
      <c r="HW121" vm="6442">
        <f ca="1"/>
        <v>18.5</v>
      </c>
      <c r="HX121" vm="6442">
        <f ca="1"/>
        <v>18.5</v>
      </c>
      <c r="HY121" vm="6457">
        <f ca="1"/>
        <v>18.7</v>
      </c>
      <c r="HZ121" vm="6492">
        <f ca="1"/>
        <v>19.399999999999999</v>
      </c>
      <c r="IA121" vm="6493">
        <f ca="1"/>
        <v>19.45</v>
      </c>
      <c r="IB121" vm="6494">
        <f ca="1"/>
        <v>20.3</v>
      </c>
      <c r="IC121" vm="6495">
        <f ca="1"/>
        <v>20.5</v>
      </c>
      <c r="ID121" vm="6496">
        <f ca="1"/>
        <v>20.95</v>
      </c>
      <c r="IE121" vm="6497">
        <f ca="1"/>
        <v>20</v>
      </c>
      <c r="IF121" vm="6498">
        <f ca="1"/>
        <v>19.8</v>
      </c>
      <c r="IG121" vm="6492">
        <f ca="1"/>
        <v>19.399999999999999</v>
      </c>
      <c r="IH121" vm="6492">
        <f ca="1"/>
        <v>19.399999999999999</v>
      </c>
      <c r="II121" vm="6499">
        <f ca="1"/>
        <v>18.600000000000001</v>
      </c>
      <c r="IJ121" vm="6460">
        <f ca="1"/>
        <v>18.850000000000001</v>
      </c>
      <c r="IK121" vm="6445">
        <f ca="1"/>
        <v>19</v>
      </c>
      <c r="IL121" vm="6460">
        <f ca="1"/>
        <v>18.850000000000001</v>
      </c>
      <c r="IM121" vm="6460">
        <f ca="1"/>
        <v>18.850000000000001</v>
      </c>
      <c r="IN121" vm="6500">
        <f ca="1"/>
        <v>19.7</v>
      </c>
      <c r="IO121" vm="6501">
        <f ca="1"/>
        <v>19.350000000000001</v>
      </c>
      <c r="IP121" vm="6502">
        <f ca="1"/>
        <v>20.45</v>
      </c>
      <c r="IQ121" vm="6479">
        <f ca="1"/>
        <v>21.3</v>
      </c>
      <c r="IR121" vm="6503">
        <f ca="1"/>
        <v>21.15</v>
      </c>
    </row>
    <row r="122" spans="4:252" x14ac:dyDescent="0.35">
      <c r="D122" t="e" vm="29">
        <v>#VALUE!</v>
      </c>
      <c r="E122" cm="1" vm="6504">
        <f t="array" aca="1" ref="E122:IR122" ca="1">TRANSPOSE((_xlfn.STOCKHISTORY('Portfolio Tracker '!$C36,TODAY()-365,TODAY(),0,0,1)))</f>
        <v>1087.4000000000001</v>
      </c>
      <c r="F122" vm="6505">
        <f ca="1"/>
        <v>1083.5</v>
      </c>
      <c r="G122" vm="6506">
        <f ca="1"/>
        <v>1075.6500000000001</v>
      </c>
      <c r="H122" vm="6507">
        <f ca="1"/>
        <v>1094.3499999999999</v>
      </c>
      <c r="I122" vm="6508">
        <f ca="1"/>
        <v>1098.3</v>
      </c>
      <c r="J122" vm="6509">
        <f ca="1"/>
        <v>1081.7</v>
      </c>
      <c r="K122" vm="6510">
        <f ca="1"/>
        <v>1072.75</v>
      </c>
      <c r="L122" vm="6511">
        <f ca="1"/>
        <v>1090.3499999999999</v>
      </c>
      <c r="M122" vm="752">
        <f ca="1"/>
        <v>1067</v>
      </c>
      <c r="N122" vm="6512">
        <f ca="1"/>
        <v>1074.1500000000001</v>
      </c>
      <c r="O122" vm="6513">
        <f ca="1"/>
        <v>1060.6500000000001</v>
      </c>
      <c r="P122" vm="6514">
        <f ca="1"/>
        <v>1061.7</v>
      </c>
      <c r="Q122" vm="3717">
        <f ca="1"/>
        <v>1066.8</v>
      </c>
      <c r="R122" vm="757">
        <f ca="1"/>
        <v>1072.3</v>
      </c>
      <c r="S122" vm="6515">
        <f ca="1"/>
        <v>1071.3</v>
      </c>
      <c r="T122" vm="6516">
        <f ca="1"/>
        <v>1070.5999999999999</v>
      </c>
      <c r="U122" vm="6517">
        <f ca="1"/>
        <v>1061.95</v>
      </c>
      <c r="V122" vm="6518">
        <f ca="1"/>
        <v>1064.8</v>
      </c>
      <c r="W122" vm="6519">
        <f ca="1"/>
        <v>1084.0999999999999</v>
      </c>
      <c r="X122" vm="864">
        <f ca="1"/>
        <v>1090.55</v>
      </c>
      <c r="Y122" vm="6520">
        <f ca="1"/>
        <v>1074.2</v>
      </c>
      <c r="Z122" vm="6521">
        <f ca="1"/>
        <v>1083.6500000000001</v>
      </c>
      <c r="AA122" vm="6522">
        <f ca="1"/>
        <v>1101.75</v>
      </c>
      <c r="AB122" vm="6523">
        <f ca="1"/>
        <v>1100.95</v>
      </c>
      <c r="AC122" vm="6524">
        <f ca="1"/>
        <v>1109.05</v>
      </c>
      <c r="AD122" vm="6525">
        <f ca="1"/>
        <v>1138.0999999999999</v>
      </c>
      <c r="AE122" vm="6526">
        <f ca="1"/>
        <v>1166.2</v>
      </c>
      <c r="AF122" vm="6527">
        <f ca="1"/>
        <v>1167.8</v>
      </c>
      <c r="AG122" vm="6528">
        <f ca="1"/>
        <v>1173.0999999999999</v>
      </c>
      <c r="AH122" vm="6529">
        <f ca="1"/>
        <v>1176.3499999999999</v>
      </c>
      <c r="AI122" vm="6530">
        <f ca="1"/>
        <v>1191.55</v>
      </c>
      <c r="AJ122" vm="6531">
        <f ca="1"/>
        <v>1200.95</v>
      </c>
      <c r="AK122" vm="6532">
        <f ca="1"/>
        <v>1186.05</v>
      </c>
      <c r="AL122" vm="6533">
        <f ca="1"/>
        <v>1178.5</v>
      </c>
      <c r="AM122" vm="3746">
        <f ca="1"/>
        <v>1168.6500000000001</v>
      </c>
      <c r="AN122" vm="6534">
        <f ca="1"/>
        <v>1176.95</v>
      </c>
      <c r="AO122" vm="6535">
        <f ca="1"/>
        <v>1221.1500000000001</v>
      </c>
      <c r="AP122" vm="6536">
        <f ca="1"/>
        <v>1183.75</v>
      </c>
      <c r="AQ122" vm="6537">
        <f ca="1"/>
        <v>1237</v>
      </c>
      <c r="AR122" vm="6538">
        <f ca="1"/>
        <v>1241.4000000000001</v>
      </c>
      <c r="AS122" vm="1425">
        <f ca="1"/>
        <v>1208.1500000000001</v>
      </c>
      <c r="AT122" vm="6539">
        <f ca="1"/>
        <v>1224.3499999999999</v>
      </c>
      <c r="AU122" vm="6540">
        <f ca="1"/>
        <v>1205.5</v>
      </c>
      <c r="AV122" vm="6541">
        <f ca="1"/>
        <v>1188.3</v>
      </c>
      <c r="AW122" vm="6542">
        <f ca="1"/>
        <v>1186.5999999999999</v>
      </c>
      <c r="AX122" vm="6543">
        <f ca="1"/>
        <v>1235.5</v>
      </c>
      <c r="AY122" vm="6544">
        <f ca="1"/>
        <v>1237.5999999999999</v>
      </c>
      <c r="AZ122" vm="6545">
        <f ca="1"/>
        <v>1217.1500000000001</v>
      </c>
      <c r="BA122" vm="6546">
        <f ca="1"/>
        <v>1245.2</v>
      </c>
      <c r="BB122" vm="1856">
        <f ca="1"/>
        <v>1299.75</v>
      </c>
      <c r="BC122" vm="6547">
        <f ca="1"/>
        <v>1337.35</v>
      </c>
      <c r="BD122" vm="6548">
        <f ca="1"/>
        <v>1338.9</v>
      </c>
      <c r="BE122" vm="6549">
        <f ca="1"/>
        <v>1427.5</v>
      </c>
      <c r="BF122" vm="6550">
        <f ca="1"/>
        <v>1480.9</v>
      </c>
      <c r="BG122" vm="6551">
        <f ca="1"/>
        <v>1438.5</v>
      </c>
      <c r="BH122" vm="6552">
        <f ca="1"/>
        <v>1455.65</v>
      </c>
      <c r="BI122" vm="6553">
        <f ca="1"/>
        <v>1458.75</v>
      </c>
      <c r="BJ122" vm="6554">
        <f ca="1"/>
        <v>1454.1</v>
      </c>
      <c r="BK122" vm="6555">
        <f ca="1"/>
        <v>1452.05</v>
      </c>
      <c r="BL122" vm="6556">
        <f ca="1"/>
        <v>1493.9</v>
      </c>
      <c r="BM122" vm="6557">
        <f ca="1"/>
        <v>1497.55</v>
      </c>
      <c r="BN122" vm="6558">
        <f ca="1"/>
        <v>1496.05</v>
      </c>
      <c r="BO122" vm="6559">
        <f ca="1"/>
        <v>1484</v>
      </c>
      <c r="BP122" vm="6560">
        <f ca="1"/>
        <v>1499.95</v>
      </c>
      <c r="BQ122" vm="6561">
        <f ca="1"/>
        <v>1516.15</v>
      </c>
      <c r="BR122" vm="6562">
        <f ca="1"/>
        <v>1503</v>
      </c>
      <c r="BS122" vm="6563">
        <f ca="1"/>
        <v>1540.65</v>
      </c>
      <c r="BT122" vm="6564">
        <f ca="1"/>
        <v>1537.15</v>
      </c>
      <c r="BU122" vm="6565">
        <f ca="1"/>
        <v>1586.7</v>
      </c>
      <c r="BV122" vm="6566">
        <f ca="1"/>
        <v>1595.85</v>
      </c>
      <c r="BW122" vm="3982">
        <f ca="1"/>
        <v>1601.75</v>
      </c>
      <c r="BX122" vm="6567">
        <f ca="1"/>
        <v>1582.65</v>
      </c>
      <c r="BY122" vm="6568">
        <f ca="1"/>
        <v>1689.15</v>
      </c>
      <c r="BZ122" vm="6569">
        <f ca="1"/>
        <v>1654.35</v>
      </c>
      <c r="CA122" vm="6570">
        <f ca="1"/>
        <v>1662.1</v>
      </c>
      <c r="CB122" vm="6571">
        <f ca="1"/>
        <v>1658.15</v>
      </c>
      <c r="CC122" vm="6572">
        <f ca="1"/>
        <v>1657.95</v>
      </c>
      <c r="CD122" vm="6573">
        <f ca="1"/>
        <v>1652</v>
      </c>
      <c r="CE122" vm="6574">
        <f ca="1"/>
        <v>1654.3</v>
      </c>
      <c r="CF122" vm="4104">
        <f ca="1"/>
        <v>1657</v>
      </c>
      <c r="CG122" vm="6575">
        <f ca="1"/>
        <v>1741.05</v>
      </c>
      <c r="CH122" vm="6576">
        <f ca="1"/>
        <v>1775.3</v>
      </c>
      <c r="CI122" vm="6577">
        <f ca="1"/>
        <v>1761.35</v>
      </c>
      <c r="CJ122" vm="6578">
        <f ca="1"/>
        <v>1742.4</v>
      </c>
      <c r="CK122" vm="6579">
        <f ca="1"/>
        <v>1717.4</v>
      </c>
      <c r="CL122" vm="6580">
        <f ca="1"/>
        <v>1748.7</v>
      </c>
      <c r="CM122" vm="6581">
        <f ca="1"/>
        <v>1730.7</v>
      </c>
      <c r="CN122" vm="6582">
        <f ca="1"/>
        <v>1759.35</v>
      </c>
      <c r="CO122" vm="6583">
        <f ca="1"/>
        <v>1767.65</v>
      </c>
      <c r="CP122" vm="6584">
        <f ca="1"/>
        <v>1758.85</v>
      </c>
      <c r="CQ122" vm="6585">
        <f ca="1"/>
        <v>1741.65</v>
      </c>
      <c r="CR122" vm="6586">
        <f ca="1"/>
        <v>1734.85</v>
      </c>
      <c r="CS122" vm="6587">
        <f ca="1"/>
        <v>1744.1</v>
      </c>
      <c r="CT122" vm="6588">
        <f ca="1"/>
        <v>1632.6</v>
      </c>
      <c r="CU122" vm="6589">
        <f ca="1"/>
        <v>1717.7</v>
      </c>
      <c r="CV122" vm="6590">
        <f ca="1"/>
        <v>1709.05</v>
      </c>
      <c r="CW122" vm="6591">
        <f ca="1"/>
        <v>1715.7</v>
      </c>
      <c r="CX122" vm="6592">
        <f ca="1"/>
        <v>1690.55</v>
      </c>
      <c r="CY122" vm="6593">
        <f ca="1"/>
        <v>1722.15</v>
      </c>
      <c r="CZ122" vm="6594">
        <f ca="1"/>
        <v>1689.5</v>
      </c>
      <c r="DA122" vm="6595">
        <f ca="1"/>
        <v>1685.55</v>
      </c>
      <c r="DB122" vm="6596">
        <f ca="1"/>
        <v>1709.15</v>
      </c>
      <c r="DC122" vm="6597">
        <f ca="1"/>
        <v>1773.8</v>
      </c>
      <c r="DD122" vm="6598">
        <f ca="1"/>
        <v>1897.05</v>
      </c>
      <c r="DE122" vm="6599">
        <f ca="1"/>
        <v>2037.7</v>
      </c>
      <c r="DF122" vm="6600">
        <f ca="1"/>
        <v>1994.55</v>
      </c>
      <c r="DG122" vm="6601">
        <f ca="1"/>
        <v>2117</v>
      </c>
      <c r="DH122" vm="6602">
        <f ca="1"/>
        <v>2208.75</v>
      </c>
      <c r="DI122" vm="6603">
        <f ca="1"/>
        <v>2124</v>
      </c>
      <c r="DJ122" vm="6604">
        <f ca="1"/>
        <v>2213.4499999999998</v>
      </c>
      <c r="DK122" vm="6605">
        <f ca="1"/>
        <v>2172.9</v>
      </c>
      <c r="DL122" vm="6606">
        <f ca="1"/>
        <v>2105.4499999999998</v>
      </c>
      <c r="DM122" vm="6607">
        <f ca="1"/>
        <v>2094.3000000000002</v>
      </c>
      <c r="DN122" vm="6608">
        <f ca="1"/>
        <v>2071.8000000000002</v>
      </c>
      <c r="DO122" vm="6609">
        <f ca="1"/>
        <v>2025</v>
      </c>
      <c r="DP122" vm="6610">
        <f ca="1"/>
        <v>2018.45</v>
      </c>
      <c r="DQ122" vm="6611">
        <f ca="1"/>
        <v>1992.65</v>
      </c>
      <c r="DR122" vm="6612">
        <f ca="1"/>
        <v>2005.35</v>
      </c>
      <c r="DS122" vm="6613">
        <f ca="1"/>
        <v>2003.25</v>
      </c>
      <c r="DT122" vm="6614">
        <f ca="1"/>
        <v>1980.5</v>
      </c>
      <c r="DU122" vm="6615">
        <f ca="1"/>
        <v>1891.15</v>
      </c>
      <c r="DV122" vm="6616">
        <f ca="1"/>
        <v>1962.5</v>
      </c>
      <c r="DW122" vm="6617">
        <f ca="1"/>
        <v>1995.05</v>
      </c>
      <c r="DX122" vm="6618">
        <f ca="1"/>
        <v>2012.85</v>
      </c>
      <c r="DY122" vm="2108">
        <f ca="1"/>
        <v>2086.1</v>
      </c>
      <c r="DZ122" vm="6619">
        <f ca="1"/>
        <v>2082.9</v>
      </c>
      <c r="EA122" vm="6620">
        <f ca="1"/>
        <v>2113.5500000000002</v>
      </c>
      <c r="EB122" vm="6621">
        <f ca="1"/>
        <v>2117.8000000000002</v>
      </c>
      <c r="EC122" vm="6622">
        <f ca="1"/>
        <v>2110.5</v>
      </c>
      <c r="ED122" vm="6623">
        <f ca="1"/>
        <v>2102.8000000000002</v>
      </c>
      <c r="EE122" vm="6624">
        <f ca="1"/>
        <v>2044.4</v>
      </c>
      <c r="EF122" vm="6625">
        <f ca="1"/>
        <v>2085.35</v>
      </c>
      <c r="EG122" vm="6626">
        <f ca="1"/>
        <v>2060.3000000000002</v>
      </c>
      <c r="EH122" vm="6627">
        <f ca="1"/>
        <v>2057.5500000000002</v>
      </c>
      <c r="EI122" vm="6628">
        <f ca="1"/>
        <v>2102.6999999999998</v>
      </c>
      <c r="EJ122" vm="6629">
        <f ca="1"/>
        <v>2123.5500000000002</v>
      </c>
      <c r="EK122" vm="6630">
        <f ca="1"/>
        <v>2127.1</v>
      </c>
      <c r="EL122" vm="6631">
        <f ca="1"/>
        <v>2277.1</v>
      </c>
      <c r="EM122" vm="6632">
        <f ca="1"/>
        <v>2242.4</v>
      </c>
      <c r="EN122" vm="6633">
        <f ca="1"/>
        <v>2226.5</v>
      </c>
      <c r="EO122" vm="6634">
        <f ca="1"/>
        <v>2227</v>
      </c>
      <c r="EP122" vm="6635">
        <f ca="1"/>
        <v>2181.65</v>
      </c>
      <c r="EQ122" vm="6636">
        <f ca="1"/>
        <v>2195.0500000000002</v>
      </c>
      <c r="ER122" vm="6637">
        <f ca="1"/>
        <v>2201.15</v>
      </c>
      <c r="ES122" vm="6638">
        <f ca="1"/>
        <v>2183.15</v>
      </c>
      <c r="ET122" vm="6639">
        <f ca="1"/>
        <v>2139.6</v>
      </c>
      <c r="EU122" vm="6640">
        <f ca="1"/>
        <v>2224.8000000000002</v>
      </c>
      <c r="EV122" vm="6641">
        <f ca="1"/>
        <v>2207.6</v>
      </c>
      <c r="EW122" vm="6642">
        <f ca="1"/>
        <v>2215.75</v>
      </c>
      <c r="EX122" vm="6643">
        <f ca="1"/>
        <v>2175.9499999999998</v>
      </c>
      <c r="EY122" vm="2231">
        <f ca="1"/>
        <v>2215.25</v>
      </c>
      <c r="EZ122" vm="6644">
        <f ca="1"/>
        <v>2215.1</v>
      </c>
      <c r="FA122" vm="6645">
        <f ca="1"/>
        <v>2179</v>
      </c>
      <c r="FB122" vm="6646">
        <f ca="1"/>
        <v>2196.8000000000002</v>
      </c>
      <c r="FC122" vm="6647">
        <f ca="1"/>
        <v>2162.0500000000002</v>
      </c>
      <c r="FD122" vm="6648">
        <f ca="1"/>
        <v>2124.9</v>
      </c>
      <c r="FE122" vm="6649">
        <f ca="1"/>
        <v>2102.0500000000002</v>
      </c>
      <c r="FF122" vm="6650">
        <f ca="1"/>
        <v>2152.0500000000002</v>
      </c>
      <c r="FG122" vm="6651">
        <f ca="1"/>
        <v>2105.75</v>
      </c>
      <c r="FH122" vm="6652">
        <f ca="1"/>
        <v>2109.6</v>
      </c>
      <c r="FI122" vm="2144">
        <f ca="1"/>
        <v>2010.7</v>
      </c>
      <c r="FJ122" vm="6653">
        <f ca="1"/>
        <v>2040.8</v>
      </c>
      <c r="FK122" vm="6654">
        <f ca="1"/>
        <v>2017.1</v>
      </c>
      <c r="FL122" vm="6655">
        <f ca="1"/>
        <v>1996.05</v>
      </c>
      <c r="FM122" vm="6656">
        <f ca="1"/>
        <v>2020.85</v>
      </c>
      <c r="FN122" vm="6657">
        <f ca="1"/>
        <v>1962.35</v>
      </c>
      <c r="FO122" vm="6658">
        <f ca="1"/>
        <v>1945.2</v>
      </c>
      <c r="FP122" vm="6659">
        <f ca="1"/>
        <v>1928.8</v>
      </c>
      <c r="FQ122" vm="6657">
        <f ca="1"/>
        <v>1962.35</v>
      </c>
      <c r="FR122" vm="6660">
        <f ca="1"/>
        <v>1940</v>
      </c>
      <c r="FS122" vm="6661">
        <f ca="1"/>
        <v>1936.9</v>
      </c>
      <c r="FT122" vm="6662">
        <f ca="1"/>
        <v>1965.35</v>
      </c>
      <c r="FU122" vm="2132">
        <f ca="1"/>
        <v>1925.5</v>
      </c>
      <c r="FV122" vm="6663">
        <f ca="1"/>
        <v>1972.5</v>
      </c>
      <c r="FW122" vm="6664">
        <f ca="1"/>
        <v>1968.15</v>
      </c>
      <c r="FX122" vm="2109">
        <f ca="1"/>
        <v>2019.9</v>
      </c>
      <c r="FY122" vm="6665">
        <f ca="1"/>
        <v>2021.5</v>
      </c>
      <c r="FZ122" vm="6666">
        <f ca="1"/>
        <v>2063.0500000000002</v>
      </c>
      <c r="GA122" vm="6667">
        <f ca="1"/>
        <v>2036.95</v>
      </c>
      <c r="GB122" vm="6668">
        <f ca="1"/>
        <v>1987.4</v>
      </c>
      <c r="GC122" vm="6669">
        <f ca="1"/>
        <v>1967.15</v>
      </c>
      <c r="GD122" vm="6670">
        <f ca="1"/>
        <v>2004.85</v>
      </c>
      <c r="GE122" vm="6671">
        <f ca="1"/>
        <v>2044</v>
      </c>
      <c r="GF122" vm="6672">
        <f ca="1"/>
        <v>2046.35</v>
      </c>
      <c r="GG122" vm="6673">
        <f ca="1"/>
        <v>2056.85</v>
      </c>
      <c r="GH122" vm="6674">
        <f ca="1"/>
        <v>2020.05</v>
      </c>
      <c r="GI122" vm="6675">
        <f ca="1"/>
        <v>1964.35</v>
      </c>
      <c r="GJ122" vm="6676">
        <f ca="1"/>
        <v>1932.55</v>
      </c>
      <c r="GK122" vm="6677">
        <f ca="1"/>
        <v>1963.8</v>
      </c>
      <c r="GL122" vm="6678">
        <f ca="1"/>
        <v>1835.05</v>
      </c>
      <c r="GM122" vm="6679">
        <f ca="1"/>
        <v>1851.7</v>
      </c>
      <c r="GN122" vm="6680">
        <f ca="1"/>
        <v>1802.05</v>
      </c>
      <c r="GO122" vm="6681">
        <f ca="1"/>
        <v>1864.95</v>
      </c>
      <c r="GP122" vm="6682">
        <f ca="1"/>
        <v>1909.3</v>
      </c>
      <c r="GQ122" vm="6683">
        <f ca="1"/>
        <v>1900.6</v>
      </c>
      <c r="GR122" vm="6684">
        <f ca="1"/>
        <v>1872</v>
      </c>
      <c r="GS122" vm="6685">
        <f ca="1"/>
        <v>1837.95</v>
      </c>
      <c r="GT122" vm="6686">
        <f ca="1"/>
        <v>1821.05</v>
      </c>
      <c r="GU122" vm="6687">
        <f ca="1"/>
        <v>1868.55</v>
      </c>
      <c r="GV122" vm="6688">
        <f ca="1"/>
        <v>1892.55</v>
      </c>
      <c r="GW122" vm="6689">
        <f ca="1"/>
        <v>1868.5</v>
      </c>
      <c r="GX122" vm="6690">
        <f ca="1"/>
        <v>1856.1</v>
      </c>
      <c r="GY122" vm="6691">
        <f ca="1"/>
        <v>1843.7</v>
      </c>
      <c r="GZ122" vm="6692">
        <f ca="1"/>
        <v>1801.45</v>
      </c>
      <c r="HA122" vm="6693">
        <f ca="1"/>
        <v>1818.65</v>
      </c>
      <c r="HB122" vm="6694">
        <f ca="1"/>
        <v>1826.3</v>
      </c>
      <c r="HC122" vm="6695">
        <f ca="1"/>
        <v>1798.05</v>
      </c>
      <c r="HD122" vm="6696">
        <f ca="1"/>
        <v>1813.55</v>
      </c>
      <c r="HE122" vm="6697">
        <f ca="1"/>
        <v>1799.75</v>
      </c>
      <c r="HF122" vm="6698">
        <f ca="1"/>
        <v>1806.75</v>
      </c>
      <c r="HG122" vm="6699">
        <f ca="1"/>
        <v>1828.6</v>
      </c>
      <c r="HH122" vm="6700">
        <f ca="1"/>
        <v>1818</v>
      </c>
      <c r="HI122" vm="6701">
        <f ca="1"/>
        <v>1818.45</v>
      </c>
      <c r="HJ122" vm="6702">
        <f ca="1"/>
        <v>1800.75</v>
      </c>
      <c r="HK122" vm="6703">
        <f ca="1"/>
        <v>1761.8</v>
      </c>
      <c r="HL122" vm="6704">
        <f ca="1"/>
        <v>1747.45</v>
      </c>
      <c r="HM122" vm="4009">
        <f ca="1"/>
        <v>1690.7</v>
      </c>
      <c r="HN122" vm="6705">
        <f ca="1"/>
        <v>1692.3</v>
      </c>
      <c r="HO122" vm="6706">
        <f ca="1"/>
        <v>1622.85</v>
      </c>
      <c r="HP122" vm="6707">
        <f ca="1"/>
        <v>1662.85</v>
      </c>
      <c r="HQ122" vm="6585">
        <f ca="1"/>
        <v>1741.65</v>
      </c>
      <c r="HR122" vm="6708">
        <f ca="1"/>
        <v>1729.55</v>
      </c>
      <c r="HS122" vm="6709">
        <f ca="1"/>
        <v>1740.05</v>
      </c>
      <c r="HT122" vm="1508">
        <f ca="1"/>
        <v>1784.3</v>
      </c>
      <c r="HU122" vm="6710">
        <f ca="1"/>
        <v>1805.4</v>
      </c>
      <c r="HV122" vm="6711">
        <f ca="1"/>
        <v>1846.85</v>
      </c>
      <c r="HW122" vm="6712">
        <f ca="1"/>
        <v>1844.65</v>
      </c>
      <c r="HX122" vm="6713">
        <f ca="1"/>
        <v>1820.7</v>
      </c>
      <c r="HY122" vm="6714">
        <f ca="1"/>
        <v>1863.9</v>
      </c>
      <c r="HZ122" vm="6715">
        <f ca="1"/>
        <v>1903</v>
      </c>
      <c r="IA122" vm="6716">
        <f ca="1"/>
        <v>1911.45</v>
      </c>
      <c r="IB122" vm="6717">
        <f ca="1"/>
        <v>1897.9</v>
      </c>
      <c r="IC122" vm="6718">
        <f ca="1"/>
        <v>1895.75</v>
      </c>
      <c r="ID122" vm="6719">
        <f ca="1"/>
        <v>1901.2</v>
      </c>
      <c r="IE122" vm="6720">
        <f ca="1"/>
        <v>1906.85</v>
      </c>
      <c r="IF122" vm="6721">
        <f ca="1"/>
        <v>1869.5</v>
      </c>
      <c r="IG122" vm="6722">
        <f ca="1"/>
        <v>1859.05</v>
      </c>
      <c r="IH122" vm="6723">
        <f ca="1"/>
        <v>1841.8</v>
      </c>
      <c r="II122" vm="6724">
        <f ca="1"/>
        <v>1821.3</v>
      </c>
      <c r="IJ122" vm="6725">
        <f ca="1"/>
        <v>1851.35</v>
      </c>
      <c r="IK122" vm="6726">
        <f ca="1"/>
        <v>1942.45</v>
      </c>
      <c r="IL122" vm="6727">
        <f ca="1"/>
        <v>1922.1</v>
      </c>
      <c r="IM122" vm="6728">
        <f ca="1"/>
        <v>1902.5</v>
      </c>
      <c r="IN122" vm="6729">
        <f ca="1"/>
        <v>2031.2</v>
      </c>
      <c r="IO122" vm="6730">
        <f ca="1"/>
        <v>2025.5</v>
      </c>
      <c r="IP122" vm="6731">
        <f ca="1"/>
        <v>1989.65</v>
      </c>
      <c r="IQ122" vm="6732">
        <f ca="1"/>
        <v>1998.55</v>
      </c>
      <c r="IR122" vm="6733">
        <f ca="1"/>
        <v>2033.75</v>
      </c>
    </row>
    <row r="123" spans="4:252" x14ac:dyDescent="0.35">
      <c r="D123" t="e" vm="30">
        <v>#VALUE!</v>
      </c>
      <c r="E123" cm="1" vm="6734">
        <f t="array" aca="1" ref="E123:IR123" ca="1">TRANSPOSE((_xlfn.STOCKHISTORY('Portfolio Tracker '!$C37,TODAY()-365,TODAY(),0,0,1)))</f>
        <v>1888.05</v>
      </c>
      <c r="F123" vm="6689">
        <f ca="1"/>
        <v>1868.5</v>
      </c>
      <c r="G123" vm="6735">
        <f ca="1"/>
        <v>1886.75</v>
      </c>
      <c r="H123" vm="6736">
        <f ca="1"/>
        <v>1859.1</v>
      </c>
      <c r="I123" vm="6737">
        <f ca="1"/>
        <v>1872.65</v>
      </c>
      <c r="J123" vm="6738">
        <f ca="1"/>
        <v>1881.6</v>
      </c>
      <c r="K123" vm="6719">
        <f ca="1"/>
        <v>1901.2</v>
      </c>
      <c r="L123" vm="6739">
        <f ca="1"/>
        <v>1895.05</v>
      </c>
      <c r="M123" vm="6740">
        <f ca="1"/>
        <v>1865.05</v>
      </c>
      <c r="N123" vm="6741">
        <f ca="1"/>
        <v>1878.65</v>
      </c>
      <c r="O123" vm="6742">
        <f ca="1"/>
        <v>1898.95</v>
      </c>
      <c r="P123" vm="6743">
        <f ca="1"/>
        <v>1998.05</v>
      </c>
      <c r="Q123" vm="6744">
        <f ca="1"/>
        <v>1896.25</v>
      </c>
      <c r="R123" vm="6745">
        <f ca="1"/>
        <v>1885.45</v>
      </c>
      <c r="S123" vm="6746">
        <f ca="1"/>
        <v>1866.15</v>
      </c>
      <c r="T123" vm="1527">
        <f ca="1"/>
        <v>1890.6</v>
      </c>
      <c r="U123" vm="6747">
        <f ca="1"/>
        <v>1882.85</v>
      </c>
      <c r="V123" vm="6748">
        <f ca="1"/>
        <v>1878.35</v>
      </c>
      <c r="W123" vm="1603">
        <f ca="1"/>
        <v>1877.25</v>
      </c>
      <c r="X123" vm="6749">
        <f ca="1"/>
        <v>1885</v>
      </c>
      <c r="Y123" vm="6750">
        <f ca="1"/>
        <v>1912.15</v>
      </c>
      <c r="Z123" vm="6751">
        <f ca="1"/>
        <v>1899.35</v>
      </c>
      <c r="AA123" vm="6752">
        <f ca="1"/>
        <v>1867.9</v>
      </c>
      <c r="AB123" vm="6753">
        <f ca="1"/>
        <v>1892.2</v>
      </c>
      <c r="AC123" vm="6754">
        <f ca="1"/>
        <v>1895.55</v>
      </c>
      <c r="AD123" vm="6755">
        <f ca="1"/>
        <v>1929.25</v>
      </c>
      <c r="AE123" vm="6756">
        <f ca="1"/>
        <v>1928.35</v>
      </c>
      <c r="AF123" vm="6757">
        <f ca="1"/>
        <v>1912.75</v>
      </c>
      <c r="AG123" vm="6758">
        <f ca="1"/>
        <v>1926.45</v>
      </c>
      <c r="AH123" vm="6759">
        <f ca="1"/>
        <v>1932.15</v>
      </c>
      <c r="AI123" vm="6760">
        <f ca="1"/>
        <v>1921.35</v>
      </c>
      <c r="AJ123" vm="6761">
        <f ca="1"/>
        <v>1918.75</v>
      </c>
      <c r="AK123" vm="6762">
        <f ca="1"/>
        <v>1914.25</v>
      </c>
      <c r="AL123" vm="6763">
        <f ca="1"/>
        <v>1950.95</v>
      </c>
      <c r="AM123" vm="6764">
        <f ca="1"/>
        <v>1948.3</v>
      </c>
      <c r="AN123" vm="6765">
        <f ca="1"/>
        <v>1955.3</v>
      </c>
      <c r="AO123" vm="6766">
        <f ca="1"/>
        <v>1992.1</v>
      </c>
      <c r="AP123" vm="6767">
        <f ca="1"/>
        <v>1962.65</v>
      </c>
      <c r="AQ123" vm="6768">
        <f ca="1"/>
        <v>1916.85</v>
      </c>
      <c r="AR123" vm="6769">
        <f ca="1"/>
        <v>1941.3</v>
      </c>
      <c r="AS123" vm="6755">
        <f ca="1"/>
        <v>1929.25</v>
      </c>
      <c r="AT123" vm="6770">
        <f ca="1"/>
        <v>1919.7</v>
      </c>
      <c r="AU123" vm="6771">
        <f ca="1"/>
        <v>1917.75</v>
      </c>
      <c r="AV123" vm="6772">
        <f ca="1"/>
        <v>1918.95</v>
      </c>
      <c r="AW123" vm="6773">
        <f ca="1"/>
        <v>1896.8</v>
      </c>
      <c r="AX123" vm="6774">
        <f ca="1"/>
        <v>1901.15</v>
      </c>
      <c r="AY123" vm="6775">
        <f ca="1"/>
        <v>1912.95</v>
      </c>
      <c r="AZ123" vm="6776">
        <f ca="1"/>
        <v>1908.55</v>
      </c>
      <c r="BA123" vm="6777">
        <f ca="1"/>
        <v>1932.9</v>
      </c>
      <c r="BB123" vm="6778">
        <f ca="1"/>
        <v>1951.25</v>
      </c>
      <c r="BC123" vm="6779">
        <f ca="1"/>
        <v>2031.65</v>
      </c>
      <c r="BD123" vm="6780">
        <f ca="1"/>
        <v>2099.1999999999998</v>
      </c>
      <c r="BE123" vm="6781">
        <f ca="1"/>
        <v>2113.0500000000002</v>
      </c>
      <c r="BF123" vm="6782">
        <f ca="1"/>
        <v>2097.9</v>
      </c>
      <c r="BG123" vm="6783">
        <f ca="1"/>
        <v>2097.4499999999998</v>
      </c>
      <c r="BH123" vm="6784">
        <f ca="1"/>
        <v>2101.75</v>
      </c>
      <c r="BI123" vm="6785">
        <f ca="1"/>
        <v>2137.85</v>
      </c>
      <c r="BJ123" vm="6786">
        <f ca="1"/>
        <v>2113.9499999999998</v>
      </c>
      <c r="BK123" vm="6787">
        <f ca="1"/>
        <v>2116.15</v>
      </c>
      <c r="BL123" vm="6788">
        <f ca="1"/>
        <v>2111.1999999999998</v>
      </c>
      <c r="BM123" vm="6789">
        <f ca="1"/>
        <v>2084.6999999999998</v>
      </c>
      <c r="BN123" vm="6790">
        <f ca="1"/>
        <v>2070.5500000000002</v>
      </c>
      <c r="BO123" vm="6791">
        <f ca="1"/>
        <v>2126.25</v>
      </c>
      <c r="BP123" vm="6792">
        <f ca="1"/>
        <v>2133</v>
      </c>
      <c r="BQ123" vm="6793">
        <f ca="1"/>
        <v>2126.9</v>
      </c>
      <c r="BR123" vm="6794">
        <f ca="1"/>
        <v>2111.15</v>
      </c>
      <c r="BS123" vm="6795">
        <f ca="1"/>
        <v>2118</v>
      </c>
      <c r="BT123" vm="6796">
        <f ca="1"/>
        <v>2208.1</v>
      </c>
      <c r="BU123" vm="6797">
        <f ca="1"/>
        <v>2231.8000000000002</v>
      </c>
      <c r="BV123" vm="6798">
        <f ca="1"/>
        <v>2261.5</v>
      </c>
      <c r="BW123" vm="6799">
        <f ca="1"/>
        <v>2268.65</v>
      </c>
      <c r="BX123" vm="1174">
        <f ca="1"/>
        <v>2292.5500000000002</v>
      </c>
      <c r="BY123" vm="6800">
        <f ca="1"/>
        <v>2211.1999999999998</v>
      </c>
      <c r="BZ123" vm="6801">
        <f ca="1"/>
        <v>2217.15</v>
      </c>
      <c r="CA123" vm="6802">
        <f ca="1"/>
        <v>2227.5500000000002</v>
      </c>
      <c r="CB123" vm="6803">
        <f ca="1"/>
        <v>2251.4499999999998</v>
      </c>
      <c r="CC123" vm="6804">
        <f ca="1"/>
        <v>2237</v>
      </c>
      <c r="CD123" vm="6805">
        <f ca="1"/>
        <v>2136.65</v>
      </c>
      <c r="CE123" vm="6806">
        <f ca="1"/>
        <v>2117.65</v>
      </c>
      <c r="CF123" vm="6807">
        <f ca="1"/>
        <v>2220.6</v>
      </c>
      <c r="CG123" vm="6808">
        <f ca="1"/>
        <v>2304.9</v>
      </c>
      <c r="CH123" vm="6809">
        <f ca="1"/>
        <v>2261.4499999999998</v>
      </c>
      <c r="CI123" vm="6810">
        <f ca="1"/>
        <v>2231.65</v>
      </c>
      <c r="CJ123" vm="6811">
        <f ca="1"/>
        <v>2228.6</v>
      </c>
      <c r="CK123" vm="6812">
        <f ca="1"/>
        <v>2293.75</v>
      </c>
      <c r="CL123" vm="6813">
        <f ca="1"/>
        <v>2462.5</v>
      </c>
      <c r="CM123" vm="6814">
        <f ca="1"/>
        <v>2723.95</v>
      </c>
      <c r="CN123" vm="6815">
        <f ca="1"/>
        <v>2758.05</v>
      </c>
      <c r="CO123" vm="6816">
        <f ca="1"/>
        <v>2746.2</v>
      </c>
      <c r="CP123" vm="6817">
        <f ca="1"/>
        <v>2744.8</v>
      </c>
      <c r="CQ123" vm="6818">
        <f ca="1"/>
        <v>2773.6</v>
      </c>
      <c r="CR123" vm="6819">
        <f ca="1"/>
        <v>2783.4</v>
      </c>
      <c r="CS123" vm="6820">
        <f ca="1"/>
        <v>2814</v>
      </c>
      <c r="CT123" vm="6821">
        <f ca="1"/>
        <v>2623.1</v>
      </c>
      <c r="CU123" vm="6822">
        <f ca="1"/>
        <v>2635.75</v>
      </c>
      <c r="CV123" vm="6823">
        <f ca="1"/>
        <v>2671.25</v>
      </c>
      <c r="CW123" vm="6824">
        <f ca="1"/>
        <v>2602.4499999999998</v>
      </c>
      <c r="CX123" vm="6825">
        <f ca="1"/>
        <v>2579.0500000000002</v>
      </c>
      <c r="CY123" vm="6826">
        <f ca="1"/>
        <v>2552.85</v>
      </c>
      <c r="CZ123" vm="6827">
        <f ca="1"/>
        <v>2526.6</v>
      </c>
      <c r="DA123" vm="6828">
        <f ca="1"/>
        <v>2489.5</v>
      </c>
      <c r="DB123" vm="6829">
        <f ca="1"/>
        <v>2396.75</v>
      </c>
      <c r="DC123" vm="6830">
        <f ca="1"/>
        <v>2561.9</v>
      </c>
      <c r="DD123" vm="6831">
        <f ca="1"/>
        <v>2588.6</v>
      </c>
      <c r="DE123" vm="6832">
        <f ca="1"/>
        <v>2562.0500000000002</v>
      </c>
      <c r="DF123" vm="6833">
        <f ca="1"/>
        <v>2537.6</v>
      </c>
      <c r="DG123" vm="6834">
        <f ca="1"/>
        <v>2568.5</v>
      </c>
      <c r="DH123" vm="6835">
        <f ca="1"/>
        <v>2606.0500000000002</v>
      </c>
      <c r="DI123" vm="6836">
        <f ca="1"/>
        <v>2634.2</v>
      </c>
      <c r="DJ123" vm="6837">
        <f ca="1"/>
        <v>2624.7</v>
      </c>
      <c r="DK123" vm="6838">
        <f ca="1"/>
        <v>2525.65</v>
      </c>
      <c r="DL123" vm="6839">
        <f ca="1"/>
        <v>2558.6999999999998</v>
      </c>
      <c r="DM123" vm="6840">
        <f ca="1"/>
        <v>2546.6</v>
      </c>
      <c r="DN123" vm="6841">
        <f ca="1"/>
        <v>2542.9</v>
      </c>
      <c r="DO123" vm="6842">
        <f ca="1"/>
        <v>2565.0500000000002</v>
      </c>
      <c r="DP123" vm="6843">
        <f ca="1"/>
        <v>2588.5</v>
      </c>
      <c r="DQ123" vm="6844">
        <f ca="1"/>
        <v>2637.3</v>
      </c>
      <c r="DR123" vm="6845">
        <f ca="1"/>
        <v>2640.2</v>
      </c>
      <c r="DS123" vm="6846">
        <f ca="1"/>
        <v>2633.7</v>
      </c>
      <c r="DT123" vm="6847">
        <f ca="1"/>
        <v>2732.05</v>
      </c>
      <c r="DU123" vm="6848">
        <f ca="1"/>
        <v>2647.7</v>
      </c>
      <c r="DV123" vm="6849">
        <f ca="1"/>
        <v>2542.1999999999998</v>
      </c>
      <c r="DW123" vm="6850">
        <f ca="1"/>
        <v>2496.35</v>
      </c>
      <c r="DX123" vm="6841">
        <f ca="1"/>
        <v>2542.9</v>
      </c>
      <c r="DY123" vm="6851">
        <f ca="1"/>
        <v>2471.5</v>
      </c>
      <c r="DZ123" vm="6852">
        <f ca="1"/>
        <v>2438.85</v>
      </c>
      <c r="EA123" vm="6853">
        <f ca="1"/>
        <v>2490.35</v>
      </c>
      <c r="EB123" vm="6854">
        <f ca="1"/>
        <v>2495.85</v>
      </c>
      <c r="EC123" vm="6855">
        <f ca="1"/>
        <v>2487.9</v>
      </c>
      <c r="ED123" vm="6856">
        <f ca="1"/>
        <v>2532.85</v>
      </c>
      <c r="EE123" vm="6857">
        <f ca="1"/>
        <v>2545.4499999999998</v>
      </c>
      <c r="EF123" vm="6858">
        <f ca="1"/>
        <v>2553.75</v>
      </c>
      <c r="EG123" vm="6859">
        <f ca="1"/>
        <v>2261.6999999999998</v>
      </c>
      <c r="EH123" vm="2239">
        <f ca="1"/>
        <v>2217.5</v>
      </c>
      <c r="EI123" vm="1257">
        <f ca="1"/>
        <v>2237.5</v>
      </c>
      <c r="EJ123" vm="6860">
        <f ca="1"/>
        <v>2207.9499999999998</v>
      </c>
      <c r="EK123" vm="6861">
        <f ca="1"/>
        <v>2210.6</v>
      </c>
      <c r="EL123" vm="6862">
        <f ca="1"/>
        <v>2220.6999999999998</v>
      </c>
      <c r="EM123" vm="6863">
        <f ca="1"/>
        <v>2224.0500000000002</v>
      </c>
      <c r="EN123" vm="6864">
        <f ca="1"/>
        <v>2207.1999999999998</v>
      </c>
      <c r="EO123" vm="6865">
        <f ca="1"/>
        <v>2203.4499999999998</v>
      </c>
      <c r="EP123" vm="6866">
        <f ca="1"/>
        <v>2199.5500000000002</v>
      </c>
      <c r="EQ123" vm="6867">
        <f ca="1"/>
        <v>2195.3000000000002</v>
      </c>
      <c r="ER123" vm="6868">
        <f ca="1"/>
        <v>2227.3000000000002</v>
      </c>
      <c r="ES123" vm="2272">
        <f ca="1"/>
        <v>2203.15</v>
      </c>
      <c r="ET123" vm="6869">
        <f ca="1"/>
        <v>2227.25</v>
      </c>
      <c r="EU123" vm="6870">
        <f ca="1"/>
        <v>2240.6</v>
      </c>
      <c r="EV123" vm="6871">
        <f ca="1"/>
        <v>2244.3000000000002</v>
      </c>
      <c r="EW123" vm="4608">
        <f ca="1"/>
        <v>2264.9499999999998</v>
      </c>
      <c r="EX123" vm="6872">
        <f ca="1"/>
        <v>2306.9499999999998</v>
      </c>
      <c r="EY123" vm="6873">
        <f ca="1"/>
        <v>2311.0500000000002</v>
      </c>
      <c r="EZ123" vm="6874">
        <f ca="1"/>
        <v>2292.65</v>
      </c>
      <c r="FA123" vm="6875">
        <f ca="1"/>
        <v>2278.9</v>
      </c>
      <c r="FB123" vm="6876">
        <f ca="1"/>
        <v>2273.5500000000002</v>
      </c>
      <c r="FC123" vm="6877">
        <f ca="1"/>
        <v>2250.3000000000002</v>
      </c>
      <c r="FD123" vm="6878">
        <f ca="1"/>
        <v>2254.4</v>
      </c>
      <c r="FE123" vm="6879">
        <f ca="1"/>
        <v>2253.1999999999998</v>
      </c>
      <c r="FF123" vm="6880">
        <f ca="1"/>
        <v>2242.8000000000002</v>
      </c>
      <c r="FG123" vm="6881">
        <f ca="1"/>
        <v>2317.25</v>
      </c>
      <c r="FH123" vm="6882">
        <f ca="1"/>
        <v>2313.8000000000002</v>
      </c>
      <c r="FI123" vm="6883">
        <f ca="1"/>
        <v>2226.8000000000002</v>
      </c>
      <c r="FJ123" vm="6884">
        <f ca="1"/>
        <v>2238.75</v>
      </c>
      <c r="FK123" vm="6885">
        <f ca="1"/>
        <v>2236.65</v>
      </c>
      <c r="FL123" vm="6886">
        <f ca="1"/>
        <v>2174.6</v>
      </c>
      <c r="FM123" vm="6887">
        <f ca="1"/>
        <v>2135.75</v>
      </c>
      <c r="FN123" vm="6888">
        <f ca="1"/>
        <v>2200.75</v>
      </c>
      <c r="FO123" vm="6889">
        <f ca="1"/>
        <v>2208.3000000000002</v>
      </c>
      <c r="FP123" vm="6890">
        <f ca="1"/>
        <v>2202.35</v>
      </c>
      <c r="FQ123" vm="6891">
        <f ca="1"/>
        <v>2180.1</v>
      </c>
      <c r="FR123" vm="6892">
        <f ca="1"/>
        <v>2185.4</v>
      </c>
      <c r="FS123" vm="6893">
        <f ca="1"/>
        <v>2188.6999999999998</v>
      </c>
      <c r="FT123" vm="6894">
        <f ca="1"/>
        <v>2191.1</v>
      </c>
      <c r="FU123" vm="6895">
        <f ca="1"/>
        <v>2168.1</v>
      </c>
      <c r="FV123" vm="6896">
        <f ca="1"/>
        <v>2158.15</v>
      </c>
      <c r="FW123" vm="6897">
        <f ca="1"/>
        <v>2145.8000000000002</v>
      </c>
      <c r="FX123" vm="6898">
        <f ca="1"/>
        <v>2150</v>
      </c>
      <c r="FY123" vm="6899">
        <f ca="1"/>
        <v>2147.9499999999998</v>
      </c>
      <c r="FZ123" vm="2124">
        <f ca="1"/>
        <v>2165.0500000000002</v>
      </c>
      <c r="GA123" vm="6900">
        <f ca="1"/>
        <v>2221</v>
      </c>
      <c r="GB123" vm="6901">
        <f ca="1"/>
        <v>2200.8000000000002</v>
      </c>
      <c r="GC123" vm="6891">
        <f ca="1"/>
        <v>2180.1</v>
      </c>
      <c r="GD123" vm="1170">
        <f ca="1"/>
        <v>2149.75</v>
      </c>
      <c r="GE123" vm="6902">
        <f ca="1"/>
        <v>2160.85</v>
      </c>
      <c r="GF123" vm="6903">
        <f ca="1"/>
        <v>2119.65</v>
      </c>
      <c r="GG123" vm="6904">
        <f ca="1"/>
        <v>2115.3000000000002</v>
      </c>
      <c r="GH123" vm="6905">
        <f ca="1"/>
        <v>2110.15</v>
      </c>
      <c r="GI123" vm="6906">
        <f ca="1"/>
        <v>2105.65</v>
      </c>
      <c r="GJ123" vm="6907">
        <f ca="1"/>
        <v>2089.65</v>
      </c>
      <c r="GK123" vm="6908">
        <f ca="1"/>
        <v>2100.5500000000002</v>
      </c>
      <c r="GL123" vm="6909">
        <f ca="1"/>
        <v>2029</v>
      </c>
      <c r="GM123" vm="6910">
        <f ca="1"/>
        <v>2022.35</v>
      </c>
      <c r="GN123" vm="6911">
        <f ca="1"/>
        <v>2009</v>
      </c>
      <c r="GO123" vm="6912">
        <f ca="1"/>
        <v>1978.6</v>
      </c>
      <c r="GP123" vm="6913">
        <f ca="1"/>
        <v>2015.3</v>
      </c>
      <c r="GQ123" vm="6914">
        <f ca="1"/>
        <v>2004.4</v>
      </c>
      <c r="GR123" vm="6915">
        <f ca="1"/>
        <v>1978.35</v>
      </c>
      <c r="GS123" vm="6916">
        <f ca="1"/>
        <v>1929.9</v>
      </c>
      <c r="GT123" vm="6917">
        <f ca="1"/>
        <v>1916.9</v>
      </c>
      <c r="GU123" vm="6918">
        <f ca="1"/>
        <v>1744.8</v>
      </c>
      <c r="GV123" vm="6919">
        <f ca="1"/>
        <v>1871.65</v>
      </c>
      <c r="GW123" vm="6920">
        <f ca="1"/>
        <v>1934.55</v>
      </c>
      <c r="GX123" vm="6921">
        <f ca="1"/>
        <v>1943.15</v>
      </c>
      <c r="GY123" vm="6922">
        <f ca="1"/>
        <v>1937.85</v>
      </c>
      <c r="GZ123" vm="6923">
        <f ca="1"/>
        <v>1904.7</v>
      </c>
      <c r="HA123" vm="6924">
        <f ca="1"/>
        <v>2016.55</v>
      </c>
      <c r="HB123" vm="6925">
        <f ca="1"/>
        <v>2032.6</v>
      </c>
      <c r="HC123" vm="6926">
        <f ca="1"/>
        <v>1979.95</v>
      </c>
      <c r="HD123" vm="6927">
        <f ca="1"/>
        <v>1951.9</v>
      </c>
      <c r="HE123" vm="6920">
        <f ca="1"/>
        <v>1934.55</v>
      </c>
      <c r="HF123" vm="6928">
        <f ca="1"/>
        <v>1916.1</v>
      </c>
      <c r="HG123" vm="6929">
        <f ca="1"/>
        <v>1902.85</v>
      </c>
      <c r="HH123" vm="6930">
        <f ca="1"/>
        <v>1920</v>
      </c>
      <c r="HI123" vm="6931">
        <f ca="1"/>
        <v>1897.35</v>
      </c>
      <c r="HJ123" vm="6932">
        <f ca="1"/>
        <v>1866.7</v>
      </c>
      <c r="HK123" vm="6933">
        <f ca="1"/>
        <v>1831.45</v>
      </c>
      <c r="HL123" vm="6934">
        <f ca="1"/>
        <v>1824.6</v>
      </c>
      <c r="HM123" vm="6935">
        <f ca="1"/>
        <v>1793.35</v>
      </c>
      <c r="HN123" vm="6936">
        <f ca="1"/>
        <v>1735.75</v>
      </c>
      <c r="HO123" vm="6937">
        <f ca="1"/>
        <v>1712.25</v>
      </c>
      <c r="HP123" vm="6938">
        <f ca="1"/>
        <v>1727.6</v>
      </c>
      <c r="HQ123" vm="6939">
        <f ca="1"/>
        <v>1721.15</v>
      </c>
      <c r="HR123" vm="6940">
        <f ca="1"/>
        <v>1728</v>
      </c>
      <c r="HS123" vm="6941">
        <f ca="1"/>
        <v>1716.8</v>
      </c>
      <c r="HT123" vm="6942">
        <f ca="1"/>
        <v>1687.7</v>
      </c>
      <c r="HU123" vm="6943">
        <f ca="1"/>
        <v>1697.2</v>
      </c>
      <c r="HV123" vm="6944">
        <f ca="1"/>
        <v>1704.8</v>
      </c>
      <c r="HW123" vm="6945">
        <f ca="1"/>
        <v>1681.6</v>
      </c>
      <c r="HX123" vm="4120">
        <f ca="1"/>
        <v>1672.8</v>
      </c>
      <c r="HY123" vm="6946">
        <f ca="1"/>
        <v>1683.75</v>
      </c>
      <c r="HZ123" vm="6947">
        <f ca="1"/>
        <v>1771.5</v>
      </c>
      <c r="IA123" vm="6948">
        <f ca="1"/>
        <v>1896.05</v>
      </c>
      <c r="IB123" vm="1566">
        <f ca="1"/>
        <v>1885.5</v>
      </c>
      <c r="IC123" vm="6949">
        <f ca="1"/>
        <v>1953.6</v>
      </c>
      <c r="ID123" vm="6950">
        <f ca="1"/>
        <v>1949.3</v>
      </c>
      <c r="IE123" vm="6951">
        <f ca="1"/>
        <v>1921.1</v>
      </c>
      <c r="IF123" vm="6952">
        <f ca="1"/>
        <v>1877.5</v>
      </c>
      <c r="IG123" vm="6953">
        <f ca="1"/>
        <v>1883.35</v>
      </c>
      <c r="IH123" vm="6954">
        <f ca="1"/>
        <v>1865.35</v>
      </c>
      <c r="II123" vm="6955">
        <f ca="1"/>
        <v>1820.05</v>
      </c>
      <c r="IJ123" vm="6956">
        <f ca="1"/>
        <v>1822.2</v>
      </c>
      <c r="IK123" vm="6693">
        <f ca="1"/>
        <v>1818.65</v>
      </c>
      <c r="IL123" vm="6957">
        <f ca="1"/>
        <v>1773.95</v>
      </c>
      <c r="IM123" vm="6958">
        <f ca="1"/>
        <v>1790.85</v>
      </c>
      <c r="IN123" vm="6959">
        <f ca="1"/>
        <v>1868.25</v>
      </c>
      <c r="IO123" vm="6960">
        <f ca="1"/>
        <v>1905</v>
      </c>
      <c r="IP123" vm="6961">
        <f ca="1"/>
        <v>1894.4</v>
      </c>
      <c r="IQ123" vm="6962">
        <f ca="1"/>
        <v>1884.05</v>
      </c>
      <c r="IR123" vm="6963">
        <f ca="1"/>
        <v>1908.8</v>
      </c>
    </row>
    <row r="124" spans="4:252" x14ac:dyDescent="0.35">
      <c r="D124" t="e" vm="31">
        <v>#VALUE!</v>
      </c>
      <c r="E124" cm="1" vm="6964">
        <f t="array" aca="1" ref="E124:IR124" ca="1">TRANSPOSE((_xlfn.STOCKHISTORY('Portfolio Tracker '!$C38,TODAY()-365,TODAY(),0,0,1)))</f>
        <v>4800.3999999999996</v>
      </c>
      <c r="F124" vm="6965">
        <f ca="1"/>
        <v>4799.5</v>
      </c>
      <c r="G124" vm="6966">
        <f ca="1"/>
        <v>4816.2</v>
      </c>
      <c r="H124" vm="6967">
        <f ca="1"/>
        <v>4784.1000000000004</v>
      </c>
      <c r="I124" vm="6968">
        <f ca="1"/>
        <v>4788.3999999999996</v>
      </c>
      <c r="J124" vm="6969">
        <f ca="1"/>
        <v>4799</v>
      </c>
      <c r="K124" vm="6970">
        <f ca="1"/>
        <v>4764.55</v>
      </c>
      <c r="L124" vm="6971">
        <f ca="1"/>
        <v>4724.3500000000004</v>
      </c>
      <c r="M124" vm="6972">
        <f ca="1"/>
        <v>4748</v>
      </c>
      <c r="N124" vm="6973">
        <f ca="1"/>
        <v>4695.3999999999996</v>
      </c>
      <c r="O124" vm="6974">
        <f ca="1"/>
        <v>4680</v>
      </c>
      <c r="P124" vm="6975">
        <f ca="1"/>
        <v>4652.45</v>
      </c>
      <c r="Q124" vm="6976">
        <f ca="1"/>
        <v>4619.8999999999996</v>
      </c>
      <c r="R124" vm="6977">
        <f ca="1"/>
        <v>4556.05</v>
      </c>
      <c r="S124" vm="6978">
        <f ca="1"/>
        <v>4591.5</v>
      </c>
      <c r="T124" vm="6979">
        <f ca="1"/>
        <v>4559.3500000000004</v>
      </c>
      <c r="U124" vm="6980">
        <f ca="1"/>
        <v>4601.5</v>
      </c>
      <c r="V124" vm="6981">
        <f ca="1"/>
        <v>4602.8</v>
      </c>
      <c r="W124" vm="6982">
        <f ca="1"/>
        <v>4620.8500000000004</v>
      </c>
      <c r="X124" vm="6983">
        <f ca="1"/>
        <v>4640.8</v>
      </c>
      <c r="Y124" vm="6984">
        <f ca="1"/>
        <v>4672.75</v>
      </c>
      <c r="Z124" vm="6985">
        <f ca="1"/>
        <v>4665.1000000000004</v>
      </c>
      <c r="AA124" vm="6986">
        <f ca="1"/>
        <v>4592.25</v>
      </c>
      <c r="AB124" vm="6987">
        <f ca="1"/>
        <v>4615.55</v>
      </c>
      <c r="AC124" vm="6988">
        <f ca="1"/>
        <v>4645.8</v>
      </c>
      <c r="AD124" vm="6989">
        <f ca="1"/>
        <v>4627.3999999999996</v>
      </c>
      <c r="AE124" vm="6990">
        <f ca="1"/>
        <v>4705.8</v>
      </c>
      <c r="AF124" vm="6991">
        <f ca="1"/>
        <v>4581.25</v>
      </c>
      <c r="AG124" vm="6992">
        <f ca="1"/>
        <v>4458.8</v>
      </c>
      <c r="AH124" vm="6993">
        <f ca="1"/>
        <v>4409.1499999999996</v>
      </c>
      <c r="AI124" vm="6994">
        <f ca="1"/>
        <v>4570.3500000000004</v>
      </c>
      <c r="AJ124" vm="6995">
        <f ca="1"/>
        <v>4627.8999999999996</v>
      </c>
      <c r="AK124" vm="6996">
        <f ca="1"/>
        <v>4632.1499999999996</v>
      </c>
      <c r="AL124" vm="6997">
        <f ca="1"/>
        <v>4653.75</v>
      </c>
      <c r="AM124" vm="6998">
        <f ca="1"/>
        <v>4641.8</v>
      </c>
      <c r="AN124" vm="6999">
        <f ca="1"/>
        <v>4617.3</v>
      </c>
      <c r="AO124" vm="7000">
        <f ca="1"/>
        <v>4669.3999999999996</v>
      </c>
      <c r="AP124" vm="7001">
        <f ca="1"/>
        <v>4553.95</v>
      </c>
      <c r="AQ124" vm="7002">
        <f ca="1"/>
        <v>4458.5</v>
      </c>
      <c r="AR124" vm="7003">
        <f ca="1"/>
        <v>4457.3</v>
      </c>
      <c r="AS124" vm="7004">
        <f ca="1"/>
        <v>4422.8999999999996</v>
      </c>
      <c r="AT124" vm="7005">
        <f ca="1"/>
        <v>4486.7</v>
      </c>
      <c r="AU124" vm="7006">
        <f ca="1"/>
        <v>4502</v>
      </c>
      <c r="AV124" vm="7007">
        <f ca="1"/>
        <v>4472.2</v>
      </c>
      <c r="AW124" vm="7008">
        <f ca="1"/>
        <v>4552.7</v>
      </c>
      <c r="AX124" vm="7009">
        <f ca="1"/>
        <v>4615</v>
      </c>
      <c r="AY124" vm="2391">
        <f ca="1"/>
        <v>4616.25</v>
      </c>
      <c r="AZ124" vm="7010">
        <f ca="1"/>
        <v>4532.25</v>
      </c>
      <c r="BA124" vm="7011">
        <f ca="1"/>
        <v>4462.75</v>
      </c>
      <c r="BB124" vm="7012">
        <f ca="1"/>
        <v>4269.05</v>
      </c>
      <c r="BC124" vm="7013">
        <f ca="1"/>
        <v>4293.05</v>
      </c>
      <c r="BD124" vm="7014">
        <f ca="1"/>
        <v>4332.6499999999996</v>
      </c>
      <c r="BE124" vm="7015">
        <f ca="1"/>
        <v>4403.05</v>
      </c>
      <c r="BF124" vm="7016">
        <f ca="1"/>
        <v>4435.3</v>
      </c>
      <c r="BG124" vm="7017">
        <f ca="1"/>
        <v>4384.2</v>
      </c>
      <c r="BH124" vm="7018">
        <f ca="1"/>
        <v>4417.8999999999996</v>
      </c>
      <c r="BI124" vm="7019">
        <f ca="1"/>
        <v>4474.95</v>
      </c>
      <c r="BJ124" vm="7020">
        <f ca="1"/>
        <v>4386.6499999999996</v>
      </c>
      <c r="BK124" vm="7021">
        <f ca="1"/>
        <v>4422.5</v>
      </c>
      <c r="BL124" vm="7022">
        <f ca="1"/>
        <v>4308.3999999999996</v>
      </c>
      <c r="BM124" vm="7023">
        <f ca="1"/>
        <v>4307.3999999999996</v>
      </c>
      <c r="BN124" vm="7024">
        <f ca="1"/>
        <v>4265.55</v>
      </c>
      <c r="BO124" vm="7025">
        <f ca="1"/>
        <v>4271.3</v>
      </c>
      <c r="BP124" vm="7026">
        <f ca="1"/>
        <v>4264.75</v>
      </c>
      <c r="BQ124" vm="7027">
        <f ca="1"/>
        <v>4554.3500000000004</v>
      </c>
      <c r="BR124" vm="7028">
        <f ca="1"/>
        <v>4588.3500000000004</v>
      </c>
      <c r="BS124" vm="7029">
        <f ca="1"/>
        <v>4503.6499999999996</v>
      </c>
      <c r="BT124" vm="7030">
        <f ca="1"/>
        <v>4505.8500000000004</v>
      </c>
      <c r="BU124" vm="7031">
        <f ca="1"/>
        <v>4404.7</v>
      </c>
      <c r="BV124" vm="7032">
        <f ca="1"/>
        <v>4477.3500000000004</v>
      </c>
      <c r="BW124" vm="7033">
        <f ca="1"/>
        <v>4461.6000000000004</v>
      </c>
      <c r="BX124" vm="7034">
        <f ca="1"/>
        <v>4409.8500000000004</v>
      </c>
      <c r="BY124" vm="7035">
        <f ca="1"/>
        <v>4470.8500000000004</v>
      </c>
      <c r="BZ124" vm="7036">
        <f ca="1"/>
        <v>4482.45</v>
      </c>
      <c r="CA124" vm="7037">
        <f ca="1"/>
        <v>4491.55</v>
      </c>
      <c r="CB124" vm="7038">
        <f ca="1"/>
        <v>4445.3</v>
      </c>
      <c r="CC124" vm="7039">
        <f ca="1"/>
        <v>4414.8</v>
      </c>
      <c r="CD124" vm="7040">
        <f ca="1"/>
        <v>4462.6499999999996</v>
      </c>
      <c r="CE124" vm="7041">
        <f ca="1"/>
        <v>4489.7</v>
      </c>
      <c r="CF124" vm="7042">
        <f ca="1"/>
        <v>4513.75</v>
      </c>
      <c r="CG124" vm="7043">
        <f ca="1"/>
        <v>4544.55</v>
      </c>
      <c r="CH124" vm="7044">
        <f ca="1"/>
        <v>4507.45</v>
      </c>
      <c r="CI124" vm="7045">
        <f ca="1"/>
        <v>4509.45</v>
      </c>
      <c r="CJ124" vm="7046">
        <f ca="1"/>
        <v>4624.8999999999996</v>
      </c>
      <c r="CK124" vm="7047">
        <f ca="1"/>
        <v>4626.95</v>
      </c>
      <c r="CL124" vm="7048">
        <f ca="1"/>
        <v>4604.8500000000004</v>
      </c>
      <c r="CM124" vm="7049">
        <f ca="1"/>
        <v>4599.1499999999996</v>
      </c>
      <c r="CN124" vm="7050">
        <f ca="1"/>
        <v>4556.8500000000004</v>
      </c>
      <c r="CO124" vm="7051">
        <f ca="1"/>
        <v>4605.3500000000004</v>
      </c>
      <c r="CP124" vm="7052">
        <f ca="1"/>
        <v>4686.1000000000004</v>
      </c>
      <c r="CQ124" vm="7053">
        <f ca="1"/>
        <v>4686.3500000000004</v>
      </c>
      <c r="CR124" vm="7054">
        <f ca="1"/>
        <v>4662.45</v>
      </c>
      <c r="CS124" vm="7055">
        <f ca="1"/>
        <v>4685.05</v>
      </c>
      <c r="CT124" vm="7056">
        <f ca="1"/>
        <v>4506</v>
      </c>
      <c r="CU124" vm="7057">
        <f ca="1"/>
        <v>4476.1000000000004</v>
      </c>
      <c r="CV124" vm="7058">
        <f ca="1"/>
        <v>4540.3999999999996</v>
      </c>
      <c r="CW124" vm="7059">
        <f ca="1"/>
        <v>4543.55</v>
      </c>
      <c r="CX124" vm="7060">
        <f ca="1"/>
        <v>4489.1499999999996</v>
      </c>
      <c r="CY124" vm="7061">
        <f ca="1"/>
        <v>4515.3500000000004</v>
      </c>
      <c r="CZ124" vm="7062">
        <f ca="1"/>
        <v>4493.8</v>
      </c>
      <c r="DA124" vm="7063">
        <f ca="1"/>
        <v>4469.3500000000004</v>
      </c>
      <c r="DB124" vm="7064">
        <f ca="1"/>
        <v>4451.05</v>
      </c>
      <c r="DC124" vm="7065">
        <f ca="1"/>
        <v>4440.95</v>
      </c>
      <c r="DD124" vm="7066">
        <f ca="1"/>
        <v>4444.8500000000004</v>
      </c>
      <c r="DE124" vm="7067">
        <f ca="1"/>
        <v>4357.6499999999996</v>
      </c>
      <c r="DF124" vm="7068">
        <f ca="1"/>
        <v>3766.7</v>
      </c>
      <c r="DG124" vm="7069">
        <f ca="1"/>
        <v>3820.35</v>
      </c>
      <c r="DH124" vm="7070">
        <f ca="1"/>
        <v>3825.15</v>
      </c>
      <c r="DI124" vm="7071">
        <f ca="1"/>
        <v>3695.6</v>
      </c>
      <c r="DJ124" vm="7072">
        <f ca="1"/>
        <v>3718.65</v>
      </c>
      <c r="DK124" vm="7073">
        <f ca="1"/>
        <v>3719.9</v>
      </c>
      <c r="DL124" vm="2764">
        <f ca="1"/>
        <v>3703.2</v>
      </c>
      <c r="DM124" vm="7074">
        <f ca="1"/>
        <v>3702.3</v>
      </c>
      <c r="DN124" vm="7075">
        <f ca="1"/>
        <v>3719.1</v>
      </c>
      <c r="DO124" vm="7076">
        <f ca="1"/>
        <v>3691.55</v>
      </c>
      <c r="DP124" vm="7077">
        <f ca="1"/>
        <v>3695.15</v>
      </c>
      <c r="DQ124" vm="7078">
        <f ca="1"/>
        <v>3696.8</v>
      </c>
      <c r="DR124" vm="7079">
        <f ca="1"/>
        <v>3675.4</v>
      </c>
      <c r="DS124" vm="7080">
        <f ca="1"/>
        <v>3648.3</v>
      </c>
      <c r="DT124" vm="7081">
        <f ca="1"/>
        <v>3606.4</v>
      </c>
      <c r="DU124" vm="7082">
        <f ca="1"/>
        <v>3530.25</v>
      </c>
      <c r="DV124" vm="7083">
        <f ca="1"/>
        <v>3476.3</v>
      </c>
      <c r="DW124" vm="7084">
        <f ca="1"/>
        <v>3429.8</v>
      </c>
      <c r="DX124" vm="7085">
        <f ca="1"/>
        <v>3431.95</v>
      </c>
      <c r="DY124" vm="7086">
        <f ca="1"/>
        <v>3424.15</v>
      </c>
      <c r="DZ124" vm="7087">
        <f ca="1"/>
        <v>3438.25</v>
      </c>
      <c r="EA124" vm="7088">
        <f ca="1"/>
        <v>3479.75</v>
      </c>
      <c r="EB124" vm="7089">
        <f ca="1"/>
        <v>3477.05</v>
      </c>
      <c r="EC124" vm="7090">
        <f ca="1"/>
        <v>3538.85</v>
      </c>
      <c r="ED124" vm="7091">
        <f ca="1"/>
        <v>3636.05</v>
      </c>
      <c r="EE124" vm="7092">
        <f ca="1"/>
        <v>3604.65</v>
      </c>
      <c r="EF124" vm="7093">
        <f ca="1"/>
        <v>3603.15</v>
      </c>
      <c r="EG124" vm="7094">
        <f ca="1"/>
        <v>3597.25</v>
      </c>
      <c r="EH124" vm="7095">
        <f ca="1"/>
        <v>3609.45</v>
      </c>
      <c r="EI124" vm="7096">
        <f ca="1"/>
        <v>3624.5</v>
      </c>
      <c r="EJ124" vm="7097">
        <f ca="1"/>
        <v>3638.1</v>
      </c>
      <c r="EK124" vm="7098">
        <f ca="1"/>
        <v>3645.6</v>
      </c>
      <c r="EL124" vm="7099">
        <f ca="1"/>
        <v>3649.75</v>
      </c>
      <c r="EM124" vm="7100">
        <f ca="1"/>
        <v>3620.05</v>
      </c>
      <c r="EN124" vm="7101">
        <f ca="1"/>
        <v>3606.8</v>
      </c>
      <c r="EO124" vm="7102">
        <f ca="1"/>
        <v>3626.75</v>
      </c>
      <c r="EP124" vm="7103">
        <f ca="1"/>
        <v>3610.45</v>
      </c>
      <c r="EQ124" vm="7104">
        <f ca="1"/>
        <v>3708.1</v>
      </c>
      <c r="ER124" vm="7105">
        <f ca="1"/>
        <v>3732.75</v>
      </c>
      <c r="ES124" vm="7106">
        <f ca="1"/>
        <v>3692.7</v>
      </c>
      <c r="ET124" vm="7107">
        <f ca="1"/>
        <v>3703.75</v>
      </c>
      <c r="EU124" vm="7108">
        <f ca="1"/>
        <v>3701.1</v>
      </c>
      <c r="EV124" vm="7109">
        <f ca="1"/>
        <v>3729.9</v>
      </c>
      <c r="EW124" vm="7110">
        <f ca="1"/>
        <v>3740.1</v>
      </c>
      <c r="EX124" vm="7111">
        <f ca="1"/>
        <v>3803.45</v>
      </c>
      <c r="EY124" vm="7112">
        <f ca="1"/>
        <v>3794.45</v>
      </c>
      <c r="EZ124" vm="7113">
        <f ca="1"/>
        <v>3795.9</v>
      </c>
      <c r="FA124" vm="7114">
        <f ca="1"/>
        <v>3802.9</v>
      </c>
      <c r="FB124" vm="7115">
        <f ca="1"/>
        <v>3801</v>
      </c>
      <c r="FC124" vm="7116">
        <f ca="1"/>
        <v>3769.4</v>
      </c>
      <c r="FD124" vm="7117">
        <f ca="1"/>
        <v>3789.85</v>
      </c>
      <c r="FE124" vm="7118">
        <f ca="1"/>
        <v>3862.65</v>
      </c>
      <c r="FF124" vm="7119">
        <f ca="1"/>
        <v>3870.75</v>
      </c>
      <c r="FG124" vm="7120">
        <f ca="1"/>
        <v>3881.8</v>
      </c>
      <c r="FH124" vm="7121">
        <f ca="1"/>
        <v>3867.4</v>
      </c>
      <c r="FI124" vm="7122">
        <f ca="1"/>
        <v>3721.3</v>
      </c>
      <c r="FJ124" vm="7123">
        <f ca="1"/>
        <v>3743.9</v>
      </c>
      <c r="FK124" vm="7124">
        <f ca="1"/>
        <v>3763.5</v>
      </c>
      <c r="FL124" vm="7125">
        <f ca="1"/>
        <v>3797.85</v>
      </c>
      <c r="FM124" vm="7126">
        <f ca="1"/>
        <v>3851</v>
      </c>
      <c r="FN124" vm="2772">
        <f ca="1"/>
        <v>3840.55</v>
      </c>
      <c r="FO124" vm="7127">
        <f ca="1"/>
        <v>3853.2</v>
      </c>
      <c r="FP124" vm="7128">
        <f ca="1"/>
        <v>3857.55</v>
      </c>
      <c r="FQ124" vm="7129">
        <f ca="1"/>
        <v>3856.85</v>
      </c>
      <c r="FR124" vm="7130">
        <f ca="1"/>
        <v>3867.85</v>
      </c>
      <c r="FS124" vm="7131">
        <f ca="1"/>
        <v>3796.2</v>
      </c>
      <c r="FT124" vm="7132">
        <f ca="1"/>
        <v>3822.65</v>
      </c>
      <c r="FU124" vm="7133">
        <f ca="1"/>
        <v>3609.7</v>
      </c>
      <c r="FV124" vm="7134">
        <f ca="1"/>
        <v>3500.85</v>
      </c>
      <c r="FW124" vm="7135">
        <f ca="1"/>
        <v>3491.05</v>
      </c>
      <c r="FX124" vm="7136">
        <f ca="1"/>
        <v>3531.4</v>
      </c>
      <c r="FY124" vm="7137">
        <f ca="1"/>
        <v>3534.85</v>
      </c>
      <c r="FZ124" vm="7138">
        <f ca="1"/>
        <v>3536.2</v>
      </c>
      <c r="GA124" vm="7139">
        <f ca="1"/>
        <v>3489.75</v>
      </c>
      <c r="GB124" vm="7140">
        <f ca="1"/>
        <v>3445.95</v>
      </c>
      <c r="GC124" vm="7141">
        <f ca="1"/>
        <v>3402.5</v>
      </c>
      <c r="GD124" vm="7142">
        <f ca="1"/>
        <v>3411</v>
      </c>
      <c r="GE124" vm="7143">
        <f ca="1"/>
        <v>3442.4</v>
      </c>
      <c r="GF124" vm="7144">
        <f ca="1"/>
        <v>3362.35</v>
      </c>
      <c r="GG124" vm="7145">
        <f ca="1"/>
        <v>3420.3</v>
      </c>
      <c r="GH124" vm="7146">
        <f ca="1"/>
        <v>3344.55</v>
      </c>
      <c r="GI124" vm="7147">
        <f ca="1"/>
        <v>3324.1</v>
      </c>
      <c r="GJ124" vm="7148">
        <f ca="1"/>
        <v>3308.05</v>
      </c>
      <c r="GK124" vm="7149">
        <f ca="1"/>
        <v>3417.5</v>
      </c>
      <c r="GL124" vm="7150">
        <f ca="1"/>
        <v>3322.6</v>
      </c>
      <c r="GM124" vm="7151">
        <f ca="1"/>
        <v>3325.2</v>
      </c>
      <c r="GN124" vm="7152">
        <f ca="1"/>
        <v>3235.15</v>
      </c>
      <c r="GO124" vm="7153">
        <f ca="1"/>
        <v>3261.5</v>
      </c>
      <c r="GP124" vm="7154">
        <f ca="1"/>
        <v>3093.2</v>
      </c>
      <c r="GQ124" vm="7155">
        <f ca="1"/>
        <v>3073.4</v>
      </c>
      <c r="GR124" vm="7156">
        <f ca="1"/>
        <v>3028.4</v>
      </c>
      <c r="GS124" vm="7157">
        <f ca="1"/>
        <v>3073.95</v>
      </c>
      <c r="GT124" vm="7158">
        <f ca="1"/>
        <v>3103.5</v>
      </c>
      <c r="GU124" vm="7159">
        <f ca="1"/>
        <v>3102.85</v>
      </c>
      <c r="GV124" vm="7160">
        <f ca="1"/>
        <v>3126.1</v>
      </c>
      <c r="GW124" vm="7161">
        <f ca="1"/>
        <v>3174.25</v>
      </c>
      <c r="GX124" vm="7162">
        <f ca="1"/>
        <v>3172.35</v>
      </c>
      <c r="GY124" vm="7163">
        <f ca="1"/>
        <v>3203.5</v>
      </c>
      <c r="GZ124" vm="7164">
        <f ca="1"/>
        <v>3164.95</v>
      </c>
      <c r="HA124" vm="7165">
        <f ca="1"/>
        <v>3194.3</v>
      </c>
      <c r="HB124" vm="7166">
        <f ca="1"/>
        <v>3150.7</v>
      </c>
      <c r="HC124" vm="7167">
        <f ca="1"/>
        <v>3108.9</v>
      </c>
      <c r="HD124" vm="7168">
        <f ca="1"/>
        <v>3120.55</v>
      </c>
      <c r="HE124" vm="7169">
        <f ca="1"/>
        <v>3017.7</v>
      </c>
      <c r="HF124" vm="7170">
        <f ca="1"/>
        <v>3021.1</v>
      </c>
      <c r="HG124" vm="7171">
        <f ca="1"/>
        <v>3053.65</v>
      </c>
      <c r="HH124" vm="7172">
        <f ca="1"/>
        <v>3069</v>
      </c>
      <c r="HI124" vm="7173">
        <f ca="1"/>
        <v>3050.2</v>
      </c>
      <c r="HJ124" vm="7174">
        <f ca="1"/>
        <v>3043.45</v>
      </c>
      <c r="HK124" vm="7175">
        <f ca="1"/>
        <v>3025.55</v>
      </c>
      <c r="HL124" vm="7176">
        <f ca="1"/>
        <v>3059.8</v>
      </c>
      <c r="HM124" vm="7177">
        <f ca="1"/>
        <v>3049.85</v>
      </c>
      <c r="HN124" vm="7178">
        <f ca="1"/>
        <v>3018.95</v>
      </c>
      <c r="HO124" vm="7179">
        <f ca="1"/>
        <v>2924.25</v>
      </c>
      <c r="HP124" vm="7180">
        <f ca="1"/>
        <v>2998.05</v>
      </c>
      <c r="HQ124" vm="7181">
        <f ca="1"/>
        <v>3001.15</v>
      </c>
      <c r="HR124" vm="7182">
        <f ca="1"/>
        <v>3011.45</v>
      </c>
      <c r="HS124" vm="7183">
        <f ca="1"/>
        <v>2997.45</v>
      </c>
      <c r="HT124" vm="7184">
        <f ca="1"/>
        <v>2966.55</v>
      </c>
      <c r="HU124" vm="7185">
        <f ca="1"/>
        <v>3086.05</v>
      </c>
      <c r="HV124" vm="7186">
        <f ca="1"/>
        <v>3092.95</v>
      </c>
      <c r="HW124" vm="7187">
        <f ca="1"/>
        <v>3127.95</v>
      </c>
      <c r="HX124" vm="7188">
        <f ca="1"/>
        <v>3136.05</v>
      </c>
      <c r="HY124" vm="7189">
        <f ca="1"/>
        <v>3114.3</v>
      </c>
      <c r="HZ124" vm="7190">
        <f ca="1"/>
        <v>3130.7</v>
      </c>
      <c r="IA124" vm="7191">
        <f ca="1"/>
        <v>3150.9</v>
      </c>
      <c r="IB124" vm="7192">
        <f ca="1"/>
        <v>3145.55</v>
      </c>
      <c r="IC124" vm="7193">
        <f ca="1"/>
        <v>3132.95</v>
      </c>
      <c r="ID124" vm="7194">
        <f ca="1"/>
        <v>3147.6</v>
      </c>
      <c r="IE124" vm="7195">
        <f ca="1"/>
        <v>3096.4</v>
      </c>
      <c r="IF124" vm="7196">
        <f ca="1"/>
        <v>3057.6</v>
      </c>
      <c r="IG124" vm="7197">
        <f ca="1"/>
        <v>3245.7</v>
      </c>
      <c r="IH124" vm="7198">
        <f ca="1"/>
        <v>3296.65</v>
      </c>
      <c r="II124" vm="7199">
        <f ca="1"/>
        <v>3244.75</v>
      </c>
      <c r="IJ124" vm="7200">
        <f ca="1"/>
        <v>3229.5</v>
      </c>
      <c r="IK124" vm="7201">
        <f ca="1"/>
        <v>3228.85</v>
      </c>
      <c r="IL124" vm="7202">
        <f ca="1"/>
        <v>3222.65</v>
      </c>
      <c r="IM124" vm="7203">
        <f ca="1"/>
        <v>3278.6</v>
      </c>
      <c r="IN124" vm="7204">
        <f ca="1"/>
        <v>3374.15</v>
      </c>
      <c r="IO124" vm="7205">
        <f ca="1"/>
        <v>3283.5</v>
      </c>
      <c r="IP124" vm="7206">
        <f ca="1"/>
        <v>3306.85</v>
      </c>
      <c r="IQ124" vm="7207">
        <f ca="1"/>
        <v>3309.75</v>
      </c>
      <c r="IR124" vm="7208">
        <f ca="1"/>
        <v>3424.85</v>
      </c>
    </row>
    <row r="125" spans="4:252" x14ac:dyDescent="0.35">
      <c r="D125" t="e" vm="32">
        <v>#VALUE!</v>
      </c>
      <c r="E125" cm="1" vm="7209">
        <f t="array" aca="1" ref="E125:IR125" ca="1">TRANSPOSE((_xlfn.STOCKHISTORY('Portfolio Tracker '!$C39,TODAY()-365,TODAY(),0,0,1)))</f>
        <v>2419.75</v>
      </c>
      <c r="F125" vm="7210">
        <f ca="1"/>
        <v>2463.9499999999998</v>
      </c>
      <c r="G125" vm="7211">
        <f ca="1"/>
        <v>2465.15</v>
      </c>
      <c r="H125" vm="7212">
        <f ca="1"/>
        <v>2472.1</v>
      </c>
      <c r="I125" vm="7213">
        <f ca="1"/>
        <v>2450.6999999999998</v>
      </c>
      <c r="J125" vm="7214">
        <f ca="1"/>
        <v>2471.75</v>
      </c>
      <c r="K125" vm="7215">
        <f ca="1"/>
        <v>2509.4</v>
      </c>
      <c r="L125" vm="7216">
        <f ca="1"/>
        <v>2566.4499999999998</v>
      </c>
      <c r="M125" vm="7217">
        <f ca="1"/>
        <v>2587.25</v>
      </c>
      <c r="N125" vm="7218">
        <f ca="1"/>
        <v>2550.35</v>
      </c>
      <c r="O125" vm="7219">
        <f ca="1"/>
        <v>2544.1999999999998</v>
      </c>
      <c r="P125" vm="7220">
        <f ca="1"/>
        <v>2545.1</v>
      </c>
      <c r="Q125" vm="7221">
        <f ca="1"/>
        <v>2552.25</v>
      </c>
      <c r="R125" vm="7222">
        <f ca="1"/>
        <v>2566.6</v>
      </c>
      <c r="S125" vm="7223">
        <f ca="1"/>
        <v>2535.1999999999998</v>
      </c>
      <c r="T125" vm="7224">
        <f ca="1"/>
        <v>2533.3000000000002</v>
      </c>
      <c r="U125" vm="7225">
        <f ca="1"/>
        <v>2526.65</v>
      </c>
      <c r="V125" vm="7226">
        <f ca="1"/>
        <v>2523.25</v>
      </c>
      <c r="W125" vm="7227">
        <f ca="1"/>
        <v>2586.15</v>
      </c>
      <c r="X125" vm="7228">
        <f ca="1"/>
        <v>2582.9499999999998</v>
      </c>
      <c r="Y125" vm="7229">
        <f ca="1"/>
        <v>2594.1999999999998</v>
      </c>
      <c r="Z125" vm="7230">
        <f ca="1"/>
        <v>2607.85</v>
      </c>
      <c r="AA125" vm="7231">
        <f ca="1"/>
        <v>2651.55</v>
      </c>
      <c r="AB125" vm="7232">
        <f ca="1"/>
        <v>2632.45</v>
      </c>
      <c r="AC125" vm="7233">
        <f ca="1"/>
        <v>2638.55</v>
      </c>
      <c r="AD125" vm="7234">
        <f ca="1"/>
        <v>2624.1</v>
      </c>
      <c r="AE125" vm="7235">
        <f ca="1"/>
        <v>2654.85</v>
      </c>
      <c r="AF125" vm="7236">
        <f ca="1"/>
        <v>2634.45</v>
      </c>
      <c r="AG125" vm="4400">
        <f ca="1"/>
        <v>2614.9499999999998</v>
      </c>
      <c r="AH125" vm="7237">
        <f ca="1"/>
        <v>2640.75</v>
      </c>
      <c r="AI125" vm="7238">
        <f ca="1"/>
        <v>2686.65</v>
      </c>
      <c r="AJ125" vm="7239">
        <f ca="1"/>
        <v>2693.1</v>
      </c>
      <c r="AK125" vm="7240">
        <f ca="1"/>
        <v>2680.7</v>
      </c>
      <c r="AL125" vm="7241">
        <f ca="1"/>
        <v>2697.7</v>
      </c>
      <c r="AM125" vm="7242">
        <f ca="1"/>
        <v>2673.3</v>
      </c>
      <c r="AN125" vm="7243">
        <f ca="1"/>
        <v>2678.5</v>
      </c>
      <c r="AO125" vm="6823">
        <f ca="1"/>
        <v>2671.25</v>
      </c>
      <c r="AP125" vm="7244">
        <f ca="1"/>
        <v>2636.3</v>
      </c>
      <c r="AQ125" vm="7245">
        <f ca="1"/>
        <v>2658.3</v>
      </c>
      <c r="AR125" vm="7246">
        <f ca="1"/>
        <v>2630.9</v>
      </c>
      <c r="AS125" vm="7247">
        <f ca="1"/>
        <v>2621.35</v>
      </c>
      <c r="AT125" vm="7248">
        <f ca="1"/>
        <v>2598.65</v>
      </c>
      <c r="AU125" vm="7249">
        <f ca="1"/>
        <v>2597.1</v>
      </c>
      <c r="AV125" vm="7250">
        <f ca="1"/>
        <v>2571.4499999999998</v>
      </c>
      <c r="AW125" vm="7251">
        <f ca="1"/>
        <v>2570.4499999999998</v>
      </c>
      <c r="AX125" vm="7252">
        <f ca="1"/>
        <v>2608.85</v>
      </c>
      <c r="AY125" vm="7253">
        <f ca="1"/>
        <v>2649</v>
      </c>
      <c r="AZ125" vm="7254">
        <f ca="1"/>
        <v>2612.9499999999998</v>
      </c>
      <c r="BA125" vm="7255">
        <f ca="1"/>
        <v>2595.85</v>
      </c>
      <c r="BB125" vm="7256">
        <f ca="1"/>
        <v>2638.85</v>
      </c>
      <c r="BC125" vm="7257">
        <f ca="1"/>
        <v>2622.45</v>
      </c>
      <c r="BD125" vm="7258">
        <f ca="1"/>
        <v>2618.1999999999998</v>
      </c>
      <c r="BE125" vm="7259">
        <f ca="1"/>
        <v>2623.5</v>
      </c>
      <c r="BF125" vm="7260">
        <f ca="1"/>
        <v>2639.6</v>
      </c>
      <c r="BG125" vm="7261">
        <f ca="1"/>
        <v>2658.1</v>
      </c>
      <c r="BH125" vm="7262">
        <f ca="1"/>
        <v>2685.95</v>
      </c>
      <c r="BI125" vm="4419">
        <f ca="1"/>
        <v>2676.6</v>
      </c>
      <c r="BJ125" vm="7263">
        <f ca="1"/>
        <v>2662.8</v>
      </c>
      <c r="BK125" vm="7264">
        <f ca="1"/>
        <v>2651.6</v>
      </c>
      <c r="BL125" vm="7265">
        <f ca="1"/>
        <v>2607.4</v>
      </c>
      <c r="BM125" vm="7266">
        <f ca="1"/>
        <v>2618</v>
      </c>
      <c r="BN125" vm="7267">
        <f ca="1"/>
        <v>2602.75</v>
      </c>
      <c r="BO125" vm="7268">
        <f ca="1"/>
        <v>2615.85</v>
      </c>
      <c r="BP125" vm="4400">
        <f ca="1"/>
        <v>2614.9499999999998</v>
      </c>
      <c r="BQ125" vm="7269">
        <f ca="1"/>
        <v>2634.8</v>
      </c>
      <c r="BR125" vm="7270">
        <f ca="1"/>
        <v>2626.75</v>
      </c>
      <c r="BS125" vm="7271">
        <f ca="1"/>
        <v>2584.5</v>
      </c>
      <c r="BT125" vm="7272">
        <f ca="1"/>
        <v>2609.8000000000002</v>
      </c>
      <c r="BU125" vm="7273">
        <f ca="1"/>
        <v>2610.6</v>
      </c>
      <c r="BV125" vm="7274">
        <f ca="1"/>
        <v>2623.8</v>
      </c>
      <c r="BW125" vm="7275">
        <f ca="1"/>
        <v>2603.6</v>
      </c>
      <c r="BX125" vm="7276">
        <f ca="1"/>
        <v>2520.1</v>
      </c>
      <c r="BY125" vm="7277">
        <f ca="1"/>
        <v>2544.65</v>
      </c>
      <c r="BZ125" vm="7278">
        <f ca="1"/>
        <v>2537.4</v>
      </c>
      <c r="CA125" vm="7279">
        <f ca="1"/>
        <v>2539.65</v>
      </c>
      <c r="CB125" vm="7280">
        <f ca="1"/>
        <v>2503.15</v>
      </c>
      <c r="CC125" vm="7281">
        <f ca="1"/>
        <v>2477.6</v>
      </c>
      <c r="CD125" vm="7282">
        <f ca="1"/>
        <v>2486.75</v>
      </c>
      <c r="CE125" vm="7283">
        <f ca="1"/>
        <v>2494.3000000000002</v>
      </c>
      <c r="CF125" vm="7284">
        <f ca="1"/>
        <v>2506.9499999999998</v>
      </c>
      <c r="CG125" vm="7285">
        <f ca="1"/>
        <v>2521.6</v>
      </c>
      <c r="CH125" vm="7286">
        <f ca="1"/>
        <v>2527.9</v>
      </c>
      <c r="CI125" vm="7287">
        <f ca="1"/>
        <v>2514.1</v>
      </c>
      <c r="CJ125" vm="7288">
        <f ca="1"/>
        <v>2581.9499999999998</v>
      </c>
      <c r="CK125" vm="7289">
        <f ca="1"/>
        <v>2574.85</v>
      </c>
      <c r="CL125" vm="7290">
        <f ca="1"/>
        <v>2515</v>
      </c>
      <c r="CM125" vm="7291">
        <f ca="1"/>
        <v>2498.25</v>
      </c>
      <c r="CN125" vm="7292">
        <f ca="1"/>
        <v>2474.85</v>
      </c>
      <c r="CO125" vm="7293">
        <f ca="1"/>
        <v>2491.3000000000002</v>
      </c>
      <c r="CP125" vm="7294">
        <f ca="1"/>
        <v>2502.4</v>
      </c>
      <c r="CQ125" vm="7295">
        <f ca="1"/>
        <v>2507.4</v>
      </c>
      <c r="CR125" vm="4466">
        <f ca="1"/>
        <v>2505.0500000000002</v>
      </c>
      <c r="CS125" vm="7296">
        <f ca="1"/>
        <v>2523.75</v>
      </c>
      <c r="CT125" vm="7297">
        <f ca="1"/>
        <v>2487.25</v>
      </c>
      <c r="CU125" vm="7298">
        <f ca="1"/>
        <v>2488.5500000000002</v>
      </c>
      <c r="CV125" vm="7299">
        <f ca="1"/>
        <v>2483.1999999999998</v>
      </c>
      <c r="CW125" vm="7300">
        <f ca="1"/>
        <v>2481.5</v>
      </c>
      <c r="CX125" vm="7301">
        <f ca="1"/>
        <v>2508.15</v>
      </c>
      <c r="CY125" vm="7302">
        <f ca="1"/>
        <v>2499.1999999999998</v>
      </c>
      <c r="CZ125" vm="7303">
        <f ca="1"/>
        <v>2512.85</v>
      </c>
      <c r="DA125" vm="7304">
        <f ca="1"/>
        <v>2517.6999999999998</v>
      </c>
      <c r="DB125" vm="7305">
        <f ca="1"/>
        <v>2494.5</v>
      </c>
      <c r="DC125" vm="4453">
        <f ca="1"/>
        <v>2501.8000000000002</v>
      </c>
      <c r="DD125" vm="7306">
        <f ca="1"/>
        <v>2499.5</v>
      </c>
      <c r="DE125" vm="7307">
        <f ca="1"/>
        <v>2421.35</v>
      </c>
      <c r="DF125" vm="7308">
        <f ca="1"/>
        <v>2439.5</v>
      </c>
      <c r="DG125" vm="1264">
        <f ca="1"/>
        <v>2425.4</v>
      </c>
      <c r="DH125" vm="7309">
        <f ca="1"/>
        <v>2406.4</v>
      </c>
      <c r="DI125" vm="7310">
        <f ca="1"/>
        <v>2429.1999999999998</v>
      </c>
      <c r="DJ125" vm="7311">
        <f ca="1"/>
        <v>2454.35</v>
      </c>
      <c r="DK125" vm="7312">
        <f ca="1"/>
        <v>2425</v>
      </c>
      <c r="DL125" vm="7313">
        <f ca="1"/>
        <v>2450.1</v>
      </c>
      <c r="DM125" vm="7314">
        <f ca="1"/>
        <v>2487.65</v>
      </c>
      <c r="DN125" vm="7315">
        <f ca="1"/>
        <v>2481.9</v>
      </c>
      <c r="DO125" vm="7316">
        <f ca="1"/>
        <v>2460.0500000000002</v>
      </c>
      <c r="DP125" vm="7317">
        <f ca="1"/>
        <v>2434.6</v>
      </c>
      <c r="DQ125" vm="7318">
        <f ca="1"/>
        <v>2427.35</v>
      </c>
      <c r="DR125" vm="7319">
        <f ca="1"/>
        <v>2407.25</v>
      </c>
      <c r="DS125" vm="7320">
        <f ca="1"/>
        <v>2374.85</v>
      </c>
      <c r="DT125" vm="7321">
        <f ca="1"/>
        <v>2373.1999999999998</v>
      </c>
      <c r="DU125" vm="7322">
        <f ca="1"/>
        <v>2351</v>
      </c>
      <c r="DV125" vm="7323">
        <f ca="1"/>
        <v>2326.3000000000002</v>
      </c>
      <c r="DW125" vm="7324">
        <f ca="1"/>
        <v>2295.4</v>
      </c>
      <c r="DX125" vm="7325">
        <f ca="1"/>
        <v>2316.8000000000002</v>
      </c>
      <c r="DY125" vm="7326">
        <f ca="1"/>
        <v>2312.15</v>
      </c>
      <c r="DZ125" vm="7327">
        <f ca="1"/>
        <v>2458</v>
      </c>
      <c r="EA125" vm="7328">
        <f ca="1"/>
        <v>2406.35</v>
      </c>
      <c r="EB125" vm="4561">
        <f ca="1"/>
        <v>2428.3000000000002</v>
      </c>
      <c r="EC125" vm="7329">
        <f ca="1"/>
        <v>2455.5</v>
      </c>
      <c r="ED125" vm="7330">
        <f ca="1"/>
        <v>2433.6999999999998</v>
      </c>
      <c r="EE125" vm="7331">
        <f ca="1"/>
        <v>2438.3000000000002</v>
      </c>
      <c r="EF125" vm="7332">
        <f ca="1"/>
        <v>2473.15</v>
      </c>
      <c r="EG125" vm="7333">
        <f ca="1"/>
        <v>2457.5500000000002</v>
      </c>
      <c r="EH125" vm="7334">
        <f ca="1"/>
        <v>2432.35</v>
      </c>
      <c r="EI125" vm="7335">
        <f ca="1"/>
        <v>2440.9</v>
      </c>
      <c r="EJ125" vm="7336">
        <f ca="1"/>
        <v>2428.6</v>
      </c>
      <c r="EK125" vm="7337">
        <f ca="1"/>
        <v>2460.3000000000002</v>
      </c>
      <c r="EL125" vm="7338">
        <f ca="1"/>
        <v>2459.1</v>
      </c>
      <c r="EM125" vm="7339">
        <f ca="1"/>
        <v>2510.3000000000002</v>
      </c>
      <c r="EN125" vm="7340">
        <f ca="1"/>
        <v>2483.5500000000002</v>
      </c>
      <c r="EO125" vm="7341">
        <f ca="1"/>
        <v>2495.6</v>
      </c>
      <c r="EP125" vm="7342">
        <f ca="1"/>
        <v>2488.35</v>
      </c>
      <c r="EQ125" vm="7343">
        <f ca="1"/>
        <v>2509.3000000000002</v>
      </c>
      <c r="ER125" vm="7344">
        <f ca="1"/>
        <v>2504.1</v>
      </c>
      <c r="ES125" vm="7345">
        <f ca="1"/>
        <v>2488.0500000000002</v>
      </c>
      <c r="ET125" vm="7346">
        <f ca="1"/>
        <v>2503.6</v>
      </c>
      <c r="EU125" vm="7347">
        <f ca="1"/>
        <v>2552.35</v>
      </c>
      <c r="EV125" vm="7348">
        <f ca="1"/>
        <v>2562.15</v>
      </c>
      <c r="EW125" vm="7349">
        <f ca="1"/>
        <v>2553.4499999999998</v>
      </c>
      <c r="EX125" vm="7350">
        <f ca="1"/>
        <v>2571</v>
      </c>
      <c r="EY125" vm="7351">
        <f ca="1"/>
        <v>2576.15</v>
      </c>
      <c r="EZ125" vm="7352">
        <f ca="1"/>
        <v>2588.85</v>
      </c>
      <c r="FA125" vm="7353">
        <f ca="1"/>
        <v>2561.65</v>
      </c>
      <c r="FB125" vm="4524">
        <f ca="1"/>
        <v>2545.5500000000002</v>
      </c>
      <c r="FC125" vm="7354">
        <f ca="1"/>
        <v>2607.5</v>
      </c>
      <c r="FD125" vm="7355">
        <f ca="1"/>
        <v>2623.25</v>
      </c>
      <c r="FE125" vm="7356">
        <f ca="1"/>
        <v>2634.3</v>
      </c>
      <c r="FF125" vm="7357">
        <f ca="1"/>
        <v>2651.05</v>
      </c>
      <c r="FG125" vm="7358">
        <f ca="1"/>
        <v>2647.5</v>
      </c>
      <c r="FH125" vm="7359">
        <f ca="1"/>
        <v>2648.75</v>
      </c>
      <c r="FI125" vm="7360">
        <f ca="1"/>
        <v>2584.1999999999998</v>
      </c>
      <c r="FJ125" vm="7361">
        <f ca="1"/>
        <v>2616.1</v>
      </c>
      <c r="FK125" vm="4413">
        <f ca="1"/>
        <v>2643.45</v>
      </c>
      <c r="FL125" vm="7362">
        <f ca="1"/>
        <v>2667.95</v>
      </c>
      <c r="FM125" vm="7363">
        <f ca="1"/>
        <v>2699.1</v>
      </c>
      <c r="FN125" vm="7364">
        <f ca="1"/>
        <v>2708.3</v>
      </c>
      <c r="FO125" vm="7365">
        <f ca="1"/>
        <v>2715.1</v>
      </c>
      <c r="FP125" vm="7366">
        <f ca="1"/>
        <v>2697.5</v>
      </c>
      <c r="FQ125" vm="7367">
        <f ca="1"/>
        <v>2737.7</v>
      </c>
      <c r="FR125" vm="7368">
        <f ca="1"/>
        <v>2772.25</v>
      </c>
      <c r="FS125" vm="7369">
        <f ca="1"/>
        <v>2769.05</v>
      </c>
      <c r="FT125" vm="7370">
        <f ca="1"/>
        <v>2722.6</v>
      </c>
      <c r="FU125" vm="7371">
        <f ca="1"/>
        <v>2714.65</v>
      </c>
      <c r="FV125" vm="7372">
        <f ca="1"/>
        <v>2724.1</v>
      </c>
      <c r="FW125" vm="7373">
        <f ca="1"/>
        <v>2709.3</v>
      </c>
      <c r="FX125" vm="7374">
        <f ca="1"/>
        <v>2740.55</v>
      </c>
      <c r="FY125" vm="7375">
        <f ca="1"/>
        <v>2735.1</v>
      </c>
      <c r="FZ125" vm="7376">
        <f ca="1"/>
        <v>2754.25</v>
      </c>
      <c r="GA125" vm="7377">
        <f ca="1"/>
        <v>2795.55</v>
      </c>
      <c r="GB125" vm="7378">
        <f ca="1"/>
        <v>2757.75</v>
      </c>
      <c r="GC125" vm="7379">
        <f ca="1"/>
        <v>2698.4</v>
      </c>
      <c r="GD125" vm="7380">
        <f ca="1"/>
        <v>2687.7</v>
      </c>
      <c r="GE125" vm="7381">
        <f ca="1"/>
        <v>2677.5</v>
      </c>
      <c r="GF125" vm="7382">
        <f ca="1"/>
        <v>2522.6</v>
      </c>
      <c r="GG125" vm="7383">
        <f ca="1"/>
        <v>2592.0500000000002</v>
      </c>
      <c r="GH125" vm="7384">
        <f ca="1"/>
        <v>2590.15</v>
      </c>
      <c r="GI125" vm="7385">
        <f ca="1"/>
        <v>2569.3000000000002</v>
      </c>
      <c r="GJ125" vm="7386">
        <f ca="1"/>
        <v>2567.6999999999998</v>
      </c>
      <c r="GK125" vm="7387">
        <f ca="1"/>
        <v>2533.0500000000002</v>
      </c>
      <c r="GL125" vm="7388">
        <f ca="1"/>
        <v>2510.4499999999998</v>
      </c>
      <c r="GM125" vm="7389">
        <f ca="1"/>
        <v>2515.35</v>
      </c>
      <c r="GN125" vm="7390">
        <f ca="1"/>
        <v>2554.1999999999998</v>
      </c>
      <c r="GO125" vm="7391">
        <f ca="1"/>
        <v>2614.4499999999998</v>
      </c>
      <c r="GP125" vm="7392">
        <f ca="1"/>
        <v>2695.85</v>
      </c>
      <c r="GQ125" vm="7393">
        <f ca="1"/>
        <v>2622.5</v>
      </c>
      <c r="GR125" vm="7394">
        <f ca="1"/>
        <v>2657.95</v>
      </c>
      <c r="GS125" vm="7395">
        <f ca="1"/>
        <v>2670.3</v>
      </c>
      <c r="GT125" vm="7396">
        <f ca="1"/>
        <v>2671.3</v>
      </c>
      <c r="GU125" vm="7397">
        <f ca="1"/>
        <v>2663.2</v>
      </c>
      <c r="GV125" vm="7398">
        <f ca="1"/>
        <v>2653.55</v>
      </c>
      <c r="GW125" vm="7399">
        <f ca="1"/>
        <v>2711.1</v>
      </c>
      <c r="GX125" vm="7400">
        <f ca="1"/>
        <v>2711.15</v>
      </c>
      <c r="GY125" vm="7401">
        <f ca="1"/>
        <v>2745.6</v>
      </c>
      <c r="GZ125" vm="7402">
        <f ca="1"/>
        <v>2729.15</v>
      </c>
      <c r="HA125" vm="7403">
        <f ca="1"/>
        <v>2718.3</v>
      </c>
      <c r="HB125" vm="7404">
        <f ca="1"/>
        <v>2740.15</v>
      </c>
      <c r="HC125" vm="7405">
        <f ca="1"/>
        <v>2717.4</v>
      </c>
      <c r="HD125" vm="7406">
        <f ca="1"/>
        <v>2731.95</v>
      </c>
      <c r="HE125" vm="7407">
        <f ca="1"/>
        <v>2701.85</v>
      </c>
      <c r="HF125" vm="7408">
        <f ca="1"/>
        <v>2736</v>
      </c>
      <c r="HG125" vm="7409">
        <f ca="1"/>
        <v>2757.5</v>
      </c>
      <c r="HH125" vm="7410">
        <f ca="1"/>
        <v>2742.2</v>
      </c>
      <c r="HI125" vm="7411">
        <f ca="1"/>
        <v>2702.05</v>
      </c>
      <c r="HJ125" vm="7412">
        <f ca="1"/>
        <v>2699.7</v>
      </c>
      <c r="HK125" vm="7413">
        <f ca="1"/>
        <v>2831.55</v>
      </c>
      <c r="HL125" vm="7414">
        <f ca="1"/>
        <v>2865.85</v>
      </c>
      <c r="HM125" vm="7415">
        <f ca="1"/>
        <v>2906.4</v>
      </c>
      <c r="HN125" vm="7416">
        <f ca="1"/>
        <v>2855.9</v>
      </c>
      <c r="HO125" vm="7417">
        <f ca="1"/>
        <v>2823.2</v>
      </c>
      <c r="HP125" vm="7418">
        <f ca="1"/>
        <v>2861</v>
      </c>
      <c r="HQ125" vm="7419">
        <f ca="1"/>
        <v>2868</v>
      </c>
      <c r="HR125" vm="7420">
        <f ca="1"/>
        <v>2925.25</v>
      </c>
      <c r="HS125" vm="7421">
        <f ca="1"/>
        <v>2891.4</v>
      </c>
      <c r="HT125" vm="7422">
        <f ca="1"/>
        <v>2871.8</v>
      </c>
      <c r="HU125" vm="7423">
        <f ca="1"/>
        <v>2901.4</v>
      </c>
      <c r="HV125" vm="7424">
        <f ca="1"/>
        <v>2960.1</v>
      </c>
      <c r="HW125" vm="7425">
        <f ca="1"/>
        <v>3001.6</v>
      </c>
      <c r="HX125" vm="7426">
        <f ca="1"/>
        <v>2992.3</v>
      </c>
      <c r="HY125" vm="7427">
        <f ca="1"/>
        <v>3014.7</v>
      </c>
      <c r="HZ125" vm="7428">
        <f ca="1"/>
        <v>3051.55</v>
      </c>
      <c r="IA125" vm="7429">
        <f ca="1"/>
        <v>2999.75</v>
      </c>
      <c r="IB125" vm="7430">
        <f ca="1"/>
        <v>3002.9</v>
      </c>
      <c r="IC125" vm="7431">
        <f ca="1"/>
        <v>2997.8</v>
      </c>
      <c r="ID125" vm="7432">
        <f ca="1"/>
        <v>3000.8</v>
      </c>
      <c r="IE125" vm="7433">
        <f ca="1"/>
        <v>3044.2</v>
      </c>
      <c r="IF125" vm="7434">
        <f ca="1"/>
        <v>3014.55</v>
      </c>
      <c r="IG125" vm="7435">
        <f ca="1"/>
        <v>3000.1</v>
      </c>
      <c r="IH125" vm="7436">
        <f ca="1"/>
        <v>2985.85</v>
      </c>
      <c r="II125" vm="7437">
        <f ca="1"/>
        <v>2883.3</v>
      </c>
      <c r="IJ125" vm="7438">
        <f ca="1"/>
        <v>2879.1</v>
      </c>
      <c r="IK125" vm="7422">
        <f ca="1"/>
        <v>2871.8</v>
      </c>
      <c r="IL125" vm="7439">
        <f ca="1"/>
        <v>2830.7</v>
      </c>
      <c r="IM125" vm="7440">
        <f ca="1"/>
        <v>2898.05</v>
      </c>
      <c r="IN125" vm="7441">
        <f ca="1"/>
        <v>2914.4</v>
      </c>
      <c r="IO125" vm="7442">
        <f ca="1"/>
        <v>2950.4</v>
      </c>
      <c r="IP125" vm="7443">
        <f ca="1"/>
        <v>2919.45</v>
      </c>
      <c r="IQ125" vm="7444">
        <f ca="1"/>
        <v>2982.5</v>
      </c>
      <c r="IR125" vm="7170">
        <f ca="1"/>
        <v>3021.1</v>
      </c>
    </row>
    <row r="126" spans="4:252" x14ac:dyDescent="0.35">
      <c r="D126" t="e" vm="33">
        <v>#VALUE!</v>
      </c>
      <c r="E126" cm="1" vm="7445">
        <f t="array" aca="1" ref="E126:IR126" ca="1">TRANSPOSE((_xlfn.STOCKHISTORY('Portfolio Tracker '!$C40,TODAY()-365,TODAY(),0,0,1)))</f>
        <v>357.25</v>
      </c>
      <c r="F126" vm="5714">
        <f ca="1"/>
        <v>361.3</v>
      </c>
      <c r="G126" vm="7446">
        <f ca="1"/>
        <v>363.3</v>
      </c>
      <c r="H126" vm="6257">
        <f ca="1"/>
        <v>356.65</v>
      </c>
      <c r="I126" vm="7447">
        <f ca="1"/>
        <v>363.4</v>
      </c>
      <c r="J126" vm="7448">
        <f ca="1"/>
        <v>360.9</v>
      </c>
      <c r="K126" vm="7449">
        <f ca="1"/>
        <v>360.6</v>
      </c>
      <c r="L126" vm="7450">
        <f ca="1"/>
        <v>358.8</v>
      </c>
      <c r="M126" vm="7451">
        <f ca="1"/>
        <v>355.7</v>
      </c>
      <c r="N126" vm="7452">
        <f ca="1"/>
        <v>353.4</v>
      </c>
      <c r="O126" vm="7453">
        <f ca="1"/>
        <v>347.35</v>
      </c>
      <c r="P126" vm="7454">
        <f ca="1"/>
        <v>349.7</v>
      </c>
      <c r="Q126" vm="6258">
        <f ca="1"/>
        <v>359.1</v>
      </c>
      <c r="R126" vm="7455">
        <f ca="1"/>
        <v>358.95</v>
      </c>
      <c r="S126" vm="7456">
        <f ca="1"/>
        <v>359.75</v>
      </c>
      <c r="T126" vm="7457">
        <f ca="1"/>
        <v>357.8</v>
      </c>
      <c r="U126" vm="6179">
        <f ca="1"/>
        <v>355.95</v>
      </c>
      <c r="V126" vm="7458">
        <f ca="1"/>
        <v>356.9</v>
      </c>
      <c r="W126" vm="7459">
        <f ca="1"/>
        <v>374.3</v>
      </c>
      <c r="X126" vm="7460">
        <f ca="1"/>
        <v>386.15</v>
      </c>
      <c r="Y126" vm="7461">
        <f ca="1"/>
        <v>387.45</v>
      </c>
      <c r="Z126" vm="7462">
        <f ca="1"/>
        <v>393.65</v>
      </c>
      <c r="AA126" vm="7463">
        <f ca="1"/>
        <v>387.75</v>
      </c>
      <c r="AB126" vm="6346">
        <f ca="1"/>
        <v>383.9</v>
      </c>
      <c r="AC126" vm="7464">
        <f ca="1"/>
        <v>384.4</v>
      </c>
      <c r="AD126" vm="7465">
        <f ca="1"/>
        <v>385</v>
      </c>
      <c r="AE126" vm="7466">
        <f ca="1"/>
        <v>390.8</v>
      </c>
      <c r="AF126" vm="7467">
        <f ca="1"/>
        <v>394.55</v>
      </c>
      <c r="AG126" vm="6218">
        <f ca="1"/>
        <v>395.2</v>
      </c>
      <c r="AH126" vm="7463">
        <f ca="1"/>
        <v>387.75</v>
      </c>
      <c r="AI126" vm="7468">
        <f ca="1"/>
        <v>390</v>
      </c>
      <c r="AJ126" vm="7469">
        <f ca="1"/>
        <v>387.6</v>
      </c>
      <c r="AK126" vm="7470">
        <f ca="1"/>
        <v>388.65</v>
      </c>
      <c r="AL126" vm="7471">
        <f ca="1"/>
        <v>389.7</v>
      </c>
      <c r="AM126" vm="7472">
        <f ca="1"/>
        <v>393.3</v>
      </c>
      <c r="AN126" vm="7473">
        <f ca="1"/>
        <v>392.75</v>
      </c>
      <c r="AO126" vm="7474">
        <f ca="1"/>
        <v>386.35</v>
      </c>
      <c r="AP126" vm="7475">
        <f ca="1"/>
        <v>382.9</v>
      </c>
      <c r="AQ126" vm="7476">
        <f ca="1"/>
        <v>375.45</v>
      </c>
      <c r="AR126" vm="6265">
        <f ca="1"/>
        <v>369.95</v>
      </c>
      <c r="AS126" vm="7477">
        <f ca="1"/>
        <v>370.15</v>
      </c>
      <c r="AT126" vm="7478">
        <f ca="1"/>
        <v>378.05</v>
      </c>
      <c r="AU126" vm="7479">
        <f ca="1"/>
        <v>377.6</v>
      </c>
      <c r="AV126" vm="7480">
        <f ca="1"/>
        <v>376.8</v>
      </c>
      <c r="AW126" vm="7481">
        <f ca="1"/>
        <v>370</v>
      </c>
      <c r="AX126" vm="7482">
        <f ca="1"/>
        <v>369.15</v>
      </c>
      <c r="AY126" vm="7483">
        <f ca="1"/>
        <v>370.6</v>
      </c>
      <c r="AZ126" vm="7484">
        <f ca="1"/>
        <v>397.35</v>
      </c>
      <c r="BA126" vm="5534">
        <f ca="1"/>
        <v>409.25</v>
      </c>
      <c r="BB126" vm="5546">
        <f ca="1"/>
        <v>407.85</v>
      </c>
      <c r="BC126" vm="7485">
        <f ca="1"/>
        <v>409.15</v>
      </c>
      <c r="BD126" vm="7486">
        <f ca="1"/>
        <v>398.5</v>
      </c>
      <c r="BE126" vm="7487">
        <f ca="1"/>
        <v>406.65</v>
      </c>
      <c r="BF126" vm="7488">
        <f ca="1"/>
        <v>425.6</v>
      </c>
      <c r="BG126" vm="7489">
        <f ca="1"/>
        <v>421.7</v>
      </c>
      <c r="BH126" vm="7490">
        <f ca="1"/>
        <v>423.9</v>
      </c>
      <c r="BI126" vm="6304">
        <f ca="1"/>
        <v>416.15</v>
      </c>
      <c r="BJ126" vm="7491">
        <f ca="1"/>
        <v>417</v>
      </c>
      <c r="BK126" vm="7492">
        <f ca="1"/>
        <v>423.3</v>
      </c>
      <c r="BL126" vm="7493">
        <f ca="1"/>
        <v>414.9</v>
      </c>
      <c r="BM126" vm="7494">
        <f ca="1"/>
        <v>404.8</v>
      </c>
      <c r="BN126" vm="7495">
        <f ca="1"/>
        <v>415.9</v>
      </c>
      <c r="BO126" vm="7496">
        <f ca="1"/>
        <v>416.9</v>
      </c>
      <c r="BP126" vm="5372">
        <f ca="1"/>
        <v>427.8</v>
      </c>
      <c r="BQ126" vm="7497">
        <f ca="1"/>
        <v>431.85</v>
      </c>
      <c r="BR126" vm="7498">
        <f ca="1"/>
        <v>421.4</v>
      </c>
      <c r="BS126" vm="5366">
        <f ca="1"/>
        <v>428.75</v>
      </c>
      <c r="BT126" vm="7499">
        <f ca="1"/>
        <v>434.65</v>
      </c>
      <c r="BU126" vm="7500">
        <f ca="1"/>
        <v>444.6</v>
      </c>
      <c r="BV126" vm="7501">
        <f ca="1"/>
        <v>469.75</v>
      </c>
      <c r="BW126" vm="7502">
        <f ca="1"/>
        <v>476.3</v>
      </c>
      <c r="BX126" vm="7503">
        <f ca="1"/>
        <v>487.4</v>
      </c>
      <c r="BY126" vm="5777">
        <f ca="1"/>
        <v>474.85</v>
      </c>
      <c r="BZ126" vm="7504">
        <f ca="1"/>
        <v>472.95</v>
      </c>
      <c r="CA126" vm="7505">
        <f ca="1"/>
        <v>466.55</v>
      </c>
      <c r="CB126" vm="7506">
        <f ca="1"/>
        <v>484.35</v>
      </c>
      <c r="CC126" vm="7507">
        <f ca="1"/>
        <v>478.05</v>
      </c>
      <c r="CD126" vm="7508">
        <f ca="1"/>
        <v>498.9</v>
      </c>
      <c r="CE126" vm="7509">
        <f ca="1"/>
        <v>489.85</v>
      </c>
      <c r="CF126" vm="5880">
        <f ca="1"/>
        <v>484.85</v>
      </c>
      <c r="CG126" vm="7510">
        <f ca="1"/>
        <v>485.95</v>
      </c>
      <c r="CH126" vm="5895">
        <f ca="1"/>
        <v>469.7</v>
      </c>
      <c r="CI126" vm="7511">
        <f ca="1"/>
        <v>476.55</v>
      </c>
      <c r="CJ126" vm="7512">
        <f ca="1"/>
        <v>481.15</v>
      </c>
      <c r="CK126" vm="7513">
        <f ca="1"/>
        <v>482.1</v>
      </c>
      <c r="CL126" vm="7514">
        <f ca="1"/>
        <v>492.55</v>
      </c>
      <c r="CM126" vm="7515">
        <f ca="1"/>
        <v>494.9</v>
      </c>
      <c r="CN126" vm="7516">
        <f ca="1"/>
        <v>504.6</v>
      </c>
      <c r="CO126" vm="5841">
        <f ca="1"/>
        <v>527.35</v>
      </c>
      <c r="CP126" vm="7517">
        <f ca="1"/>
        <v>521.54999999999995</v>
      </c>
      <c r="CQ126" vm="7518">
        <f ca="1"/>
        <v>513.4</v>
      </c>
      <c r="CR126" vm="5844">
        <f ca="1"/>
        <v>518.45000000000005</v>
      </c>
      <c r="CS126" vm="7519">
        <f ca="1"/>
        <v>591.65</v>
      </c>
      <c r="CT126" vm="1958">
        <f ca="1"/>
        <v>555.35</v>
      </c>
      <c r="CU126" vm="7520">
        <f ca="1"/>
        <v>565.79999999999995</v>
      </c>
      <c r="CV126" vm="7521">
        <f ca="1"/>
        <v>583.35</v>
      </c>
      <c r="CW126" vm="7522">
        <f ca="1"/>
        <v>587.35</v>
      </c>
      <c r="CX126" vm="7523">
        <f ca="1"/>
        <v>581.29999999999995</v>
      </c>
      <c r="CY126" vm="7524">
        <f ca="1"/>
        <v>575.04999999999995</v>
      </c>
      <c r="CZ126" vm="7525">
        <f ca="1"/>
        <v>570.5</v>
      </c>
      <c r="DA126" vm="7526">
        <f ca="1"/>
        <v>568.79999999999995</v>
      </c>
      <c r="DB126" vm="7527">
        <f ca="1"/>
        <v>588.75</v>
      </c>
      <c r="DC126" vm="1911">
        <f ca="1"/>
        <v>586.5</v>
      </c>
      <c r="DD126" vm="2854">
        <f ca="1"/>
        <v>584.35</v>
      </c>
      <c r="DE126" vm="7528">
        <f ca="1"/>
        <v>582.70000000000005</v>
      </c>
      <c r="DF126" vm="7529">
        <f ca="1"/>
        <v>586.6</v>
      </c>
      <c r="DG126" vm="7530">
        <f ca="1"/>
        <v>599.1</v>
      </c>
      <c r="DH126" vm="7531">
        <f ca="1"/>
        <v>579.75</v>
      </c>
      <c r="DI126" vm="7532">
        <f ca="1"/>
        <v>571.04999999999995</v>
      </c>
      <c r="DJ126" vm="7533">
        <f ca="1"/>
        <v>578.4</v>
      </c>
      <c r="DK126" vm="7534">
        <f ca="1"/>
        <v>573.9</v>
      </c>
      <c r="DL126" vm="7535">
        <f ca="1"/>
        <v>585.54999999999995</v>
      </c>
      <c r="DM126" vm="7536">
        <f ca="1"/>
        <v>593</v>
      </c>
      <c r="DN126" vm="7537">
        <f ca="1"/>
        <v>593.75</v>
      </c>
      <c r="DO126" vm="7538">
        <f ca="1"/>
        <v>591.9</v>
      </c>
      <c r="DP126" vm="7539">
        <f ca="1"/>
        <v>591.5</v>
      </c>
      <c r="DQ126" vm="7540">
        <f ca="1"/>
        <v>590.1</v>
      </c>
      <c r="DR126" vm="7541">
        <f ca="1"/>
        <v>582.4</v>
      </c>
      <c r="DS126" vm="7542">
        <f ca="1"/>
        <v>574.6</v>
      </c>
      <c r="DT126" vm="1927">
        <f ca="1"/>
        <v>572.15</v>
      </c>
      <c r="DU126" vm="2023">
        <f ca="1"/>
        <v>538.4</v>
      </c>
      <c r="DV126" vm="1867">
        <f ca="1"/>
        <v>518.35</v>
      </c>
      <c r="DW126" vm="7543">
        <f ca="1"/>
        <v>517.35</v>
      </c>
      <c r="DX126" vm="7544">
        <f ca="1"/>
        <v>539.9</v>
      </c>
      <c r="DY126" vm="7545">
        <f ca="1"/>
        <v>531.15</v>
      </c>
      <c r="DZ126" vm="7546">
        <f ca="1"/>
        <v>535.54999999999995</v>
      </c>
      <c r="EA126" vm="7547">
        <f ca="1"/>
        <v>534.1</v>
      </c>
      <c r="EB126" vm="7548">
        <f ca="1"/>
        <v>537.85</v>
      </c>
      <c r="EC126" vm="2017">
        <f ca="1"/>
        <v>547.35</v>
      </c>
      <c r="ED126" vm="1954">
        <f ca="1"/>
        <v>555.45000000000005</v>
      </c>
      <c r="EE126" vm="7549">
        <f ca="1"/>
        <v>557.79999999999995</v>
      </c>
      <c r="EF126" vm="1891">
        <f ca="1"/>
        <v>569.04999999999995</v>
      </c>
      <c r="EG126" vm="1932">
        <f ca="1"/>
        <v>561.20000000000005</v>
      </c>
      <c r="EH126" vm="7550">
        <f ca="1"/>
        <v>566.9</v>
      </c>
      <c r="EI126" vm="7551">
        <f ca="1"/>
        <v>568.29999999999995</v>
      </c>
      <c r="EJ126" vm="7552">
        <f ca="1"/>
        <v>563.45000000000005</v>
      </c>
      <c r="EK126" vm="7553">
        <f ca="1"/>
        <v>565.25</v>
      </c>
      <c r="EL126" vm="7554">
        <f ca="1"/>
        <v>564.6</v>
      </c>
      <c r="EM126" vm="7555">
        <f ca="1"/>
        <v>585.79999999999995</v>
      </c>
      <c r="EN126" vm="7556">
        <f ca="1"/>
        <v>591.75</v>
      </c>
      <c r="EO126" vm="7555">
        <f ca="1"/>
        <v>585.79999999999995</v>
      </c>
      <c r="EP126" vm="7557">
        <f ca="1"/>
        <v>579.85</v>
      </c>
      <c r="EQ126" vm="5230">
        <f ca="1"/>
        <v>615.9</v>
      </c>
      <c r="ER126" vm="7558">
        <f ca="1"/>
        <v>609.15</v>
      </c>
      <c r="ES126" vm="7559">
        <f ca="1"/>
        <v>621.6</v>
      </c>
      <c r="ET126" vm="7560">
        <f ca="1"/>
        <v>634</v>
      </c>
      <c r="EU126" vm="7561">
        <f ca="1"/>
        <v>644.6</v>
      </c>
      <c r="EV126" vm="7562">
        <f ca="1"/>
        <v>630.4</v>
      </c>
      <c r="EW126" vm="7563">
        <f ca="1"/>
        <v>637</v>
      </c>
      <c r="EX126" vm="7564">
        <f ca="1"/>
        <v>640.20000000000005</v>
      </c>
      <c r="EY126" vm="7565">
        <f ca="1"/>
        <v>639.9</v>
      </c>
      <c r="EZ126" vm="7566">
        <f ca="1"/>
        <v>607.5</v>
      </c>
      <c r="FA126" vm="7567">
        <f ca="1"/>
        <v>545.04999999999995</v>
      </c>
      <c r="FB126" vm="7568">
        <f ca="1"/>
        <v>549.20000000000005</v>
      </c>
      <c r="FC126" vm="7569">
        <f ca="1"/>
        <v>545.70000000000005</v>
      </c>
      <c r="FD126" vm="2038">
        <f ca="1"/>
        <v>544.29999999999995</v>
      </c>
      <c r="FE126" vm="7570">
        <f ca="1"/>
        <v>532.20000000000005</v>
      </c>
      <c r="FF126" vm="7571">
        <f ca="1"/>
        <v>542.75</v>
      </c>
      <c r="FG126" vm="7572">
        <f ca="1"/>
        <v>569.85</v>
      </c>
      <c r="FH126" vm="7573">
        <f ca="1"/>
        <v>561.6</v>
      </c>
      <c r="FI126" vm="7574">
        <f ca="1"/>
        <v>536.70000000000005</v>
      </c>
      <c r="FJ126" vm="7575">
        <f ca="1"/>
        <v>545.95000000000005</v>
      </c>
      <c r="FK126" vm="7576">
        <f ca="1"/>
        <v>562.04999999999995</v>
      </c>
      <c r="FL126" vm="2829">
        <f ca="1"/>
        <v>557.04999999999995</v>
      </c>
      <c r="FM126" vm="7577">
        <f ca="1"/>
        <v>546.6</v>
      </c>
      <c r="FN126" vm="7578">
        <f ca="1"/>
        <v>553.20000000000005</v>
      </c>
      <c r="FO126" vm="7579">
        <f ca="1"/>
        <v>556</v>
      </c>
      <c r="FP126" vm="7580">
        <f ca="1"/>
        <v>556.54999999999995</v>
      </c>
      <c r="FQ126" vm="7581">
        <f ca="1"/>
        <v>547.9</v>
      </c>
      <c r="FR126" vm="7582">
        <f ca="1"/>
        <v>551.25</v>
      </c>
      <c r="FS126" vm="7583">
        <f ca="1"/>
        <v>552.65</v>
      </c>
      <c r="FT126" vm="2004">
        <f ca="1"/>
        <v>548.20000000000005</v>
      </c>
      <c r="FU126" vm="1988">
        <f ca="1"/>
        <v>540.35</v>
      </c>
      <c r="FV126" vm="7584">
        <f ca="1"/>
        <v>535.70000000000005</v>
      </c>
      <c r="FW126" vm="7585">
        <f ca="1"/>
        <v>538.65</v>
      </c>
      <c r="FX126" vm="7586">
        <f ca="1"/>
        <v>538.29999999999995</v>
      </c>
      <c r="FY126" vm="7547">
        <f ca="1"/>
        <v>534.1</v>
      </c>
      <c r="FZ126" vm="7587">
        <f ca="1"/>
        <v>525.70000000000005</v>
      </c>
      <c r="GA126" vm="7588">
        <f ca="1"/>
        <v>529.70000000000005</v>
      </c>
      <c r="GB126" vm="7589">
        <f ca="1"/>
        <v>522.35</v>
      </c>
      <c r="GC126" vm="7590">
        <f ca="1"/>
        <v>518.1</v>
      </c>
      <c r="GD126" vm="7591">
        <f ca="1"/>
        <v>519.75</v>
      </c>
      <c r="GE126" vm="7592">
        <f ca="1"/>
        <v>516.4</v>
      </c>
      <c r="GF126" vm="7593">
        <f ca="1"/>
        <v>511.05</v>
      </c>
      <c r="GG126" vm="7594">
        <f ca="1"/>
        <v>517</v>
      </c>
      <c r="GH126" vm="7595">
        <f ca="1"/>
        <v>511.5</v>
      </c>
      <c r="GI126" vm="7596">
        <f ca="1"/>
        <v>512.54999999999995</v>
      </c>
      <c r="GJ126" vm="7597">
        <f ca="1"/>
        <v>506.75</v>
      </c>
      <c r="GK126" vm="7598">
        <f ca="1"/>
        <v>498.1</v>
      </c>
      <c r="GL126" vm="7599">
        <f ca="1"/>
        <v>496.8</v>
      </c>
      <c r="GM126" vm="5510">
        <f ca="1"/>
        <v>477.25</v>
      </c>
      <c r="GN126" vm="7504">
        <f ca="1"/>
        <v>472.95</v>
      </c>
      <c r="GO126" vm="7600">
        <f ca="1"/>
        <v>508.05</v>
      </c>
      <c r="GP126" vm="7601">
        <f ca="1"/>
        <v>500.2</v>
      </c>
      <c r="GQ126" vm="5874">
        <f ca="1"/>
        <v>508.25</v>
      </c>
      <c r="GR126" vm="7602">
        <f ca="1"/>
        <v>499.55</v>
      </c>
      <c r="GS126" vm="7603">
        <f ca="1"/>
        <v>483.1</v>
      </c>
      <c r="GT126" vm="7604">
        <f ca="1"/>
        <v>479.05</v>
      </c>
      <c r="GU126" vm="7605">
        <f ca="1"/>
        <v>497.7</v>
      </c>
      <c r="GV126" vm="2073">
        <f ca="1"/>
        <v>503.9</v>
      </c>
      <c r="GW126" vm="7606">
        <f ca="1"/>
        <v>499.7</v>
      </c>
      <c r="GX126" vm="7607">
        <f ca="1"/>
        <v>512.29999999999995</v>
      </c>
      <c r="GY126" vm="7608">
        <f ca="1"/>
        <v>511.25</v>
      </c>
      <c r="GZ126" vm="5766">
        <f ca="1"/>
        <v>501.25</v>
      </c>
      <c r="HA126" vm="7609">
        <f ca="1"/>
        <v>508.95</v>
      </c>
      <c r="HB126" vm="7610">
        <f ca="1"/>
        <v>513.65</v>
      </c>
      <c r="HC126" vm="3677">
        <f ca="1"/>
        <v>513.6</v>
      </c>
      <c r="HD126" vm="7611">
        <f ca="1"/>
        <v>516.04999999999995</v>
      </c>
      <c r="HE126" vm="7612">
        <f ca="1"/>
        <v>503.7</v>
      </c>
      <c r="HF126" vm="7613">
        <f ca="1"/>
        <v>499.95</v>
      </c>
      <c r="HG126" vm="2075">
        <f ca="1"/>
        <v>504.2</v>
      </c>
      <c r="HH126" vm="7614">
        <f ca="1"/>
        <v>502.6</v>
      </c>
      <c r="HI126" vm="7615">
        <f ca="1"/>
        <v>507.1</v>
      </c>
      <c r="HJ126" vm="7616">
        <f ca="1"/>
        <v>512.9</v>
      </c>
      <c r="HK126" vm="7617">
        <f ca="1"/>
        <v>503.75</v>
      </c>
      <c r="HL126" vm="7618">
        <f ca="1"/>
        <v>498.5</v>
      </c>
      <c r="HM126" vm="7619">
        <f ca="1"/>
        <v>485.05</v>
      </c>
      <c r="HN126" vm="7619">
        <f ca="1"/>
        <v>485.05</v>
      </c>
      <c r="HO126" vm="7620">
        <f ca="1"/>
        <v>455.05</v>
      </c>
      <c r="HP126" vm="7621">
        <f ca="1"/>
        <v>451.2</v>
      </c>
      <c r="HQ126" vm="7622">
        <f ca="1"/>
        <v>459.75</v>
      </c>
      <c r="HR126" vm="7623">
        <f ca="1"/>
        <v>474.1</v>
      </c>
      <c r="HS126" vm="7624">
        <f ca="1"/>
        <v>473.7</v>
      </c>
      <c r="HT126" vm="7590">
        <f ca="1"/>
        <v>518.1</v>
      </c>
      <c r="HU126" vm="5827">
        <f ca="1"/>
        <v>527</v>
      </c>
      <c r="HV126" vm="7625">
        <f ca="1"/>
        <v>531.95000000000005</v>
      </c>
      <c r="HW126" vm="7545">
        <f ca="1"/>
        <v>531.15</v>
      </c>
      <c r="HX126" vm="1965">
        <f ca="1"/>
        <v>538.85</v>
      </c>
      <c r="HY126" vm="5806">
        <f ca="1"/>
        <v>532.95000000000005</v>
      </c>
      <c r="HZ126" vm="7626">
        <f ca="1"/>
        <v>532.85</v>
      </c>
      <c r="IA126" vm="7627">
        <f ca="1"/>
        <v>539.04999999999995</v>
      </c>
      <c r="IB126" vm="1960">
        <f ca="1"/>
        <v>547.15</v>
      </c>
      <c r="IC126" vm="2000">
        <f ca="1"/>
        <v>547.54999999999995</v>
      </c>
      <c r="ID126" vm="7628">
        <f ca="1"/>
        <v>537.15</v>
      </c>
      <c r="IE126" vm="2058">
        <f ca="1"/>
        <v>526.54999999999995</v>
      </c>
      <c r="IF126" vm="7629">
        <f ca="1"/>
        <v>524.35</v>
      </c>
      <c r="IG126" vm="2056">
        <f ca="1"/>
        <v>519.95000000000005</v>
      </c>
      <c r="IH126" vm="5803">
        <f ca="1"/>
        <v>512.04999999999995</v>
      </c>
      <c r="II126" vm="7630">
        <f ca="1"/>
        <v>503.4</v>
      </c>
      <c r="IJ126" vm="1972">
        <f ca="1"/>
        <v>508.45</v>
      </c>
      <c r="IK126" vm="7631">
        <f ca="1"/>
        <v>502.3</v>
      </c>
      <c r="IL126" vm="7632">
        <f ca="1"/>
        <v>508.75</v>
      </c>
      <c r="IM126" vm="7633">
        <f ca="1"/>
        <v>515.65</v>
      </c>
      <c r="IN126" vm="7634">
        <f ca="1"/>
        <v>524.20000000000005</v>
      </c>
      <c r="IO126" vm="7635">
        <f ca="1"/>
        <v>519.45000000000005</v>
      </c>
      <c r="IP126" vm="7636">
        <f ca="1"/>
        <v>517.75</v>
      </c>
      <c r="IQ126" vm="7637">
        <f ca="1"/>
        <v>522.79999999999995</v>
      </c>
      <c r="IR126" vm="1956">
        <f ca="1"/>
        <v>547.25</v>
      </c>
    </row>
    <row r="127" spans="4:252" x14ac:dyDescent="0.35">
      <c r="D127" t="e" vm="34">
        <v>#VALUE!</v>
      </c>
      <c r="E127" cm="1" vm="7638">
        <f t="array" aca="1" ref="E127:IR127" ca="1">TRANSPOSE((_xlfn.STOCKHISTORY('Portfolio Tracker '!$C41,TODAY()-365,TODAY(),0,0,1)))</f>
        <v>117.7</v>
      </c>
      <c r="F127" vm="7639">
        <f ca="1"/>
        <v>121.85</v>
      </c>
      <c r="G127" vm="4976">
        <f ca="1"/>
        <v>121.1</v>
      </c>
      <c r="H127" vm="7640">
        <f ca="1"/>
        <v>123.4</v>
      </c>
      <c r="I127" vm="7641">
        <f ca="1"/>
        <v>121.35</v>
      </c>
      <c r="J127" vm="4968">
        <f ca="1"/>
        <v>118</v>
      </c>
      <c r="K127" vm="7642">
        <f ca="1"/>
        <v>121.25</v>
      </c>
      <c r="L127" vm="5034">
        <f ca="1"/>
        <v>121.95</v>
      </c>
      <c r="M127" vm="7643">
        <f ca="1"/>
        <v>121.9</v>
      </c>
      <c r="N127" vm="4966">
        <f ca="1"/>
        <v>120.45</v>
      </c>
      <c r="O127" vm="7644">
        <f ca="1"/>
        <v>119.9</v>
      </c>
      <c r="P127" vm="7645">
        <f ca="1"/>
        <v>121.15</v>
      </c>
      <c r="Q127" vm="7646">
        <f ca="1"/>
        <v>119.75</v>
      </c>
      <c r="R127" vm="7647">
        <f ca="1"/>
        <v>118.3</v>
      </c>
      <c r="S127" vm="7648">
        <f ca="1"/>
        <v>119.95</v>
      </c>
      <c r="T127" vm="7649">
        <f ca="1"/>
        <v>122.65</v>
      </c>
      <c r="U127" vm="7650">
        <f ca="1"/>
        <v>123.35</v>
      </c>
      <c r="V127" vm="4994">
        <f ca="1"/>
        <v>121</v>
      </c>
      <c r="W127" vm="4953">
        <f ca="1"/>
        <v>119.5</v>
      </c>
      <c r="X127" vm="7651">
        <f ca="1"/>
        <v>119.8</v>
      </c>
      <c r="Y127" vm="5015">
        <f ca="1"/>
        <v>118.1</v>
      </c>
      <c r="Z127" vm="4912">
        <f ca="1"/>
        <v>118.25</v>
      </c>
      <c r="AA127" vm="4911">
        <f ca="1"/>
        <v>118.35</v>
      </c>
      <c r="AB127" vm="7652">
        <f ca="1"/>
        <v>117.95</v>
      </c>
      <c r="AC127" vm="4968">
        <f ca="1"/>
        <v>118</v>
      </c>
      <c r="AD127" vm="7653">
        <f ca="1"/>
        <v>127.75</v>
      </c>
      <c r="AE127" vm="7654">
        <f ca="1"/>
        <v>133.75</v>
      </c>
      <c r="AF127" vm="7655">
        <f ca="1"/>
        <v>130.94999999999999</v>
      </c>
      <c r="AG127" vm="7656">
        <f ca="1"/>
        <v>129.9</v>
      </c>
      <c r="AH127" vm="7657">
        <f ca="1"/>
        <v>131.15</v>
      </c>
      <c r="AI127" vm="7658">
        <f ca="1"/>
        <v>128.75</v>
      </c>
      <c r="AJ127" vm="7659">
        <f ca="1"/>
        <v>132</v>
      </c>
      <c r="AK127" vm="7660">
        <f ca="1"/>
        <v>129.05000000000001</v>
      </c>
      <c r="AL127" vm="7661">
        <f ca="1"/>
        <v>127.6</v>
      </c>
      <c r="AM127" vm="7662">
        <f ca="1"/>
        <v>128.69999999999999</v>
      </c>
      <c r="AN127" vm="7663">
        <f ca="1"/>
        <v>130.19999999999999</v>
      </c>
      <c r="AO127" vm="4929">
        <f ca="1"/>
        <v>129.1</v>
      </c>
      <c r="AP127" vm="7664">
        <f ca="1"/>
        <v>126.6</v>
      </c>
      <c r="AQ127" vm="7665">
        <f ca="1"/>
        <v>127.45</v>
      </c>
      <c r="AR127" vm="7666">
        <f ca="1"/>
        <v>128.15</v>
      </c>
      <c r="AS127" vm="7667">
        <f ca="1"/>
        <v>133.1</v>
      </c>
      <c r="AT127" vm="7668">
        <f ca="1"/>
        <v>132.94999999999999</v>
      </c>
      <c r="AU127" vm="7669">
        <f ca="1"/>
        <v>130.75</v>
      </c>
      <c r="AV127" vm="7670">
        <f ca="1"/>
        <v>129.4</v>
      </c>
      <c r="AW127" vm="7671">
        <f ca="1"/>
        <v>127.85</v>
      </c>
      <c r="AX127" vm="7672">
        <f ca="1"/>
        <v>130</v>
      </c>
      <c r="AY127" vm="7669">
        <f ca="1"/>
        <v>130.75</v>
      </c>
      <c r="AZ127" vm="7673">
        <f ca="1"/>
        <v>132.9</v>
      </c>
      <c r="BA127" vm="7674">
        <f ca="1"/>
        <v>131.4</v>
      </c>
      <c r="BB127" vm="7675">
        <f ca="1"/>
        <v>133.55000000000001</v>
      </c>
      <c r="BC127" vm="7676">
        <f ca="1"/>
        <v>138.30000000000001</v>
      </c>
      <c r="BD127" vm="7677">
        <f ca="1"/>
        <v>137.05000000000001</v>
      </c>
      <c r="BE127" vm="7678">
        <f ca="1"/>
        <v>138.69999999999999</v>
      </c>
      <c r="BF127" vm="7679">
        <f ca="1"/>
        <v>141.05000000000001</v>
      </c>
      <c r="BG127" vm="7680">
        <f ca="1"/>
        <v>140.6</v>
      </c>
      <c r="BH127" vm="7681">
        <f ca="1"/>
        <v>139.9</v>
      </c>
      <c r="BI127" vm="7682">
        <f ca="1"/>
        <v>144.6</v>
      </c>
      <c r="BJ127" vm="7683">
        <f ca="1"/>
        <v>155.19999999999999</v>
      </c>
      <c r="BK127" vm="7684">
        <f ca="1"/>
        <v>159.1</v>
      </c>
      <c r="BL127" vm="7685">
        <f ca="1"/>
        <v>167.2</v>
      </c>
      <c r="BM127" vm="7686">
        <f ca="1"/>
        <v>167.15</v>
      </c>
      <c r="BN127" vm="7687">
        <f ca="1"/>
        <v>168.05</v>
      </c>
      <c r="BO127" vm="7688">
        <f ca="1"/>
        <v>158</v>
      </c>
      <c r="BP127" vm="441">
        <f ca="1"/>
        <v>164.8</v>
      </c>
      <c r="BQ127" vm="7689">
        <f ca="1"/>
        <v>176.85</v>
      </c>
      <c r="BR127" vm="7690">
        <f ca="1"/>
        <v>169.55</v>
      </c>
      <c r="BS127" vm="7691">
        <f ca="1"/>
        <v>174.35</v>
      </c>
      <c r="BT127" vm="7692">
        <f ca="1"/>
        <v>168.75</v>
      </c>
      <c r="BU127" vm="4661">
        <f ca="1"/>
        <v>173</v>
      </c>
      <c r="BV127" vm="7693">
        <f ca="1"/>
        <v>176.8</v>
      </c>
      <c r="BW127" vm="7694">
        <f ca="1"/>
        <v>173.85</v>
      </c>
      <c r="BX127" vm="7695">
        <f ca="1"/>
        <v>171.8</v>
      </c>
      <c r="BY127" vm="7696">
        <f ca="1"/>
        <v>171.05</v>
      </c>
      <c r="BZ127" vm="7697">
        <f ca="1"/>
        <v>166.45</v>
      </c>
      <c r="CA127" vm="7698">
        <f ca="1"/>
        <v>173.55</v>
      </c>
      <c r="CB127" vm="622">
        <f ca="1"/>
        <v>169.05</v>
      </c>
      <c r="CC127" vm="7699">
        <f ca="1"/>
        <v>168.85</v>
      </c>
      <c r="CD127" vm="7700">
        <f ca="1"/>
        <v>169</v>
      </c>
      <c r="CE127" vm="461">
        <f ca="1"/>
        <v>174.2</v>
      </c>
      <c r="CF127" vm="7701">
        <f ca="1"/>
        <v>168.1</v>
      </c>
      <c r="CG127" vm="3532">
        <f ca="1"/>
        <v>168.55</v>
      </c>
      <c r="CH127" vm="577">
        <f ca="1"/>
        <v>166.4</v>
      </c>
      <c r="CI127" vm="7702">
        <f ca="1"/>
        <v>190.85</v>
      </c>
      <c r="CJ127" vm="7703">
        <f ca="1"/>
        <v>192.7</v>
      </c>
      <c r="CK127" vm="7704">
        <f ca="1"/>
        <v>200.6</v>
      </c>
      <c r="CL127" vm="4742">
        <f ca="1"/>
        <v>209.35</v>
      </c>
      <c r="CM127" vm="7705">
        <f ca="1"/>
        <v>241.8</v>
      </c>
      <c r="CN127" vm="7706">
        <f ca="1"/>
        <v>231.65</v>
      </c>
      <c r="CO127" vm="7707">
        <f ca="1"/>
        <v>230.55</v>
      </c>
      <c r="CP127" vm="7708">
        <f ca="1"/>
        <v>223.4</v>
      </c>
      <c r="CQ127" vm="7709">
        <f ca="1"/>
        <v>231.8</v>
      </c>
      <c r="CR127" vm="7710">
        <f ca="1"/>
        <v>234.25</v>
      </c>
      <c r="CS127" vm="7711">
        <f ca="1"/>
        <v>248.3</v>
      </c>
      <c r="CT127" vm="7712">
        <f ca="1"/>
        <v>223.55</v>
      </c>
      <c r="CU127" vm="7713">
        <f ca="1"/>
        <v>224.5</v>
      </c>
      <c r="CV127" vm="7714">
        <f ca="1"/>
        <v>228.25</v>
      </c>
      <c r="CW127" vm="7715">
        <f ca="1"/>
        <v>222.75</v>
      </c>
      <c r="CX127" vm="7716">
        <f ca="1"/>
        <v>216.2</v>
      </c>
      <c r="CY127" vm="3544">
        <f ca="1"/>
        <v>219.2</v>
      </c>
      <c r="CZ127" vm="7717">
        <f ca="1"/>
        <v>211.05</v>
      </c>
      <c r="DA127" vm="7718">
        <f ca="1"/>
        <v>221.2</v>
      </c>
      <c r="DB127" vm="7719">
        <f ca="1"/>
        <v>228</v>
      </c>
      <c r="DC127" vm="5611">
        <f ca="1"/>
        <v>224.8</v>
      </c>
      <c r="DD127" vm="7720">
        <f ca="1"/>
        <v>223.25</v>
      </c>
      <c r="DE127" vm="7721">
        <f ca="1"/>
        <v>220.3</v>
      </c>
      <c r="DF127" vm="7722">
        <f ca="1"/>
        <v>223.9</v>
      </c>
      <c r="DG127" vm="4725">
        <f ca="1"/>
        <v>221.35</v>
      </c>
      <c r="DH127" vm="7723">
        <f ca="1"/>
        <v>215.6</v>
      </c>
      <c r="DI127" vm="5614">
        <f ca="1"/>
        <v>214.2</v>
      </c>
      <c r="DJ127" vm="7724">
        <f ca="1"/>
        <v>218.95</v>
      </c>
      <c r="DK127" vm="7725">
        <f ca="1"/>
        <v>209.4</v>
      </c>
      <c r="DL127" vm="7726">
        <f ca="1"/>
        <v>211.7</v>
      </c>
      <c r="DM127" vm="7727">
        <f ca="1"/>
        <v>212.75</v>
      </c>
      <c r="DN127" vm="7728">
        <f ca="1"/>
        <v>218.6</v>
      </c>
      <c r="DO127" vm="7729">
        <f ca="1"/>
        <v>227.1</v>
      </c>
      <c r="DP127" vm="7730">
        <f ca="1"/>
        <v>223.45</v>
      </c>
      <c r="DQ127" vm="7731">
        <f ca="1"/>
        <v>239</v>
      </c>
      <c r="DR127" vm="7732">
        <f ca="1"/>
        <v>232.2</v>
      </c>
      <c r="DS127" vm="4666">
        <f ca="1"/>
        <v>233.05</v>
      </c>
      <c r="DT127" vm="7733">
        <f ca="1"/>
        <v>235</v>
      </c>
      <c r="DU127" vm="4681">
        <f ca="1"/>
        <v>215.65</v>
      </c>
      <c r="DV127" vm="7734">
        <f ca="1"/>
        <v>210.95</v>
      </c>
      <c r="DW127" vm="7735">
        <f ca="1"/>
        <v>217.75</v>
      </c>
      <c r="DX127" vm="7736">
        <f ca="1"/>
        <v>224.05</v>
      </c>
      <c r="DY127" vm="7737">
        <f ca="1"/>
        <v>220.85</v>
      </c>
      <c r="DZ127" vm="7738">
        <f ca="1"/>
        <v>222.65</v>
      </c>
      <c r="EA127" vm="4708">
        <f ca="1"/>
        <v>221.3</v>
      </c>
      <c r="EB127" vm="7739">
        <f ca="1"/>
        <v>232.9</v>
      </c>
      <c r="EC127" vm="7740">
        <f ca="1"/>
        <v>231.85</v>
      </c>
      <c r="ED127" vm="5644">
        <f ca="1"/>
        <v>240.55</v>
      </c>
      <c r="EE127" vm="7741">
        <f ca="1"/>
        <v>246.8</v>
      </c>
      <c r="EF127" vm="7742">
        <f ca="1"/>
        <v>248.35</v>
      </c>
      <c r="EG127" vm="7743">
        <f ca="1"/>
        <v>247.85</v>
      </c>
      <c r="EH127" vm="7744">
        <f ca="1"/>
        <v>251.2</v>
      </c>
      <c r="EI127" vm="7745">
        <f ca="1"/>
        <v>253.95</v>
      </c>
      <c r="EJ127" vm="7746">
        <f ca="1"/>
        <v>254.1</v>
      </c>
      <c r="EK127" vm="7747">
        <f ca="1"/>
        <v>252.55</v>
      </c>
      <c r="EL127" vm="7748">
        <f ca="1"/>
        <v>248</v>
      </c>
      <c r="EM127" vm="7749">
        <f ca="1"/>
        <v>271.14999999999998</v>
      </c>
      <c r="EN127" vm="7750">
        <f ca="1"/>
        <v>263.10000000000002</v>
      </c>
      <c r="EO127" vm="5678">
        <f ca="1"/>
        <v>270.95</v>
      </c>
      <c r="EP127" vm="7751">
        <f ca="1"/>
        <v>281.55</v>
      </c>
      <c r="EQ127" vm="4779">
        <f ca="1"/>
        <v>292.14999999999998</v>
      </c>
      <c r="ER127" vm="7752">
        <f ca="1"/>
        <v>287.05</v>
      </c>
      <c r="ES127" vm="7753">
        <f ca="1"/>
        <v>291.45</v>
      </c>
      <c r="ET127" vm="7754">
        <f ca="1"/>
        <v>285.95</v>
      </c>
      <c r="EU127" vm="7755">
        <f ca="1"/>
        <v>290.5</v>
      </c>
      <c r="EV127" vm="7756">
        <f ca="1"/>
        <v>282</v>
      </c>
      <c r="EW127" vm="7757">
        <f ca="1"/>
        <v>286.3</v>
      </c>
      <c r="EX127" vm="7758">
        <f ca="1"/>
        <v>289.60000000000002</v>
      </c>
      <c r="EY127" vm="4793">
        <f ca="1"/>
        <v>285.8</v>
      </c>
      <c r="EZ127" vm="7759">
        <f ca="1"/>
        <v>285.35000000000002</v>
      </c>
      <c r="FA127" vm="7760">
        <f ca="1"/>
        <v>287.14999999999998</v>
      </c>
      <c r="FB127" vm="7761">
        <f ca="1"/>
        <v>294.2</v>
      </c>
      <c r="FC127" vm="7762">
        <f ca="1"/>
        <v>289.45</v>
      </c>
      <c r="FD127" vm="7763">
        <f ca="1"/>
        <v>287.55</v>
      </c>
      <c r="FE127" vm="7764">
        <f ca="1"/>
        <v>299.2</v>
      </c>
      <c r="FF127" vm="7765">
        <f ca="1"/>
        <v>297</v>
      </c>
      <c r="FG127" vm="7766">
        <f ca="1"/>
        <v>300.95</v>
      </c>
      <c r="FH127" vm="7767">
        <f ca="1"/>
        <v>314.8</v>
      </c>
      <c r="FI127" vm="7768">
        <f ca="1"/>
        <v>289.25</v>
      </c>
      <c r="FJ127" vm="7769">
        <f ca="1"/>
        <v>291.55</v>
      </c>
      <c r="FK127" vm="7770">
        <f ca="1"/>
        <v>296.35000000000002</v>
      </c>
      <c r="FL127" vm="7771">
        <f ca="1"/>
        <v>297.75</v>
      </c>
      <c r="FM127" vm="7772">
        <f ca="1"/>
        <v>296.5</v>
      </c>
      <c r="FN127" vm="7773">
        <f ca="1"/>
        <v>293.45</v>
      </c>
      <c r="FO127" vm="3614">
        <f ca="1"/>
        <v>338</v>
      </c>
      <c r="FP127" vm="6195">
        <f ca="1"/>
        <v>353.05</v>
      </c>
      <c r="FQ127" vm="7774">
        <f ca="1"/>
        <v>353.95</v>
      </c>
      <c r="FR127" vm="7775">
        <f ca="1"/>
        <v>363.25</v>
      </c>
      <c r="FS127" vm="7776">
        <f ca="1"/>
        <v>355.25</v>
      </c>
      <c r="FT127" vm="7777">
        <f ca="1"/>
        <v>355.85</v>
      </c>
      <c r="FU127" vm="6170">
        <f ca="1"/>
        <v>347.15</v>
      </c>
      <c r="FV127" vm="7778">
        <f ca="1"/>
        <v>349.25</v>
      </c>
      <c r="FW127" vm="4811">
        <f ca="1"/>
        <v>351.3</v>
      </c>
      <c r="FX127" vm="7779">
        <f ca="1"/>
        <v>352.95</v>
      </c>
      <c r="FY127" vm="7780">
        <f ca="1"/>
        <v>355.5</v>
      </c>
      <c r="FZ127" vm="7781">
        <f ca="1"/>
        <v>365.55</v>
      </c>
      <c r="GA127" vm="7782">
        <f ca="1"/>
        <v>359.45</v>
      </c>
      <c r="GB127" vm="7783">
        <f ca="1"/>
        <v>362.85</v>
      </c>
      <c r="GC127" vm="7784">
        <f ca="1"/>
        <v>363</v>
      </c>
      <c r="GD127" vm="6318">
        <f ca="1"/>
        <v>386.8</v>
      </c>
      <c r="GE127" vm="7785">
        <f ca="1"/>
        <v>444</v>
      </c>
      <c r="GF127" vm="6344">
        <f ca="1"/>
        <v>387.25</v>
      </c>
      <c r="GG127" vm="7786">
        <f ca="1"/>
        <v>397.4</v>
      </c>
      <c r="GH127" vm="7787">
        <f ca="1"/>
        <v>437.75</v>
      </c>
      <c r="GI127" vm="7788">
        <f ca="1"/>
        <v>430.15</v>
      </c>
      <c r="GJ127" vm="7789">
        <f ca="1"/>
        <v>423.65</v>
      </c>
      <c r="GK127" vm="7790">
        <f ca="1"/>
        <v>437.45</v>
      </c>
      <c r="GL127" vm="7791">
        <f ca="1"/>
        <v>419.95</v>
      </c>
      <c r="GM127" vm="7792">
        <f ca="1"/>
        <v>419</v>
      </c>
      <c r="GN127" vm="7793">
        <f ca="1"/>
        <v>409.6</v>
      </c>
      <c r="GO127" vm="6338">
        <f ca="1"/>
        <v>410.65</v>
      </c>
      <c r="GP127" vm="7794">
        <f ca="1"/>
        <v>424.65</v>
      </c>
      <c r="GQ127" vm="7795">
        <f ca="1"/>
        <v>432.35</v>
      </c>
      <c r="GR127" vm="7796">
        <f ca="1"/>
        <v>396.85</v>
      </c>
      <c r="GS127" vm="7446">
        <f ca="1"/>
        <v>363.3</v>
      </c>
      <c r="GT127" vm="7797">
        <f ca="1"/>
        <v>366.5</v>
      </c>
      <c r="GU127" vm="7798">
        <f ca="1"/>
        <v>376.4</v>
      </c>
      <c r="GV127" vm="7799">
        <f ca="1"/>
        <v>384.95</v>
      </c>
      <c r="GW127" vm="7800">
        <f ca="1"/>
        <v>378.7</v>
      </c>
      <c r="GX127" vm="6213">
        <f ca="1"/>
        <v>390.25</v>
      </c>
      <c r="GY127" vm="7801">
        <f ca="1"/>
        <v>389.8</v>
      </c>
      <c r="GZ127" vm="7802">
        <f ca="1"/>
        <v>375.8</v>
      </c>
      <c r="HA127" vm="7803">
        <f ca="1"/>
        <v>380.35</v>
      </c>
      <c r="HB127" vm="7804">
        <f ca="1"/>
        <v>407.75</v>
      </c>
      <c r="HC127" vm="6301">
        <f ca="1"/>
        <v>424.85</v>
      </c>
      <c r="HD127" vm="7805">
        <f ca="1"/>
        <v>469.95</v>
      </c>
      <c r="HE127" vm="7806">
        <f ca="1"/>
        <v>454.45</v>
      </c>
      <c r="HF127" vm="5469">
        <f ca="1"/>
        <v>448.95</v>
      </c>
      <c r="HG127" vm="7807">
        <f ca="1"/>
        <v>446.55</v>
      </c>
      <c r="HH127" vm="7808">
        <f ca="1"/>
        <v>458.9</v>
      </c>
      <c r="HI127" vm="5386">
        <f ca="1"/>
        <v>440.65</v>
      </c>
      <c r="HJ127" vm="5473">
        <f ca="1"/>
        <v>438.3</v>
      </c>
      <c r="HK127" vm="7809">
        <f ca="1"/>
        <v>418.2</v>
      </c>
      <c r="HL127" vm="7810">
        <f ca="1"/>
        <v>421.35</v>
      </c>
      <c r="HM127" vm="7811">
        <f ca="1"/>
        <v>411.25</v>
      </c>
      <c r="HN127" vm="6240">
        <f ca="1"/>
        <v>385.3</v>
      </c>
      <c r="HO127" vm="7812">
        <f ca="1"/>
        <v>308.25</v>
      </c>
      <c r="HP127" vm="7813">
        <f ca="1"/>
        <v>339.05</v>
      </c>
      <c r="HQ127" vm="7814">
        <f ca="1"/>
        <v>350.75</v>
      </c>
      <c r="HR127" vm="7815">
        <f ca="1"/>
        <v>354</v>
      </c>
      <c r="HS127" vm="7816">
        <f ca="1"/>
        <v>346.8</v>
      </c>
      <c r="HT127" vm="7817">
        <f ca="1"/>
        <v>349.9</v>
      </c>
      <c r="HU127" vm="7818">
        <f ca="1"/>
        <v>358.05</v>
      </c>
      <c r="HV127" vm="7819">
        <f ca="1"/>
        <v>360.25</v>
      </c>
      <c r="HW127" vm="7820">
        <f ca="1"/>
        <v>364.25</v>
      </c>
      <c r="HX127" vm="7821">
        <f ca="1"/>
        <v>368.1</v>
      </c>
      <c r="HY127" vm="7822">
        <f ca="1"/>
        <v>363.75</v>
      </c>
      <c r="HZ127" vm="7823">
        <f ca="1"/>
        <v>389</v>
      </c>
      <c r="IA127" vm="6219">
        <f ca="1"/>
        <v>390.05</v>
      </c>
      <c r="IB127" vm="7824">
        <f ca="1"/>
        <v>391.3</v>
      </c>
      <c r="IC127" vm="6287">
        <f ca="1"/>
        <v>385.55</v>
      </c>
      <c r="ID127" vm="7825">
        <f ca="1"/>
        <v>395.55</v>
      </c>
      <c r="IE127" vm="7826">
        <f ca="1"/>
        <v>391.9</v>
      </c>
      <c r="IF127" vm="7827">
        <f ca="1"/>
        <v>386.2</v>
      </c>
      <c r="IG127" vm="7475">
        <f ca="1"/>
        <v>382.9</v>
      </c>
      <c r="IH127" vm="7828">
        <f ca="1"/>
        <v>378.6</v>
      </c>
      <c r="II127" vm="7829">
        <f ca="1"/>
        <v>366.4</v>
      </c>
      <c r="IJ127" vm="7830">
        <f ca="1"/>
        <v>367</v>
      </c>
      <c r="IK127" vm="7831">
        <f ca="1"/>
        <v>364.1</v>
      </c>
      <c r="IL127" vm="6176">
        <f ca="1"/>
        <v>364.5</v>
      </c>
      <c r="IM127" vm="7832">
        <f ca="1"/>
        <v>379</v>
      </c>
      <c r="IN127" vm="6238">
        <f ca="1"/>
        <v>386.6</v>
      </c>
      <c r="IO127" vm="7833">
        <f ca="1"/>
        <v>396.25</v>
      </c>
      <c r="IP127" vm="7834">
        <f ca="1"/>
        <v>395.75</v>
      </c>
      <c r="IQ127" vm="7835">
        <f ca="1"/>
        <v>403.6</v>
      </c>
      <c r="IR127" vm="6248">
        <f ca="1"/>
        <v>399.15</v>
      </c>
    </row>
    <row r="128" spans="4:252" x14ac:dyDescent="0.35">
      <c r="D128" t="e" vm="35">
        <v>#VALUE!</v>
      </c>
      <c r="E128" cm="1" vm="7836">
        <f t="array" aca="1" ref="E128:IR128" ca="1">TRANSPOSE((_xlfn.STOCKHISTORY('Portfolio Tracker '!$C42,TODAY()-365,TODAY(),0,0,1)))</f>
        <v>851.65</v>
      </c>
      <c r="F128" vm="7837">
        <f ca="1"/>
        <v>843.35</v>
      </c>
      <c r="G128" vm="7838">
        <f ca="1"/>
        <v>850.7</v>
      </c>
      <c r="H128" vm="7839">
        <f ca="1"/>
        <v>841.65</v>
      </c>
      <c r="I128" vm="7840">
        <f ca="1"/>
        <v>843.55</v>
      </c>
      <c r="J128" vm="7841">
        <f ca="1"/>
        <v>842.8</v>
      </c>
      <c r="K128" vm="7842">
        <f ca="1"/>
        <v>868.9</v>
      </c>
      <c r="L128" vm="7843">
        <f ca="1"/>
        <v>899.8</v>
      </c>
      <c r="M128" vm="7844">
        <f ca="1"/>
        <v>891.6</v>
      </c>
      <c r="N128" vm="7845">
        <f ca="1"/>
        <v>876.25</v>
      </c>
      <c r="O128" vm="7846">
        <f ca="1"/>
        <v>875.65</v>
      </c>
      <c r="P128" vm="7847">
        <f ca="1"/>
        <v>880.3</v>
      </c>
      <c r="Q128" vm="7848">
        <f ca="1"/>
        <v>874.25</v>
      </c>
      <c r="R128" vm="3392">
        <f ca="1"/>
        <v>867.2</v>
      </c>
      <c r="S128" vm="7849">
        <f ca="1"/>
        <v>861.9</v>
      </c>
      <c r="T128" vm="7850">
        <f ca="1"/>
        <v>867.25</v>
      </c>
      <c r="U128" vm="7851">
        <f ca="1"/>
        <v>869.6</v>
      </c>
      <c r="V128" vm="7852">
        <f ca="1"/>
        <v>875.45</v>
      </c>
      <c r="W128" vm="7853">
        <f ca="1"/>
        <v>873</v>
      </c>
      <c r="X128" vm="7852">
        <f ca="1"/>
        <v>875.45</v>
      </c>
      <c r="Y128" vm="7854">
        <f ca="1"/>
        <v>897.4</v>
      </c>
      <c r="Z128" vm="7855">
        <f ca="1"/>
        <v>902.1</v>
      </c>
      <c r="AA128" vm="7856">
        <f ca="1"/>
        <v>900.15</v>
      </c>
      <c r="AB128" vm="7857">
        <f ca="1"/>
        <v>900.85</v>
      </c>
      <c r="AC128" vm="7858">
        <f ca="1"/>
        <v>917.65</v>
      </c>
      <c r="AD128" vm="7859">
        <f ca="1"/>
        <v>907.15</v>
      </c>
      <c r="AE128" vm="7860">
        <f ca="1"/>
        <v>902.65</v>
      </c>
      <c r="AF128" vm="7861">
        <f ca="1"/>
        <v>900.4</v>
      </c>
      <c r="AG128" vm="7862">
        <f ca="1"/>
        <v>895.25</v>
      </c>
      <c r="AH128" vm="7863">
        <f ca="1"/>
        <v>902.2</v>
      </c>
      <c r="AI128" vm="7864">
        <f ca="1"/>
        <v>902.15</v>
      </c>
      <c r="AJ128" vm="7865">
        <f ca="1"/>
        <v>924.5</v>
      </c>
      <c r="AK128" vm="7866">
        <f ca="1"/>
        <v>918.1</v>
      </c>
      <c r="AL128" vm="7867">
        <f ca="1"/>
        <v>923.35</v>
      </c>
      <c r="AM128" vm="7868">
        <f ca="1"/>
        <v>909.3</v>
      </c>
      <c r="AN128" vm="7869">
        <f ca="1"/>
        <v>914.15</v>
      </c>
      <c r="AO128" vm="3127">
        <f ca="1"/>
        <v>916.9</v>
      </c>
      <c r="AP128" vm="7870">
        <f ca="1"/>
        <v>905.1</v>
      </c>
      <c r="AQ128" vm="7871">
        <f ca="1"/>
        <v>899.45</v>
      </c>
      <c r="AR128" vm="7872">
        <f ca="1"/>
        <v>909.35</v>
      </c>
      <c r="AS128" vm="7873">
        <f ca="1"/>
        <v>905.8</v>
      </c>
      <c r="AT128" vm="7874">
        <f ca="1"/>
        <v>900</v>
      </c>
      <c r="AU128" vm="7875">
        <f ca="1"/>
        <v>909</v>
      </c>
      <c r="AV128" vm="7876">
        <f ca="1"/>
        <v>906.45</v>
      </c>
      <c r="AW128" vm="7877">
        <f ca="1"/>
        <v>901.35</v>
      </c>
      <c r="AX128" vm="7878">
        <f ca="1"/>
        <v>903.4</v>
      </c>
      <c r="AY128" vm="7879">
        <f ca="1"/>
        <v>917.45</v>
      </c>
      <c r="AZ128" vm="7880">
        <f ca="1"/>
        <v>917</v>
      </c>
      <c r="BA128" vm="7881">
        <f ca="1"/>
        <v>907.85</v>
      </c>
      <c r="BB128" vm="2971">
        <f ca="1"/>
        <v>906.05</v>
      </c>
      <c r="BC128" vm="7882">
        <f ca="1"/>
        <v>911</v>
      </c>
      <c r="BD128" vm="7857">
        <f ca="1"/>
        <v>900.85</v>
      </c>
      <c r="BE128" vm="7883">
        <f ca="1"/>
        <v>900.9</v>
      </c>
      <c r="BF128" vm="7884">
        <f ca="1"/>
        <v>911.35</v>
      </c>
      <c r="BG128" vm="7885">
        <f ca="1"/>
        <v>939.75</v>
      </c>
      <c r="BH128" vm="7886">
        <f ca="1"/>
        <v>941.9</v>
      </c>
      <c r="BI128" vm="7887">
        <f ca="1"/>
        <v>929.65</v>
      </c>
      <c r="BJ128" vm="7888">
        <f ca="1"/>
        <v>921.7</v>
      </c>
      <c r="BK128" vm="7889">
        <f ca="1"/>
        <v>948.5</v>
      </c>
      <c r="BL128" vm="7890">
        <f ca="1"/>
        <v>947.35</v>
      </c>
      <c r="BM128" vm="7891">
        <f ca="1"/>
        <v>947.2</v>
      </c>
      <c r="BN128" vm="7892">
        <f ca="1"/>
        <v>953.15</v>
      </c>
      <c r="BO128" vm="7893">
        <f ca="1"/>
        <v>952.1</v>
      </c>
      <c r="BP128" vm="7894">
        <f ca="1"/>
        <v>946.1</v>
      </c>
      <c r="BQ128" vm="7895">
        <f ca="1"/>
        <v>931.05</v>
      </c>
      <c r="BR128" vm="7896">
        <f ca="1"/>
        <v>927.05</v>
      </c>
      <c r="BS128" vm="7897">
        <f ca="1"/>
        <v>939.2</v>
      </c>
      <c r="BT128" vm="7898">
        <f ca="1"/>
        <v>933.75</v>
      </c>
      <c r="BU128" vm="7899">
        <f ca="1"/>
        <v>923.7</v>
      </c>
      <c r="BV128" vm="143">
        <f ca="1"/>
        <v>929.05</v>
      </c>
      <c r="BW128" vm="3314">
        <f ca="1"/>
        <v>925</v>
      </c>
      <c r="BX128" vm="7900">
        <f ca="1"/>
        <v>947.7</v>
      </c>
      <c r="BY128" vm="7901">
        <f ca="1"/>
        <v>957.05</v>
      </c>
      <c r="BZ128" vm="7902">
        <f ca="1"/>
        <v>929.9</v>
      </c>
      <c r="CA128" vm="7903">
        <f ca="1"/>
        <v>921.65</v>
      </c>
      <c r="CB128" vm="7904">
        <f ca="1"/>
        <v>928</v>
      </c>
      <c r="CC128" vm="149">
        <f ca="1"/>
        <v>938.6</v>
      </c>
      <c r="CD128" vm="182">
        <f ca="1"/>
        <v>929.95</v>
      </c>
      <c r="CE128" vm="7905">
        <f ca="1"/>
        <v>938.15</v>
      </c>
      <c r="CF128" vm="7906">
        <f ca="1"/>
        <v>929.15</v>
      </c>
      <c r="CG128" vm="7907">
        <f ca="1"/>
        <v>927</v>
      </c>
      <c r="CH128" vm="7908">
        <f ca="1"/>
        <v>931.4</v>
      </c>
      <c r="CI128" vm="7909">
        <f ca="1"/>
        <v>933.65</v>
      </c>
      <c r="CJ128" vm="7910">
        <f ca="1"/>
        <v>929.5</v>
      </c>
      <c r="CK128" vm="7911">
        <f ca="1"/>
        <v>928.1</v>
      </c>
      <c r="CL128" vm="7912">
        <f ca="1"/>
        <v>944.9</v>
      </c>
      <c r="CM128" vm="7913">
        <f ca="1"/>
        <v>924.3</v>
      </c>
      <c r="CN128" vm="7914">
        <f ca="1"/>
        <v>930.55</v>
      </c>
      <c r="CO128" vm="7915">
        <f ca="1"/>
        <v>926.75</v>
      </c>
      <c r="CP128" vm="7916">
        <f ca="1"/>
        <v>924.9</v>
      </c>
      <c r="CQ128" vm="7899">
        <f ca="1"/>
        <v>923.7</v>
      </c>
      <c r="CR128" vm="7917">
        <f ca="1"/>
        <v>924.35</v>
      </c>
      <c r="CS128" vm="7918">
        <f ca="1"/>
        <v>921.45</v>
      </c>
      <c r="CT128" vm="161">
        <f ca="1"/>
        <v>912.5</v>
      </c>
      <c r="CU128" vm="161">
        <f ca="1"/>
        <v>912.5</v>
      </c>
      <c r="CV128" vm="7919">
        <f ca="1"/>
        <v>908.3</v>
      </c>
      <c r="CW128" vm="7920">
        <f ca="1"/>
        <v>893.4</v>
      </c>
      <c r="CX128" vm="5347">
        <f ca="1"/>
        <v>901.55</v>
      </c>
      <c r="CY128" vm="7921">
        <f ca="1"/>
        <v>900.2</v>
      </c>
      <c r="CZ128" vm="7922">
        <f ca="1"/>
        <v>910.75</v>
      </c>
      <c r="DA128" vm="7923">
        <f ca="1"/>
        <v>914.8</v>
      </c>
      <c r="DB128" vm="3395">
        <f ca="1"/>
        <v>904.3</v>
      </c>
      <c r="DC128" vm="7870">
        <f ca="1"/>
        <v>905.1</v>
      </c>
      <c r="DD128" vm="7924">
        <f ca="1"/>
        <v>903.3</v>
      </c>
      <c r="DE128" vm="7925">
        <f ca="1"/>
        <v>901.05</v>
      </c>
      <c r="DF128" vm="7926">
        <f ca="1"/>
        <v>900.65</v>
      </c>
      <c r="DG128" vm="7927">
        <f ca="1"/>
        <v>910.85</v>
      </c>
      <c r="DH128" vm="7928">
        <f ca="1"/>
        <v>905.75</v>
      </c>
      <c r="DI128" vm="7929">
        <f ca="1"/>
        <v>906.15</v>
      </c>
      <c r="DJ128" vm="7930">
        <f ca="1"/>
        <v>905.4</v>
      </c>
      <c r="DK128" vm="7931">
        <f ca="1"/>
        <v>911.15</v>
      </c>
      <c r="DL128" vm="7932">
        <f ca="1"/>
        <v>903.55</v>
      </c>
      <c r="DM128" vm="7933">
        <f ca="1"/>
        <v>905.7</v>
      </c>
      <c r="DN128" vm="7934">
        <f ca="1"/>
        <v>913.8</v>
      </c>
      <c r="DO128" vm="7935">
        <f ca="1"/>
        <v>910.1</v>
      </c>
      <c r="DP128" vm="7936">
        <f ca="1"/>
        <v>915.35</v>
      </c>
      <c r="DQ128" vm="7937">
        <f ca="1"/>
        <v>918.55</v>
      </c>
      <c r="DR128" vm="7938">
        <f ca="1"/>
        <v>927.5</v>
      </c>
      <c r="DS128" vm="3278">
        <f ca="1"/>
        <v>919.6</v>
      </c>
      <c r="DT128" vm="7939">
        <f ca="1"/>
        <v>903.2</v>
      </c>
      <c r="DU128" vm="7844">
        <f ca="1"/>
        <v>891.6</v>
      </c>
      <c r="DV128" vm="7940">
        <f ca="1"/>
        <v>884.5</v>
      </c>
      <c r="DW128" vm="7941">
        <f ca="1"/>
        <v>869.85</v>
      </c>
      <c r="DX128" vm="5928">
        <f ca="1"/>
        <v>896.25</v>
      </c>
      <c r="DY128" vm="7942">
        <f ca="1"/>
        <v>890.55</v>
      </c>
      <c r="DZ128" vm="2951">
        <f ca="1"/>
        <v>898</v>
      </c>
      <c r="EA128" vm="7943">
        <f ca="1"/>
        <v>936.6</v>
      </c>
      <c r="EB128" vm="92">
        <f ca="1"/>
        <v>910.45</v>
      </c>
      <c r="EC128" vm="3280">
        <f ca="1"/>
        <v>907.4</v>
      </c>
      <c r="ED128" vm="7944">
        <f ca="1"/>
        <v>907.6</v>
      </c>
      <c r="EE128" vm="7945">
        <f ca="1"/>
        <v>905.55</v>
      </c>
      <c r="EF128" vm="7875">
        <f ca="1"/>
        <v>909</v>
      </c>
      <c r="EG128" vm="7946">
        <f ca="1"/>
        <v>909.1</v>
      </c>
      <c r="EH128" vm="7945">
        <f ca="1"/>
        <v>905.55</v>
      </c>
      <c r="EI128" vm="7947">
        <f ca="1"/>
        <v>903.05</v>
      </c>
      <c r="EJ128" vm="7948">
        <f ca="1"/>
        <v>901.1</v>
      </c>
      <c r="EK128" vm="7861">
        <f ca="1"/>
        <v>900.4</v>
      </c>
      <c r="EL128" vm="7843">
        <f ca="1"/>
        <v>899.8</v>
      </c>
      <c r="EM128" vm="7949">
        <f ca="1"/>
        <v>901.2</v>
      </c>
      <c r="EN128" vm="7877">
        <f ca="1"/>
        <v>901.35</v>
      </c>
      <c r="EO128" vm="7950">
        <f ca="1"/>
        <v>900.25</v>
      </c>
      <c r="EP128" vm="7951">
        <f ca="1"/>
        <v>897.45</v>
      </c>
      <c r="EQ128" vm="7952">
        <f ca="1"/>
        <v>893.3</v>
      </c>
      <c r="ER128" vm="7953">
        <f ca="1"/>
        <v>887.7</v>
      </c>
      <c r="ES128" vm="7933">
        <f ca="1"/>
        <v>905.7</v>
      </c>
      <c r="ET128" vm="7954">
        <f ca="1"/>
        <v>898.25</v>
      </c>
      <c r="EU128" vm="7955">
        <f ca="1"/>
        <v>910.05</v>
      </c>
      <c r="EV128" vm="655">
        <f ca="1"/>
        <v>915.1</v>
      </c>
      <c r="EW128" vm="7879">
        <f ca="1"/>
        <v>917.45</v>
      </c>
      <c r="EX128" vm="7956">
        <f ca="1"/>
        <v>914.45</v>
      </c>
      <c r="EY128" vm="7957">
        <f ca="1"/>
        <v>909.85</v>
      </c>
      <c r="EZ128" vm="92">
        <f ca="1"/>
        <v>910.45</v>
      </c>
      <c r="FA128" vm="7958">
        <f ca="1"/>
        <v>918.75</v>
      </c>
      <c r="FB128" vm="5349">
        <f ca="1"/>
        <v>916.55</v>
      </c>
      <c r="FC128" vm="7959">
        <f ca="1"/>
        <v>908.95</v>
      </c>
      <c r="FD128" vm="7960">
        <f ca="1"/>
        <v>921.3</v>
      </c>
      <c r="FE128" vm="7961">
        <f ca="1"/>
        <v>910</v>
      </c>
      <c r="FF128" vm="7931">
        <f ca="1"/>
        <v>911.15</v>
      </c>
      <c r="FG128" vm="7962">
        <f ca="1"/>
        <v>909.45</v>
      </c>
      <c r="FH128" vm="7963">
        <f ca="1"/>
        <v>908.25</v>
      </c>
      <c r="FI128" vm="7964">
        <f ca="1"/>
        <v>898.8</v>
      </c>
      <c r="FJ128" vm="7965">
        <f ca="1"/>
        <v>897.85</v>
      </c>
      <c r="FK128" vm="7966">
        <f ca="1"/>
        <v>898.15</v>
      </c>
      <c r="FL128" vm="7967">
        <f ca="1"/>
        <v>895.5</v>
      </c>
      <c r="FM128" vm="7968">
        <f ca="1"/>
        <v>896.5</v>
      </c>
      <c r="FN128" vm="7969">
        <f ca="1"/>
        <v>895.35</v>
      </c>
      <c r="FO128" vm="7970">
        <f ca="1"/>
        <v>903.5</v>
      </c>
      <c r="FP128" vm="7878">
        <f ca="1"/>
        <v>903.4</v>
      </c>
      <c r="FQ128" vm="7971">
        <f ca="1"/>
        <v>902.7</v>
      </c>
      <c r="FR128" vm="3327">
        <f ca="1"/>
        <v>899.2</v>
      </c>
      <c r="FS128" vm="7972">
        <f ca="1"/>
        <v>901.6</v>
      </c>
      <c r="FT128" vm="2947">
        <f ca="1"/>
        <v>902.05</v>
      </c>
      <c r="FU128" vm="7973">
        <f ca="1"/>
        <v>896.6</v>
      </c>
      <c r="FV128" vm="7974">
        <f ca="1"/>
        <v>895.05</v>
      </c>
      <c r="FW128" vm="7975">
        <f ca="1"/>
        <v>891.65</v>
      </c>
      <c r="FX128" vm="7874">
        <f ca="1"/>
        <v>900</v>
      </c>
      <c r="FY128" vm="7976">
        <f ca="1"/>
        <v>895.2</v>
      </c>
      <c r="FZ128" vm="5344">
        <f ca="1"/>
        <v>891.85</v>
      </c>
      <c r="GA128" vm="7977">
        <f ca="1"/>
        <v>891.2</v>
      </c>
      <c r="GB128" vm="7978">
        <f ca="1"/>
        <v>885.35</v>
      </c>
      <c r="GC128" vm="7979">
        <f ca="1"/>
        <v>873.45</v>
      </c>
      <c r="GD128" vm="7980">
        <f ca="1"/>
        <v>871.55</v>
      </c>
      <c r="GE128" vm="7981">
        <f ca="1"/>
        <v>868.8</v>
      </c>
      <c r="GF128" vm="3258">
        <f ca="1"/>
        <v>854.8</v>
      </c>
      <c r="GG128" vm="7982">
        <f ca="1"/>
        <v>854.2</v>
      </c>
      <c r="GH128" vm="7983">
        <f ca="1"/>
        <v>851.35</v>
      </c>
      <c r="GI128" vm="7984">
        <f ca="1"/>
        <v>844.85</v>
      </c>
      <c r="GJ128" vm="7985">
        <f ca="1"/>
        <v>845.2</v>
      </c>
      <c r="GK128" vm="7986">
        <f ca="1"/>
        <v>860.1</v>
      </c>
      <c r="GL128" vm="7987">
        <f ca="1"/>
        <v>847</v>
      </c>
      <c r="GM128" vm="7988">
        <f ca="1"/>
        <v>838.85</v>
      </c>
      <c r="GN128" vm="3360">
        <f ca="1"/>
        <v>845.65</v>
      </c>
      <c r="GO128" vm="7989">
        <f ca="1"/>
        <v>857.55</v>
      </c>
      <c r="GP128" vm="7990">
        <f ca="1"/>
        <v>878.75</v>
      </c>
      <c r="GQ128" vm="7991">
        <f ca="1"/>
        <v>859.95</v>
      </c>
      <c r="GR128" vm="7992">
        <f ca="1"/>
        <v>851.9</v>
      </c>
      <c r="GS128" vm="7993">
        <f ca="1"/>
        <v>841.75</v>
      </c>
      <c r="GT128" vm="3135">
        <f ca="1"/>
        <v>867.7</v>
      </c>
      <c r="GU128" vm="7994">
        <f ca="1"/>
        <v>850.4</v>
      </c>
      <c r="GV128" vm="7995">
        <f ca="1"/>
        <v>847.6</v>
      </c>
      <c r="GW128" vm="7996">
        <f ca="1"/>
        <v>842.05</v>
      </c>
      <c r="GX128" vm="3179">
        <f ca="1"/>
        <v>837.35</v>
      </c>
      <c r="GY128" vm="7997">
        <f ca="1"/>
        <v>832.1</v>
      </c>
      <c r="GZ128" vm="3378">
        <f ca="1"/>
        <v>841.05</v>
      </c>
      <c r="HA128" vm="7998">
        <f ca="1"/>
        <v>843</v>
      </c>
      <c r="HB128" vm="7999">
        <f ca="1"/>
        <v>840.5</v>
      </c>
      <c r="HC128" vm="8000">
        <f ca="1"/>
        <v>838.3</v>
      </c>
      <c r="HD128" vm="8001">
        <f ca="1"/>
        <v>834.8</v>
      </c>
      <c r="HE128" vm="8002">
        <f ca="1"/>
        <v>837.2</v>
      </c>
      <c r="HF128" vm="8003">
        <f ca="1"/>
        <v>835.7</v>
      </c>
      <c r="HG128" vm="8004">
        <f ca="1"/>
        <v>837.75</v>
      </c>
      <c r="HH128" vm="8005">
        <f ca="1"/>
        <v>831.95</v>
      </c>
      <c r="HI128" vm="8006">
        <f ca="1"/>
        <v>830.55</v>
      </c>
      <c r="HJ128" vm="3387">
        <f ca="1"/>
        <v>834.15</v>
      </c>
      <c r="HK128" vm="3190">
        <f ca="1"/>
        <v>831.5</v>
      </c>
      <c r="HL128" vm="3438">
        <f ca="1"/>
        <v>838.4</v>
      </c>
      <c r="HM128" vm="8007">
        <f ca="1"/>
        <v>826.85</v>
      </c>
      <c r="HN128" vm="8008">
        <f ca="1"/>
        <v>817.85</v>
      </c>
      <c r="HO128" vm="8009">
        <f ca="1"/>
        <v>806</v>
      </c>
      <c r="HP128" vm="8010">
        <f ca="1"/>
        <v>803.2</v>
      </c>
      <c r="HQ128" vm="8011">
        <f ca="1"/>
        <v>887.9</v>
      </c>
      <c r="HR128" vm="8012">
        <f ca="1"/>
        <v>854.75</v>
      </c>
      <c r="HS128" vm="8013">
        <f ca="1"/>
        <v>846.45</v>
      </c>
      <c r="HT128" vm="8014">
        <f ca="1"/>
        <v>834.05</v>
      </c>
      <c r="HU128" vm="8015">
        <f ca="1"/>
        <v>831.2</v>
      </c>
      <c r="HV128" vm="8016">
        <f ca="1"/>
        <v>830.8</v>
      </c>
      <c r="HW128" vm="8017">
        <f ca="1"/>
        <v>815.55</v>
      </c>
      <c r="HX128" vm="8018">
        <f ca="1"/>
        <v>776.1</v>
      </c>
      <c r="HY128" vm="8019">
        <f ca="1"/>
        <v>817.3</v>
      </c>
      <c r="HZ128" vm="8020">
        <f ca="1"/>
        <v>822.65</v>
      </c>
      <c r="IA128" vm="8021">
        <f ca="1"/>
        <v>835.1</v>
      </c>
      <c r="IB128" vm="3438">
        <f ca="1"/>
        <v>838.4</v>
      </c>
      <c r="IC128" vm="8022">
        <f ca="1"/>
        <v>842.5</v>
      </c>
      <c r="ID128" vm="8023">
        <f ca="1"/>
        <v>840.45</v>
      </c>
      <c r="IE128" vm="8024">
        <f ca="1"/>
        <v>834.85</v>
      </c>
      <c r="IF128" vm="8025">
        <f ca="1"/>
        <v>826.05</v>
      </c>
      <c r="IG128" vm="8026">
        <f ca="1"/>
        <v>830.7</v>
      </c>
      <c r="IH128" vm="2888">
        <f ca="1"/>
        <v>830.2</v>
      </c>
      <c r="II128" vm="8027">
        <f ca="1"/>
        <v>823.1</v>
      </c>
      <c r="IJ128" vm="8028">
        <f ca="1"/>
        <v>820.2</v>
      </c>
      <c r="IK128" vm="3477">
        <f ca="1"/>
        <v>819.85</v>
      </c>
      <c r="IL128" vm="8029">
        <f ca="1"/>
        <v>814.15</v>
      </c>
      <c r="IM128" vm="8030">
        <f ca="1"/>
        <v>812.45</v>
      </c>
      <c r="IN128" vm="8031">
        <f ca="1"/>
        <v>821.8</v>
      </c>
      <c r="IO128" vm="8032">
        <f ca="1"/>
        <v>823.7</v>
      </c>
      <c r="IP128" vm="8023">
        <f ca="1"/>
        <v>840.45</v>
      </c>
      <c r="IQ128" vm="8033">
        <f ca="1"/>
        <v>831.25</v>
      </c>
      <c r="IR128" vm="8034">
        <f ca="1"/>
        <v>832.25</v>
      </c>
    </row>
    <row r="129" spans="4:252" x14ac:dyDescent="0.35">
      <c r="D129" t="e" vm="36">
        <v>#VALUE!</v>
      </c>
      <c r="E129" cm="1" vm="8035">
        <f t="array" aca="1" ref="E129:IR129" ca="1">TRANSPOSE((_xlfn.STOCKHISTORY('Portfolio Tracker '!$C43,TODAY()-365,TODAY(),0,0,1)))</f>
        <v>2216.1316999999999</v>
      </c>
      <c r="F129" vm="8036">
        <f ca="1"/>
        <v>2197.1120000000001</v>
      </c>
      <c r="G129" vm="8037">
        <f ca="1"/>
        <v>2222.4413</v>
      </c>
      <c r="H129" vm="8038">
        <f ca="1"/>
        <v>2216.7671999999998</v>
      </c>
      <c r="I129" vm="8039">
        <f ca="1"/>
        <v>2244.1390999999999</v>
      </c>
      <c r="J129" vm="8040">
        <f ca="1"/>
        <v>2251.0843</v>
      </c>
      <c r="K129" vm="8041">
        <f ca="1"/>
        <v>2266.5632999999998</v>
      </c>
      <c r="L129" vm="8042">
        <f ca="1"/>
        <v>2251.7651999999998</v>
      </c>
      <c r="M129" vm="8043">
        <f ca="1"/>
        <v>2255.442</v>
      </c>
      <c r="N129" vm="8044">
        <f ca="1"/>
        <v>2259.8905</v>
      </c>
      <c r="O129" vm="8045">
        <f ca="1"/>
        <v>2227.7069000000001</v>
      </c>
      <c r="P129" vm="8046">
        <f ca="1"/>
        <v>2214.5428999999999</v>
      </c>
      <c r="Q129" vm="8047">
        <f ca="1"/>
        <v>2209.7766000000001</v>
      </c>
      <c r="R129" vm="8048">
        <f ca="1"/>
        <v>2216.9486999999999</v>
      </c>
      <c r="S129" vm="8049">
        <f ca="1"/>
        <v>2228.7963</v>
      </c>
      <c r="T129" vm="8050">
        <f ca="1"/>
        <v>2228.3878</v>
      </c>
      <c r="U129" vm="8051">
        <f ca="1"/>
        <v>2215.4054000000001</v>
      </c>
      <c r="V129" vm="8052">
        <f ca="1"/>
        <v>2215.1329999999998</v>
      </c>
      <c r="W129" vm="8053">
        <f ca="1"/>
        <v>2275.5511000000001</v>
      </c>
      <c r="X129" vm="8054">
        <f ca="1"/>
        <v>2288.3519000000001</v>
      </c>
      <c r="Y129" vm="8055">
        <f ca="1"/>
        <v>2287.7618000000002</v>
      </c>
      <c r="Z129" vm="8056">
        <f ca="1"/>
        <v>2242.3234000000002</v>
      </c>
      <c r="AA129" vm="8057">
        <f ca="1"/>
        <v>2236.2860999999998</v>
      </c>
      <c r="AB129" vm="8058">
        <f ca="1"/>
        <v>2228.9778999999999</v>
      </c>
      <c r="AC129" vm="8059">
        <f ca="1"/>
        <v>2248.9962</v>
      </c>
      <c r="AD129" vm="8060">
        <f ca="1"/>
        <v>2250.9027000000001</v>
      </c>
      <c r="AE129" vm="8061">
        <f ca="1"/>
        <v>2267.9704999999999</v>
      </c>
      <c r="AF129" vm="8062">
        <f ca="1"/>
        <v>2269.3321999999998</v>
      </c>
      <c r="AG129" vm="8063">
        <f ca="1"/>
        <v>2253.2631000000001</v>
      </c>
      <c r="AH129" vm="8064">
        <f ca="1"/>
        <v>2255.2604000000001</v>
      </c>
      <c r="AI129" vm="8065">
        <f ca="1"/>
        <v>2288.5789</v>
      </c>
      <c r="AJ129" vm="8066">
        <f ca="1"/>
        <v>2316.7224999999999</v>
      </c>
      <c r="AK129" vm="8067">
        <f ca="1"/>
        <v>2317.3580000000002</v>
      </c>
      <c r="AL129" vm="8068">
        <f ca="1"/>
        <v>2339.9184</v>
      </c>
      <c r="AM129" vm="8069">
        <f ca="1"/>
        <v>2316.6770999999999</v>
      </c>
      <c r="AN129" vm="8070">
        <f ca="1"/>
        <v>2321.4888000000001</v>
      </c>
      <c r="AO129" vm="8071">
        <f ca="1"/>
        <v>2328.0254</v>
      </c>
      <c r="AP129" vm="8072">
        <f ca="1"/>
        <v>2301.8789999999999</v>
      </c>
      <c r="AQ129" vm="8073">
        <f ca="1"/>
        <v>2283.0409</v>
      </c>
      <c r="AR129" vm="8074">
        <f ca="1"/>
        <v>2265.61</v>
      </c>
      <c r="AS129" vm="8075">
        <f ca="1"/>
        <v>2266.4270999999999</v>
      </c>
      <c r="AT129" vm="8076">
        <f ca="1"/>
        <v>2296.4319</v>
      </c>
      <c r="AU129" vm="8077">
        <f ca="1"/>
        <v>2315.27</v>
      </c>
      <c r="AV129" vm="8078">
        <f ca="1"/>
        <v>2374.6894000000002</v>
      </c>
      <c r="AW129" vm="8079">
        <f ca="1"/>
        <v>2350.2226000000001</v>
      </c>
      <c r="AX129" vm="8080">
        <f ca="1"/>
        <v>2346.3642</v>
      </c>
      <c r="AY129" vm="8081">
        <f ca="1"/>
        <v>2395.6156000000001</v>
      </c>
      <c r="AZ129" vm="8082">
        <f ca="1"/>
        <v>2390.9400999999998</v>
      </c>
      <c r="BA129" vm="8083">
        <f ca="1"/>
        <v>2483.0425</v>
      </c>
      <c r="BB129" vm="8084">
        <f ca="1"/>
        <v>2509.9605000000001</v>
      </c>
      <c r="BC129" vm="8085">
        <f ca="1"/>
        <v>2512.7294999999999</v>
      </c>
      <c r="BD129" vm="8086">
        <f ca="1"/>
        <v>2490.2600000000002</v>
      </c>
      <c r="BE129" vm="8087">
        <f ca="1"/>
        <v>2488.1718999999998</v>
      </c>
      <c r="BF129" vm="8088">
        <f ca="1"/>
        <v>2539.0120999999999</v>
      </c>
      <c r="BG129" vm="8089">
        <f ca="1"/>
        <v>2560.5736999999999</v>
      </c>
      <c r="BH129" vm="8090">
        <f ca="1"/>
        <v>2580.0019000000002</v>
      </c>
      <c r="BI129" vm="8091">
        <f ca="1"/>
        <v>2619.85</v>
      </c>
      <c r="BJ129" vm="8092">
        <f ca="1"/>
        <v>2538.75</v>
      </c>
      <c r="BK129" vm="8093">
        <f ca="1"/>
        <v>2487.4</v>
      </c>
      <c r="BL129" vm="8094">
        <f ca="1"/>
        <v>2485.8000000000002</v>
      </c>
      <c r="BM129" vm="8095">
        <f ca="1"/>
        <v>2526.1999999999998</v>
      </c>
      <c r="BN129" vm="8096">
        <f ca="1"/>
        <v>2502.6999999999998</v>
      </c>
      <c r="BO129" vm="8097">
        <f ca="1"/>
        <v>2527.85</v>
      </c>
      <c r="BP129" vm="8098">
        <f ca="1"/>
        <v>2549.25</v>
      </c>
      <c r="BQ129" vm="8099">
        <f ca="1"/>
        <v>2513.1999999999998</v>
      </c>
      <c r="BR129" vm="8100">
        <f ca="1"/>
        <v>2486.35</v>
      </c>
      <c r="BS129" vm="8101">
        <f ca="1"/>
        <v>2475.9</v>
      </c>
      <c r="BT129" vm="8102">
        <f ca="1"/>
        <v>2509.5500000000002</v>
      </c>
      <c r="BU129" vm="8103">
        <f ca="1"/>
        <v>2523.85</v>
      </c>
      <c r="BV129" vm="8104">
        <f ca="1"/>
        <v>2508.65</v>
      </c>
      <c r="BW129" vm="8105">
        <f ca="1"/>
        <v>2525.1999999999998</v>
      </c>
      <c r="BX129" vm="8106">
        <f ca="1"/>
        <v>2536.4499999999998</v>
      </c>
      <c r="BY129" vm="8107">
        <f ca="1"/>
        <v>2547.15</v>
      </c>
      <c r="BZ129" vm="8108">
        <f ca="1"/>
        <v>2577.25</v>
      </c>
      <c r="CA129" vm="8109">
        <f ca="1"/>
        <v>2575.15</v>
      </c>
      <c r="CB129" vm="8110">
        <f ca="1"/>
        <v>2538</v>
      </c>
      <c r="CC129" vm="8111">
        <f ca="1"/>
        <v>2556.8000000000002</v>
      </c>
      <c r="CD129" vm="8112">
        <f ca="1"/>
        <v>2520</v>
      </c>
      <c r="CE129" vm="8113">
        <f ca="1"/>
        <v>2519.4</v>
      </c>
      <c r="CF129" vm="8114">
        <f ca="1"/>
        <v>2522.1999999999998</v>
      </c>
      <c r="CG129" vm="8115">
        <f ca="1"/>
        <v>2479.8000000000002</v>
      </c>
      <c r="CH129" vm="8116">
        <f ca="1"/>
        <v>2468.35</v>
      </c>
      <c r="CI129" vm="8117">
        <f ca="1"/>
        <v>2443.75</v>
      </c>
      <c r="CJ129" vm="8118">
        <f ca="1"/>
        <v>2420.35</v>
      </c>
      <c r="CK129" vm="8119">
        <f ca="1"/>
        <v>2418.0500000000002</v>
      </c>
      <c r="CL129" vm="8120">
        <f ca="1"/>
        <v>2407</v>
      </c>
      <c r="CM129" vm="8121">
        <f ca="1"/>
        <v>2412.65</v>
      </c>
      <c r="CN129" vm="8122">
        <f ca="1"/>
        <v>2410.6999999999998</v>
      </c>
      <c r="CO129" vm="8123">
        <f ca="1"/>
        <v>2423.6</v>
      </c>
      <c r="CP129" vm="1262">
        <f ca="1"/>
        <v>2428.6999999999998</v>
      </c>
      <c r="CQ129" vm="8124">
        <f ca="1"/>
        <v>2432</v>
      </c>
      <c r="CR129" vm="8125">
        <f ca="1"/>
        <v>2448.1999999999998</v>
      </c>
      <c r="CS129" vm="8126">
        <f ca="1"/>
        <v>2474.6</v>
      </c>
      <c r="CT129" vm="6852">
        <f ca="1"/>
        <v>2438.85</v>
      </c>
      <c r="CU129" vm="8127">
        <f ca="1"/>
        <v>2451.0500000000002</v>
      </c>
      <c r="CV129" vm="8128">
        <f ca="1"/>
        <v>2453.3000000000002</v>
      </c>
      <c r="CW129" vm="8129">
        <f ca="1"/>
        <v>2457.85</v>
      </c>
      <c r="CX129" vm="8130">
        <f ca="1"/>
        <v>2436.4499999999998</v>
      </c>
      <c r="CY129" vm="8131">
        <f ca="1"/>
        <v>2382.15</v>
      </c>
      <c r="CZ129" vm="8132">
        <f ca="1"/>
        <v>2364.8000000000002</v>
      </c>
      <c r="DA129" vm="8133">
        <f ca="1"/>
        <v>2354.9499999999998</v>
      </c>
      <c r="DB129" vm="8134">
        <f ca="1"/>
        <v>2340.4499999999998</v>
      </c>
      <c r="DC129" vm="8135">
        <f ca="1"/>
        <v>2342.5</v>
      </c>
      <c r="DD129" vm="8136">
        <f ca="1"/>
        <v>2368.9</v>
      </c>
      <c r="DE129" vm="8137">
        <f ca="1"/>
        <v>2334.1</v>
      </c>
      <c r="DF129" vm="8138">
        <f ca="1"/>
        <v>2345</v>
      </c>
      <c r="DG129" vm="8139">
        <f ca="1"/>
        <v>2318.15</v>
      </c>
      <c r="DH129" vm="8140">
        <f ca="1"/>
        <v>2314.15</v>
      </c>
      <c r="DI129" vm="8141">
        <f ca="1"/>
        <v>2314.1</v>
      </c>
      <c r="DJ129" vm="8142">
        <f ca="1"/>
        <v>2318</v>
      </c>
      <c r="DK129" vm="8143">
        <f ca="1"/>
        <v>2298.25</v>
      </c>
      <c r="DL129" vm="8144">
        <f ca="1"/>
        <v>2308.4</v>
      </c>
      <c r="DM129" vm="8145">
        <f ca="1"/>
        <v>2345.0500000000002</v>
      </c>
      <c r="DN129" vm="8146">
        <f ca="1"/>
        <v>2349.4</v>
      </c>
      <c r="DO129" vm="8147">
        <f ca="1"/>
        <v>2349.3000000000002</v>
      </c>
      <c r="DP129" vm="8148">
        <f ca="1"/>
        <v>2344.0500000000002</v>
      </c>
      <c r="DQ129" vm="8149">
        <f ca="1"/>
        <v>2355.25</v>
      </c>
      <c r="DR129" vm="8150">
        <f ca="1"/>
        <v>2324</v>
      </c>
      <c r="DS129" vm="8151">
        <f ca="1"/>
        <v>2306.15</v>
      </c>
      <c r="DT129" vm="8152">
        <f ca="1"/>
        <v>2299.1</v>
      </c>
      <c r="DU129" vm="8153">
        <f ca="1"/>
        <v>2263.1999999999998</v>
      </c>
      <c r="DV129" vm="8154">
        <f ca="1"/>
        <v>2257.9499999999998</v>
      </c>
      <c r="DW129" vm="6633">
        <f ca="1"/>
        <v>2226.5</v>
      </c>
      <c r="DX129" vm="8155">
        <f ca="1"/>
        <v>2265.8000000000002</v>
      </c>
      <c r="DY129" vm="8156">
        <f ca="1"/>
        <v>2312.5</v>
      </c>
      <c r="DZ129" vm="8157">
        <f ca="1"/>
        <v>2287.9</v>
      </c>
      <c r="EA129" vm="8158">
        <f ca="1"/>
        <v>2297.4</v>
      </c>
      <c r="EB129" vm="8159">
        <f ca="1"/>
        <v>2320.1999999999998</v>
      </c>
      <c r="EC129" vm="8160">
        <f ca="1"/>
        <v>2319.6999999999998</v>
      </c>
      <c r="ED129" vm="8161">
        <f ca="1"/>
        <v>2339</v>
      </c>
      <c r="EE129" vm="8162">
        <f ca="1"/>
        <v>2323.8000000000002</v>
      </c>
      <c r="EF129" vm="1189">
        <f ca="1"/>
        <v>2335.9</v>
      </c>
      <c r="EG129" vm="8163">
        <f ca="1"/>
        <v>2310.5500000000002</v>
      </c>
      <c r="EH129" vm="8164">
        <f ca="1"/>
        <v>2314.9</v>
      </c>
      <c r="EI129" vm="8165">
        <f ca="1"/>
        <v>2330.65</v>
      </c>
      <c r="EJ129" vm="8166">
        <f ca="1"/>
        <v>2314.6</v>
      </c>
      <c r="EK129" vm="8167">
        <f ca="1"/>
        <v>2356.4499999999998</v>
      </c>
      <c r="EL129" vm="8168">
        <f ca="1"/>
        <v>2360.6999999999998</v>
      </c>
      <c r="EM129" vm="8169">
        <f ca="1"/>
        <v>2355.5500000000002</v>
      </c>
      <c r="EN129" vm="8170">
        <f ca="1"/>
        <v>2349.35</v>
      </c>
      <c r="EO129" vm="8171">
        <f ca="1"/>
        <v>2378.9</v>
      </c>
      <c r="EP129" vm="8172">
        <f ca="1"/>
        <v>2388.1999999999998</v>
      </c>
      <c r="EQ129" vm="8173">
        <f ca="1"/>
        <v>2395.5</v>
      </c>
      <c r="ER129" vm="8174">
        <f ca="1"/>
        <v>2393.9</v>
      </c>
      <c r="ES129" vm="8175">
        <f ca="1"/>
        <v>2394.4</v>
      </c>
      <c r="ET129" vm="8176">
        <f ca="1"/>
        <v>2400.6999999999998</v>
      </c>
      <c r="EU129" vm="8177">
        <f ca="1"/>
        <v>2377.4499999999998</v>
      </c>
      <c r="EV129" vm="8178">
        <f ca="1"/>
        <v>2394.3000000000002</v>
      </c>
      <c r="EW129" vm="8179">
        <f ca="1"/>
        <v>2420.1999999999998</v>
      </c>
      <c r="EX129" vm="8180">
        <f ca="1"/>
        <v>2437.75</v>
      </c>
      <c r="EY129" vm="8181">
        <f ca="1"/>
        <v>2461.1</v>
      </c>
      <c r="EZ129" vm="8182">
        <f ca="1"/>
        <v>2457.0500000000002</v>
      </c>
      <c r="FA129" vm="8183">
        <f ca="1"/>
        <v>2455.75</v>
      </c>
      <c r="FB129" vm="8184">
        <f ca="1"/>
        <v>2459.35</v>
      </c>
      <c r="FC129" vm="8185">
        <f ca="1"/>
        <v>2424.0500000000002</v>
      </c>
      <c r="FD129" vm="8186">
        <f ca="1"/>
        <v>2433.9499999999998</v>
      </c>
      <c r="FE129" vm="8187">
        <f ca="1"/>
        <v>2464.15</v>
      </c>
      <c r="FF129" vm="7341">
        <f ca="1"/>
        <v>2495.6</v>
      </c>
      <c r="FG129" vm="8188">
        <f ca="1"/>
        <v>2521</v>
      </c>
      <c r="FH129" vm="8189">
        <f ca="1"/>
        <v>2558.1</v>
      </c>
      <c r="FI129" vm="8190">
        <f ca="1"/>
        <v>2527.15</v>
      </c>
      <c r="FJ129" vm="8191">
        <f ca="1"/>
        <v>2562.5500000000002</v>
      </c>
      <c r="FK129" vm="6842">
        <f ca="1"/>
        <v>2565.0500000000002</v>
      </c>
      <c r="FL129" vm="8192">
        <f ca="1"/>
        <v>2578.0500000000002</v>
      </c>
      <c r="FM129" vm="8193">
        <f ca="1"/>
        <v>2586.85</v>
      </c>
      <c r="FN129" vm="8194">
        <f ca="1"/>
        <v>2605.5500000000002</v>
      </c>
      <c r="FO129" vm="8195">
        <f ca="1"/>
        <v>2584.9499999999998</v>
      </c>
      <c r="FP129" vm="8196">
        <f ca="1"/>
        <v>2590.25</v>
      </c>
      <c r="FQ129" vm="8197">
        <f ca="1"/>
        <v>2611.6999999999998</v>
      </c>
      <c r="FR129" vm="4441">
        <f ca="1"/>
        <v>2583.3000000000002</v>
      </c>
      <c r="FS129" vm="8198">
        <f ca="1"/>
        <v>2596.65</v>
      </c>
      <c r="FT129" vm="8199">
        <f ca="1"/>
        <v>2607.6999999999998</v>
      </c>
      <c r="FU129" vm="8200">
        <f ca="1"/>
        <v>2587.35</v>
      </c>
      <c r="FV129" vm="8201">
        <f ca="1"/>
        <v>2580.5</v>
      </c>
      <c r="FW129" vm="8202">
        <f ca="1"/>
        <v>2650.1</v>
      </c>
      <c r="FX129" vm="8203">
        <f ca="1"/>
        <v>2719.8</v>
      </c>
      <c r="FY129" vm="8204">
        <f ca="1"/>
        <v>2741.45</v>
      </c>
      <c r="FZ129" vm="8205">
        <f ca="1"/>
        <v>2788.25</v>
      </c>
      <c r="GA129" vm="8206">
        <f ca="1"/>
        <v>2749.25</v>
      </c>
      <c r="GB129" vm="8207">
        <f ca="1"/>
        <v>2723.15</v>
      </c>
      <c r="GC129" vm="8208">
        <f ca="1"/>
        <v>2735.9</v>
      </c>
      <c r="GD129" vm="8209">
        <f ca="1"/>
        <v>2734.9</v>
      </c>
      <c r="GE129" vm="8210">
        <f ca="1"/>
        <v>2713.3</v>
      </c>
      <c r="GF129" vm="8211">
        <f ca="1"/>
        <v>2657.15</v>
      </c>
      <c r="GG129" vm="8212">
        <f ca="1"/>
        <v>2687.75</v>
      </c>
      <c r="GH129" vm="8213">
        <f ca="1"/>
        <v>2706.15</v>
      </c>
      <c r="GI129" vm="58">
        <f ca="1"/>
        <v>2896.1</v>
      </c>
      <c r="GJ129" vm="61">
        <f ca="1"/>
        <v>2815.25</v>
      </c>
      <c r="GK129" vm="64">
        <f ca="1"/>
        <v>2853.25</v>
      </c>
      <c r="GL129" vm="67">
        <f ca="1"/>
        <v>2853.3</v>
      </c>
      <c r="GM129" vm="70">
        <f ca="1"/>
        <v>2915.4</v>
      </c>
      <c r="GN129" vm="73">
        <f ca="1"/>
        <v>2878.05</v>
      </c>
      <c r="GO129" vm="76">
        <f ca="1"/>
        <v>2855.6</v>
      </c>
      <c r="GP129" vm="79">
        <f ca="1"/>
        <v>2884.3</v>
      </c>
      <c r="GQ129" vm="82">
        <f ca="1"/>
        <v>2900.25</v>
      </c>
      <c r="GR129" vm="85">
        <f ca="1"/>
        <v>2921.5</v>
      </c>
      <c r="GS129" vm="88">
        <f ca="1"/>
        <v>2904.7</v>
      </c>
      <c r="GT129" vm="91">
        <f ca="1"/>
        <v>2930.2</v>
      </c>
      <c r="GU129" vm="94">
        <f ca="1"/>
        <v>2962.75</v>
      </c>
      <c r="GV129" vm="97">
        <f ca="1"/>
        <v>2941.2</v>
      </c>
      <c r="GW129" vm="100">
        <f ca="1"/>
        <v>2921.15</v>
      </c>
      <c r="GX129" vm="103">
        <f ca="1"/>
        <v>2948</v>
      </c>
      <c r="GY129" vm="106">
        <f ca="1"/>
        <v>2942.05</v>
      </c>
      <c r="GZ129" vm="109">
        <f ca="1"/>
        <v>2935.4</v>
      </c>
      <c r="HA129" vm="112">
        <f ca="1"/>
        <v>2963.5</v>
      </c>
      <c r="HB129" vm="115">
        <f ca="1"/>
        <v>2987.25</v>
      </c>
      <c r="HC129" vm="118">
        <f ca="1"/>
        <v>2974.65</v>
      </c>
      <c r="HD129" vm="121">
        <f ca="1"/>
        <v>2971.3</v>
      </c>
      <c r="HE129" vm="124">
        <f ca="1"/>
        <v>2911.25</v>
      </c>
      <c r="HF129" vm="127">
        <f ca="1"/>
        <v>2921.6</v>
      </c>
      <c r="HG129" vm="130">
        <f ca="1"/>
        <v>2984.25</v>
      </c>
      <c r="HH129" vm="133">
        <f ca="1"/>
        <v>2982.15</v>
      </c>
      <c r="HI129" vm="136">
        <f ca="1"/>
        <v>3014.8</v>
      </c>
      <c r="HJ129" vm="139">
        <f ca="1"/>
        <v>3000.4</v>
      </c>
      <c r="HK129" vm="142">
        <f ca="1"/>
        <v>3006</v>
      </c>
      <c r="HL129" vm="145">
        <f ca="1"/>
        <v>2957.85</v>
      </c>
      <c r="HM129" vm="148">
        <f ca="1"/>
        <v>2933.2</v>
      </c>
      <c r="HN129" vm="151">
        <f ca="1"/>
        <v>2950.85</v>
      </c>
      <c r="HO129" vm="154">
        <f ca="1"/>
        <v>2864.35</v>
      </c>
      <c r="HP129" vm="157">
        <f ca="1"/>
        <v>2862.95</v>
      </c>
      <c r="HQ129" vm="160">
        <f ca="1"/>
        <v>2836.45</v>
      </c>
      <c r="HR129" vm="163">
        <f ca="1"/>
        <v>2878.95</v>
      </c>
      <c r="HS129" vm="166">
        <f ca="1"/>
        <v>2850.5</v>
      </c>
      <c r="HT129" vm="169">
        <f ca="1"/>
        <v>2887.5</v>
      </c>
      <c r="HU129" vm="172">
        <f ca="1"/>
        <v>2901.95</v>
      </c>
      <c r="HV129" vm="175">
        <f ca="1"/>
        <v>2910.05</v>
      </c>
      <c r="HW129" vm="178">
        <f ca="1"/>
        <v>2883.15</v>
      </c>
      <c r="HX129" vm="181">
        <f ca="1"/>
        <v>2985.7</v>
      </c>
      <c r="HY129" vm="184">
        <f ca="1"/>
        <v>2971.7</v>
      </c>
      <c r="HZ129" vm="187">
        <f ca="1"/>
        <v>2969.55</v>
      </c>
      <c r="IA129" vm="190">
        <f ca="1"/>
        <v>2973.9</v>
      </c>
      <c r="IB129" vm="193">
        <f ca="1"/>
        <v>2943.2</v>
      </c>
      <c r="IC129" vm="196">
        <f ca="1"/>
        <v>2925.85</v>
      </c>
      <c r="ID129" vm="199">
        <f ca="1"/>
        <v>2920.2</v>
      </c>
      <c r="IE129" vm="202">
        <f ca="1"/>
        <v>2971.95</v>
      </c>
      <c r="IF129" vm="205">
        <f ca="1"/>
        <v>2927.3</v>
      </c>
      <c r="IG129" vm="208">
        <f ca="1"/>
        <v>2959.15</v>
      </c>
      <c r="IH129" vm="211">
        <f ca="1"/>
        <v>2934.3</v>
      </c>
      <c r="II129" vm="214">
        <f ca="1"/>
        <v>2929.65</v>
      </c>
      <c r="IJ129" vm="217">
        <f ca="1"/>
        <v>2931.5</v>
      </c>
      <c r="IK129" vm="220">
        <f ca="1"/>
        <v>2928.65</v>
      </c>
      <c r="IL129" vm="223">
        <f ca="1"/>
        <v>2940.25</v>
      </c>
      <c r="IM129" vm="226">
        <f ca="1"/>
        <v>2959.7</v>
      </c>
      <c r="IN129" vm="229">
        <f ca="1"/>
        <v>2918.65</v>
      </c>
      <c r="IO129" vm="232">
        <f ca="1"/>
        <v>2900.35</v>
      </c>
      <c r="IP129" vm="235">
        <f ca="1"/>
        <v>2919.95</v>
      </c>
      <c r="IQ129" vm="238">
        <f ca="1"/>
        <v>2905.1</v>
      </c>
      <c r="IR129" vm="241">
        <f ca="1"/>
        <v>2930.05</v>
      </c>
    </row>
    <row r="130" spans="4:252" x14ac:dyDescent="0.35">
      <c r="D130" t="e" vm="37">
        <v>#VALUE!</v>
      </c>
      <c r="E130" cm="1" vm="8214">
        <f t="array" aca="1" ref="E130:IR130" ca="1">TRANSPOSE((_xlfn.STOCKHISTORY('Portfolio Tracker '!$C44,TODAY()-365,TODAY(),0,0,1)))</f>
        <v>584.625</v>
      </c>
      <c r="F130" vm="1918">
        <f ca="1"/>
        <v>575</v>
      </c>
      <c r="G130" vm="8215">
        <f ca="1"/>
        <v>579.35</v>
      </c>
      <c r="H130" vm="8216">
        <f ca="1"/>
        <v>604.25</v>
      </c>
      <c r="I130" vm="8217">
        <f ca="1"/>
        <v>616.70000000000005</v>
      </c>
      <c r="J130" vm="8218">
        <f ca="1"/>
        <v>647.52499999999998</v>
      </c>
      <c r="K130" vm="8219">
        <f ca="1"/>
        <v>679.9</v>
      </c>
      <c r="L130" vm="8220">
        <f ca="1"/>
        <v>713.875</v>
      </c>
      <c r="M130" vm="5329">
        <f ca="1"/>
        <v>749.55</v>
      </c>
      <c r="N130" vm="8221">
        <f ca="1"/>
        <v>787.02499999999998</v>
      </c>
      <c r="O130" vm="8222">
        <f ca="1"/>
        <v>800.05</v>
      </c>
      <c r="P130" vm="8223">
        <f ca="1"/>
        <v>769.27499999999998</v>
      </c>
      <c r="Q130" vm="8224">
        <f ca="1"/>
        <v>772.82500000000005</v>
      </c>
      <c r="R130" vm="8225">
        <f ca="1"/>
        <v>802.95</v>
      </c>
      <c r="S130" vm="8226">
        <f ca="1"/>
        <v>789.8</v>
      </c>
      <c r="T130" vm="8227">
        <f ca="1"/>
        <v>772.5</v>
      </c>
      <c r="U130" vm="8228">
        <f ca="1"/>
        <v>774.875</v>
      </c>
      <c r="V130" vm="8229">
        <f ca="1"/>
        <v>776.02499999999998</v>
      </c>
      <c r="W130" vm="8230">
        <f ca="1"/>
        <v>784.15</v>
      </c>
      <c r="X130" vm="8231">
        <f ca="1"/>
        <v>809.75</v>
      </c>
      <c r="Y130" vm="8232">
        <f ca="1"/>
        <v>776.4</v>
      </c>
      <c r="Z130" vm="8233">
        <f ca="1"/>
        <v>783.82500000000005</v>
      </c>
      <c r="AA130" vm="8234">
        <f ca="1"/>
        <v>754.52499999999998</v>
      </c>
      <c r="AB130" vm="8235">
        <f ca="1"/>
        <v>743.67499999999995</v>
      </c>
      <c r="AC130" vm="8236">
        <f ca="1"/>
        <v>737.67499999999995</v>
      </c>
      <c r="AD130" vm="8237">
        <f ca="1"/>
        <v>747.1</v>
      </c>
      <c r="AE130" vm="8238">
        <f ca="1"/>
        <v>744.82500000000005</v>
      </c>
      <c r="AF130" vm="8239">
        <f ca="1"/>
        <v>739.4</v>
      </c>
      <c r="AG130" vm="8240">
        <f ca="1"/>
        <v>776.35</v>
      </c>
      <c r="AH130" vm="8241">
        <f ca="1"/>
        <v>774.92499999999995</v>
      </c>
      <c r="AI130" vm="8242">
        <f ca="1"/>
        <v>794.45</v>
      </c>
      <c r="AJ130" vm="8243">
        <f ca="1"/>
        <v>798.35</v>
      </c>
      <c r="AK130" vm="3366">
        <f ca="1"/>
        <v>811.35</v>
      </c>
      <c r="AL130" vm="8244">
        <f ca="1"/>
        <v>809.02499999999998</v>
      </c>
      <c r="AM130" vm="8245">
        <f ca="1"/>
        <v>826.35</v>
      </c>
      <c r="AN130" vm="8246">
        <f ca="1"/>
        <v>867.35</v>
      </c>
      <c r="AO130" vm="8247">
        <f ca="1"/>
        <v>902.25</v>
      </c>
      <c r="AP130" vm="8248">
        <f ca="1"/>
        <v>919.32500000000005</v>
      </c>
      <c r="AQ130" vm="8249">
        <f ca="1"/>
        <v>948</v>
      </c>
      <c r="AR130" vm="8250">
        <f ca="1"/>
        <v>994.95</v>
      </c>
      <c r="AS130" vm="8251">
        <f ca="1"/>
        <v>1044.625</v>
      </c>
      <c r="AT130" vm="8252">
        <f ca="1"/>
        <v>994.85</v>
      </c>
      <c r="AU130" vm="8253">
        <f ca="1"/>
        <v>945.125</v>
      </c>
      <c r="AV130" vm="8254">
        <f ca="1"/>
        <v>992.375</v>
      </c>
      <c r="AW130" vm="8255">
        <f ca="1"/>
        <v>1036.7</v>
      </c>
      <c r="AX130" vm="8256">
        <f ca="1"/>
        <v>1031.5999999999999</v>
      </c>
      <c r="AY130" vm="8257">
        <f ca="1"/>
        <v>1081.0999999999999</v>
      </c>
      <c r="AZ130" vm="8258">
        <f ca="1"/>
        <v>1066.55</v>
      </c>
      <c r="BA130" vm="8259">
        <f ca="1"/>
        <v>1072.325</v>
      </c>
      <c r="BB130" vm="8260">
        <f ca="1"/>
        <v>1100.45</v>
      </c>
      <c r="BC130" vm="8261">
        <f ca="1"/>
        <v>1138.9749999999999</v>
      </c>
      <c r="BD130" vm="8262">
        <f ca="1"/>
        <v>1176.675</v>
      </c>
      <c r="BE130" vm="8263">
        <f ca="1"/>
        <v>1117.8499999999999</v>
      </c>
      <c r="BF130" vm="8264">
        <f ca="1"/>
        <v>1125.6500000000001</v>
      </c>
      <c r="BG130" vm="8265">
        <f ca="1"/>
        <v>1083.925</v>
      </c>
      <c r="BH130" vm="710">
        <f ca="1"/>
        <v>1110.55</v>
      </c>
      <c r="BI130" vm="735">
        <f ca="1"/>
        <v>1102.25</v>
      </c>
      <c r="BJ130" vm="8266">
        <f ca="1"/>
        <v>1115.7750000000001</v>
      </c>
      <c r="BK130" vm="8267">
        <f ca="1"/>
        <v>1171.55</v>
      </c>
      <c r="BL130" vm="8268">
        <f ca="1"/>
        <v>1230.0999999999999</v>
      </c>
      <c r="BM130" vm="8269">
        <f ca="1"/>
        <v>1291.5999999999999</v>
      </c>
      <c r="BN130" vm="8270">
        <f ca="1"/>
        <v>1356.15</v>
      </c>
      <c r="BO130" vm="8271">
        <f ca="1"/>
        <v>1288.3499999999999</v>
      </c>
      <c r="BP130" vm="8272">
        <f ca="1"/>
        <v>1352.75</v>
      </c>
      <c r="BQ130" vm="8273">
        <f ca="1"/>
        <v>1420.35</v>
      </c>
      <c r="BR130" vm="8274">
        <f ca="1"/>
        <v>1491.35</v>
      </c>
      <c r="BS130" vm="8275">
        <f ca="1"/>
        <v>1519</v>
      </c>
      <c r="BT130" vm="8276">
        <f ca="1"/>
        <v>1474.55</v>
      </c>
      <c r="BU130" vm="8277">
        <f ca="1"/>
        <v>1400.85</v>
      </c>
      <c r="BV130" vm="4135">
        <f ca="1"/>
        <v>1403.05</v>
      </c>
      <c r="BW130" vm="8278">
        <f ca="1"/>
        <v>1343.4</v>
      </c>
      <c r="BX130" vm="8279">
        <f ca="1"/>
        <v>1276.25</v>
      </c>
      <c r="BY130" vm="8280">
        <f ca="1"/>
        <v>1216.3</v>
      </c>
      <c r="BZ130" vm="3811">
        <f ca="1"/>
        <v>1241.9000000000001</v>
      </c>
      <c r="CA130" vm="8281">
        <f ca="1"/>
        <v>1234.1500000000001</v>
      </c>
      <c r="CB130" vm="8282">
        <f ca="1"/>
        <v>1216.8</v>
      </c>
      <c r="CC130" vm="8283">
        <f ca="1"/>
        <v>1192.7</v>
      </c>
      <c r="CD130" vm="8284">
        <f ca="1"/>
        <v>1140.3499999999999</v>
      </c>
      <c r="CE130" vm="8285">
        <f ca="1"/>
        <v>1177.4000000000001</v>
      </c>
      <c r="CF130" vm="8286">
        <f ca="1"/>
        <v>1160</v>
      </c>
      <c r="CG130" vm="8287">
        <f ca="1"/>
        <v>1122.8</v>
      </c>
      <c r="CH130" vm="8288">
        <f ca="1"/>
        <v>1123.3</v>
      </c>
      <c r="CI130" vm="8289">
        <f ca="1"/>
        <v>1091.4000000000001</v>
      </c>
      <c r="CJ130" vm="721">
        <f ca="1"/>
        <v>1084.05</v>
      </c>
      <c r="CK130" vm="8290">
        <f ca="1"/>
        <v>1074.9000000000001</v>
      </c>
      <c r="CL130" vm="8291">
        <f ca="1"/>
        <v>1083</v>
      </c>
      <c r="CM130" vm="8292">
        <f ca="1"/>
        <v>1137.1500000000001</v>
      </c>
      <c r="CN130" vm="8293">
        <f ca="1"/>
        <v>1194</v>
      </c>
      <c r="CO130" vm="8294">
        <f ca="1"/>
        <v>1221.5999999999999</v>
      </c>
      <c r="CP130" vm="8295">
        <f ca="1"/>
        <v>1183.6500000000001</v>
      </c>
      <c r="CQ130" vm="8296">
        <f ca="1"/>
        <v>1148.3499999999999</v>
      </c>
      <c r="CR130" vm="8297">
        <f ca="1"/>
        <v>1138.9000000000001</v>
      </c>
      <c r="CS130" vm="8298">
        <f ca="1"/>
        <v>1132.9000000000001</v>
      </c>
      <c r="CT130" vm="8299">
        <f ca="1"/>
        <v>1079.5</v>
      </c>
      <c r="CU130" vm="8300">
        <f ca="1"/>
        <v>1064.75</v>
      </c>
      <c r="CV130" vm="8301">
        <f ca="1"/>
        <v>1070.9000000000001</v>
      </c>
      <c r="CW130" vm="8302">
        <f ca="1"/>
        <v>1063.8499999999999</v>
      </c>
      <c r="CX130" vm="8303">
        <f ca="1"/>
        <v>1040.4000000000001</v>
      </c>
      <c r="CY130" vm="8304">
        <f ca="1"/>
        <v>1043.1500000000001</v>
      </c>
      <c r="CZ130" vm="8305">
        <f ca="1"/>
        <v>1047.95</v>
      </c>
      <c r="DA130" vm="8306">
        <f ca="1"/>
        <v>1037.6500000000001</v>
      </c>
      <c r="DB130" vm="8307">
        <f ca="1"/>
        <v>1040.3</v>
      </c>
      <c r="DC130" vm="8308">
        <f ca="1"/>
        <v>1041.3499999999999</v>
      </c>
      <c r="DD130" vm="8309">
        <f ca="1"/>
        <v>1026.95</v>
      </c>
      <c r="DE130" vm="8310">
        <f ca="1"/>
        <v>1013.35</v>
      </c>
      <c r="DF130" vm="8311">
        <f ca="1"/>
        <v>1020.8</v>
      </c>
      <c r="DG130" vm="8312">
        <f ca="1"/>
        <v>1039.2</v>
      </c>
      <c r="DH130" vm="8313">
        <f ca="1"/>
        <v>1009.5</v>
      </c>
      <c r="DI130" vm="8314">
        <f ca="1"/>
        <v>1015.95</v>
      </c>
      <c r="DJ130" vm="8315">
        <f ca="1"/>
        <v>998.4</v>
      </c>
      <c r="DK130" vm="8316">
        <f ca="1"/>
        <v>989.8</v>
      </c>
      <c r="DL130" vm="8317">
        <f ca="1"/>
        <v>994.35</v>
      </c>
      <c r="DM130" vm="8318">
        <f ca="1"/>
        <v>989.95</v>
      </c>
      <c r="DN130" vm="8319">
        <f ca="1"/>
        <v>985</v>
      </c>
      <c r="DO130" vm="8320">
        <f ca="1"/>
        <v>999.55</v>
      </c>
      <c r="DP130" vm="8321">
        <f ca="1"/>
        <v>1001.05</v>
      </c>
      <c r="DQ130" vm="8322">
        <f ca="1"/>
        <v>1051.0999999999999</v>
      </c>
      <c r="DR130" vm="8323">
        <f ca="1"/>
        <v>1103.6500000000001</v>
      </c>
      <c r="DS130" vm="1446">
        <f ca="1"/>
        <v>1158.8</v>
      </c>
      <c r="DT130" vm="8324">
        <f ca="1"/>
        <v>1104.75</v>
      </c>
      <c r="DU130" vm="8325">
        <f ca="1"/>
        <v>1049.55</v>
      </c>
      <c r="DV130" vm="8326">
        <f ca="1"/>
        <v>998.8</v>
      </c>
      <c r="DW130" vm="8327">
        <f ca="1"/>
        <v>999.45</v>
      </c>
      <c r="DX130" vm="233">
        <f ca="1"/>
        <v>1025.3499999999999</v>
      </c>
      <c r="DY130" vm="8328">
        <f ca="1"/>
        <v>1001.5</v>
      </c>
      <c r="DZ130" vm="8329">
        <f ca="1"/>
        <v>1000</v>
      </c>
      <c r="EA130" vm="8330">
        <f ca="1"/>
        <v>995.25</v>
      </c>
      <c r="EB130" vm="8331">
        <f ca="1"/>
        <v>999</v>
      </c>
      <c r="EC130" vm="8328">
        <f ca="1"/>
        <v>1001.5</v>
      </c>
      <c r="ED130" vm="8332">
        <f ca="1"/>
        <v>1004.6</v>
      </c>
      <c r="EE130" vm="8333">
        <f ca="1"/>
        <v>1050.2</v>
      </c>
      <c r="EF130" vm="8334">
        <f ca="1"/>
        <v>1052.8499999999999</v>
      </c>
      <c r="EG130" vm="773">
        <f ca="1"/>
        <v>1033.8499999999999</v>
      </c>
      <c r="EH130" vm="8335">
        <f ca="1"/>
        <v>1037.4000000000001</v>
      </c>
      <c r="EI130" vm="8336">
        <f ca="1"/>
        <v>1058.3499999999999</v>
      </c>
      <c r="EJ130" vm="8337">
        <f ca="1"/>
        <v>1111.25</v>
      </c>
      <c r="EK130" vm="8338">
        <f ca="1"/>
        <v>1166.8</v>
      </c>
      <c r="EL130" vm="8339">
        <f ca="1"/>
        <v>1137.0999999999999</v>
      </c>
      <c r="EM130" vm="8340">
        <f ca="1"/>
        <v>1193.95</v>
      </c>
      <c r="EN130" vm="8341">
        <f ca="1"/>
        <v>1151.3499999999999</v>
      </c>
      <c r="EO130" vm="8342">
        <f ca="1"/>
        <v>1158.05</v>
      </c>
      <c r="EP130" vm="8343">
        <f ca="1"/>
        <v>1130.8499999999999</v>
      </c>
      <c r="EQ130" vm="8344">
        <f ca="1"/>
        <v>1128.75</v>
      </c>
      <c r="ER130" vm="8345">
        <f ca="1"/>
        <v>1096.05</v>
      </c>
      <c r="ES130" vm="8346">
        <f ca="1"/>
        <v>1101.4000000000001</v>
      </c>
      <c r="ET130" vm="8347">
        <f ca="1"/>
        <v>1087.3</v>
      </c>
      <c r="EU130" vm="8348">
        <f ca="1"/>
        <v>1073.6500000000001</v>
      </c>
      <c r="EV130" vm="8349">
        <f ca="1"/>
        <v>1049.8499999999999</v>
      </c>
      <c r="EW130" vm="8350">
        <f ca="1"/>
        <v>1040.45</v>
      </c>
      <c r="EX130" vm="8351">
        <f ca="1"/>
        <v>1034.05</v>
      </c>
      <c r="EY130" vm="8310">
        <f ca="1"/>
        <v>1013.35</v>
      </c>
      <c r="EZ130" vm="8352">
        <f ca="1"/>
        <v>1005.2</v>
      </c>
      <c r="FA130" vm="8353">
        <f ca="1"/>
        <v>999.9</v>
      </c>
      <c r="FB130" vm="8354">
        <f ca="1"/>
        <v>1044.9000000000001</v>
      </c>
      <c r="FC130" vm="203">
        <f ca="1"/>
        <v>1014.8</v>
      </c>
      <c r="FD130" vm="5940">
        <f ca="1"/>
        <v>1011</v>
      </c>
      <c r="FE130" vm="8355">
        <f ca="1"/>
        <v>1011.15</v>
      </c>
      <c r="FF130" vm="8356">
        <f ca="1"/>
        <v>1001</v>
      </c>
      <c r="FG130" vm="8357">
        <f ca="1"/>
        <v>1051.05</v>
      </c>
      <c r="FH130" vm="8358">
        <f ca="1"/>
        <v>1103.5999999999999</v>
      </c>
      <c r="FI130" vm="3052">
        <f ca="1"/>
        <v>1158.75</v>
      </c>
      <c r="FJ130" vm="8359">
        <f ca="1"/>
        <v>1216.6500000000001</v>
      </c>
      <c r="FK130" vm="8360">
        <f ca="1"/>
        <v>1277.45</v>
      </c>
      <c r="FL130" vm="8361">
        <f ca="1"/>
        <v>1341.3</v>
      </c>
      <c r="FM130" vm="8362">
        <f ca="1"/>
        <v>1408.35</v>
      </c>
      <c r="FN130" vm="8363">
        <f ca="1"/>
        <v>1397.45</v>
      </c>
      <c r="FO130" vm="8364">
        <f ca="1"/>
        <v>1456</v>
      </c>
      <c r="FP130" vm="8365">
        <f ca="1"/>
        <v>1528.8</v>
      </c>
      <c r="FQ130" vm="8366">
        <f ca="1"/>
        <v>1605.2</v>
      </c>
      <c r="FR130" vm="8367">
        <f ca="1"/>
        <v>1569.15</v>
      </c>
      <c r="FS130" vm="8368">
        <f ca="1"/>
        <v>1571.1</v>
      </c>
      <c r="FT130" vm="8369">
        <f ca="1"/>
        <v>1587.8</v>
      </c>
      <c r="FU130" vm="8370">
        <f ca="1"/>
        <v>1556.35</v>
      </c>
      <c r="FV130" vm="8371">
        <f ca="1"/>
        <v>1573.95</v>
      </c>
      <c r="FW130" vm="8372">
        <f ca="1"/>
        <v>1559.1</v>
      </c>
      <c r="FX130" vm="8373">
        <f ca="1"/>
        <v>1561.4</v>
      </c>
      <c r="FY130" vm="8374">
        <f ca="1"/>
        <v>1554.35</v>
      </c>
      <c r="FZ130" vm="8375">
        <f ca="1"/>
        <v>1531.85</v>
      </c>
      <c r="GA130" vm="8376">
        <f ca="1"/>
        <v>1608.4</v>
      </c>
      <c r="GB130" vm="8377">
        <f ca="1"/>
        <v>1598.85</v>
      </c>
      <c r="GC130" vm="8378">
        <f ca="1"/>
        <v>1600.65</v>
      </c>
      <c r="GD130" vm="8379">
        <f ca="1"/>
        <v>1600.15</v>
      </c>
      <c r="GE130" vm="8380">
        <f ca="1"/>
        <v>1572.75</v>
      </c>
      <c r="GF130" vm="8381">
        <f ca="1"/>
        <v>1534.9</v>
      </c>
      <c r="GG130" vm="8382">
        <f ca="1"/>
        <v>1559.75</v>
      </c>
      <c r="GH130" vm="8383">
        <f ca="1"/>
        <v>1636.25</v>
      </c>
      <c r="GI130" vm="8384">
        <f ca="1"/>
        <v>1610.8</v>
      </c>
      <c r="GJ130" vm="8385">
        <f ca="1"/>
        <v>1691.3</v>
      </c>
      <c r="GK130" vm="8386">
        <f ca="1"/>
        <v>1651.6</v>
      </c>
      <c r="GL130" vm="8387">
        <f ca="1"/>
        <v>1704.7</v>
      </c>
      <c r="GM130" vm="8388">
        <f ca="1"/>
        <v>1789.9</v>
      </c>
      <c r="GN130" vm="8389">
        <f ca="1"/>
        <v>1736.45</v>
      </c>
      <c r="GO130" vm="1504">
        <f ca="1"/>
        <v>1777.05</v>
      </c>
      <c r="GP130" vm="8390">
        <f ca="1"/>
        <v>1817.6</v>
      </c>
      <c r="GQ130" vm="8391">
        <f ca="1"/>
        <v>1803.8</v>
      </c>
      <c r="GR130" vm="8392">
        <f ca="1"/>
        <v>1784.65</v>
      </c>
      <c r="GS130" vm="8393">
        <f ca="1"/>
        <v>1737.3</v>
      </c>
      <c r="GT130" vm="8394">
        <f ca="1"/>
        <v>1721.5</v>
      </c>
      <c r="GU130" vm="8395">
        <f ca="1"/>
        <v>1766.2</v>
      </c>
      <c r="GV130" vm="8396">
        <f ca="1"/>
        <v>1731.9</v>
      </c>
      <c r="GW130" vm="8397">
        <f ca="1"/>
        <v>1720.6</v>
      </c>
      <c r="GX130" vm="8398">
        <f ca="1"/>
        <v>1768.85</v>
      </c>
      <c r="GY130" vm="8399">
        <f ca="1"/>
        <v>1735.8</v>
      </c>
      <c r="GZ130" vm="8400">
        <f ca="1"/>
        <v>1707.1</v>
      </c>
      <c r="HA130" vm="8401">
        <f ca="1"/>
        <v>1692.4</v>
      </c>
      <c r="HB130" vm="8402">
        <f ca="1"/>
        <v>1712.5</v>
      </c>
      <c r="HC130" vm="8403">
        <f ca="1"/>
        <v>1667.85</v>
      </c>
      <c r="HD130" vm="3987">
        <f ca="1"/>
        <v>1643.6</v>
      </c>
      <c r="HE130" vm="8404">
        <f ca="1"/>
        <v>1615.7</v>
      </c>
      <c r="HF130" vm="4013">
        <f ca="1"/>
        <v>1640.5</v>
      </c>
      <c r="HG130" vm="8405">
        <f ca="1"/>
        <v>1690.2</v>
      </c>
      <c r="HH130" vm="8406">
        <f ca="1"/>
        <v>1699.15</v>
      </c>
      <c r="HI130" vm="8407">
        <f ca="1"/>
        <v>1682.5</v>
      </c>
      <c r="HJ130" vm="8408">
        <f ca="1"/>
        <v>1711.15</v>
      </c>
      <c r="HK130" vm="8409">
        <f ca="1"/>
        <v>1646.55</v>
      </c>
      <c r="HL130" vm="8410">
        <f ca="1"/>
        <v>1666.85</v>
      </c>
      <c r="HM130" vm="8411">
        <f ca="1"/>
        <v>1604.8</v>
      </c>
      <c r="HN130" vm="8412">
        <f ca="1"/>
        <v>1553.95</v>
      </c>
      <c r="HO130" vm="4134">
        <f ca="1"/>
        <v>1444.1</v>
      </c>
      <c r="HP130" vm="8413">
        <f ca="1"/>
        <v>1639.6</v>
      </c>
      <c r="HQ130" vm="8414">
        <f ca="1"/>
        <v>1705.5</v>
      </c>
      <c r="HR130" vm="8415">
        <f ca="1"/>
        <v>1745.15</v>
      </c>
      <c r="HS130" vm="8397">
        <f ca="1"/>
        <v>1720.6</v>
      </c>
      <c r="HT130" vm="8416">
        <f ca="1"/>
        <v>1717.55</v>
      </c>
      <c r="HU130" vm="8417">
        <f ca="1"/>
        <v>1753.6</v>
      </c>
      <c r="HV130" vm="8418">
        <f ca="1"/>
        <v>1940.7</v>
      </c>
      <c r="HW130" vm="8419">
        <f ca="1"/>
        <v>1966.65</v>
      </c>
      <c r="HX130" vm="8420">
        <f ca="1"/>
        <v>1957.7</v>
      </c>
      <c r="HY130" vm="8421">
        <f ca="1"/>
        <v>1960.65</v>
      </c>
      <c r="HZ130" vm="8422">
        <f ca="1"/>
        <v>1956.8</v>
      </c>
      <c r="IA130" vm="8423">
        <f ca="1"/>
        <v>1960.8</v>
      </c>
      <c r="IB130" vm="8424">
        <f ca="1"/>
        <v>2046.25</v>
      </c>
      <c r="IC130" vm="8425">
        <f ca="1"/>
        <v>2063.15</v>
      </c>
      <c r="ID130" vm="8426">
        <f ca="1"/>
        <v>2039.5</v>
      </c>
      <c r="IE130" vm="8427">
        <f ca="1"/>
        <v>2146.6999999999998</v>
      </c>
      <c r="IF130" vm="8428">
        <f ca="1"/>
        <v>2151.6999999999998</v>
      </c>
      <c r="IG130" vm="8429">
        <f ca="1"/>
        <v>2167.6</v>
      </c>
      <c r="IH130" vm="8430">
        <f ca="1"/>
        <v>2089.4</v>
      </c>
      <c r="II130" vm="8431">
        <f ca="1"/>
        <v>2052.6</v>
      </c>
      <c r="IJ130" vm="8432">
        <f ca="1"/>
        <v>2050.25</v>
      </c>
      <c r="IK130" vm="8433">
        <f ca="1"/>
        <v>2033.45</v>
      </c>
      <c r="IL130" vm="8434">
        <f ca="1"/>
        <v>2043.65</v>
      </c>
      <c r="IM130" vm="8435">
        <f ca="1"/>
        <v>2070.1999999999998</v>
      </c>
      <c r="IN130" vm="8436">
        <f ca="1"/>
        <v>2061.25</v>
      </c>
      <c r="IO130" vm="8437">
        <f ca="1"/>
        <v>2048.5</v>
      </c>
      <c r="IP130" vm="8438">
        <f ca="1"/>
        <v>2054.9499999999998</v>
      </c>
      <c r="IQ130" vm="8439">
        <f ca="1"/>
        <v>2089.9</v>
      </c>
      <c r="IR130" vm="8440">
        <f ca="1"/>
        <v>2059.6999999999998</v>
      </c>
    </row>
    <row r="131" spans="4:252" x14ac:dyDescent="0.35">
      <c r="D131" t="e" vm="38">
        <v>#VALUE!</v>
      </c>
      <c r="E131" cm="1" vm="8441">
        <f t="array" aca="1" ref="E131:IR131" ca="1">TRANSPOSE((_xlfn.STOCKHISTORY('Portfolio Tracker '!$C45,TODAY()-365,TODAY(),0,0,1)))</f>
        <v>487.15</v>
      </c>
      <c r="F131" vm="8442">
        <f ca="1"/>
        <v>489.5</v>
      </c>
      <c r="G131" vm="8443">
        <f ca="1"/>
        <v>497.75</v>
      </c>
      <c r="H131" vm="8444">
        <f ca="1"/>
        <v>500.3</v>
      </c>
      <c r="I131" vm="8445">
        <f ca="1"/>
        <v>520</v>
      </c>
      <c r="J131" vm="8446">
        <f ca="1"/>
        <v>521.70000000000005</v>
      </c>
      <c r="K131" vm="8447">
        <f ca="1"/>
        <v>539.4</v>
      </c>
      <c r="L131" vm="1956">
        <f ca="1"/>
        <v>547.25</v>
      </c>
      <c r="M131" vm="1968">
        <f ca="1"/>
        <v>534</v>
      </c>
      <c r="N131" vm="7577">
        <f ca="1"/>
        <v>546.6</v>
      </c>
      <c r="O131" vm="8448">
        <f ca="1"/>
        <v>542.9</v>
      </c>
      <c r="P131" vm="7626">
        <f ca="1"/>
        <v>532.85</v>
      </c>
      <c r="Q131" vm="7517">
        <f ca="1"/>
        <v>521.54999999999995</v>
      </c>
      <c r="R131" vm="5825">
        <f ca="1"/>
        <v>535.79999999999995</v>
      </c>
      <c r="S131" vm="8449">
        <f ca="1"/>
        <v>528.85</v>
      </c>
      <c r="T131" vm="8450">
        <f ca="1"/>
        <v>529.85</v>
      </c>
      <c r="U131" vm="8451">
        <f ca="1"/>
        <v>531.9</v>
      </c>
      <c r="V131" vm="3671">
        <f ca="1"/>
        <v>528.35</v>
      </c>
      <c r="W131" vm="8452">
        <f ca="1"/>
        <v>539.15</v>
      </c>
      <c r="X131" vm="8453">
        <f ca="1"/>
        <v>536.5</v>
      </c>
      <c r="Y131" vm="5816">
        <f ca="1"/>
        <v>533.1</v>
      </c>
      <c r="Z131" vm="8454">
        <f ca="1"/>
        <v>541.54999999999995</v>
      </c>
      <c r="AA131" vm="5819">
        <f ca="1"/>
        <v>530.20000000000005</v>
      </c>
      <c r="AB131" vm="8455">
        <f ca="1"/>
        <v>531.75</v>
      </c>
      <c r="AC131" vm="8456">
        <f ca="1"/>
        <v>529.04999999999995</v>
      </c>
      <c r="AD131" vm="5842">
        <f ca="1"/>
        <v>528.04999999999995</v>
      </c>
      <c r="AE131" vm="5806">
        <f ca="1"/>
        <v>532.95000000000005</v>
      </c>
      <c r="AF131" vm="2008">
        <f ca="1"/>
        <v>530.6</v>
      </c>
      <c r="AG131" vm="8457">
        <f ca="1"/>
        <v>535.35</v>
      </c>
      <c r="AH131" vm="8449">
        <f ca="1"/>
        <v>528.85</v>
      </c>
      <c r="AI131" vm="2057">
        <f ca="1"/>
        <v>529.65</v>
      </c>
      <c r="AJ131" vm="8458">
        <f ca="1"/>
        <v>509.85</v>
      </c>
      <c r="AK131" vm="8459">
        <f ca="1"/>
        <v>514.4</v>
      </c>
      <c r="AL131" vm="8445">
        <f ca="1"/>
        <v>520</v>
      </c>
      <c r="AM131" vm="8460">
        <f ca="1"/>
        <v>522.45000000000005</v>
      </c>
      <c r="AN131" vm="8461">
        <f ca="1"/>
        <v>515.79999999999995</v>
      </c>
      <c r="AO131" vm="8462">
        <f ca="1"/>
        <v>512.85</v>
      </c>
      <c r="AP131" vm="8463">
        <f ca="1"/>
        <v>514</v>
      </c>
      <c r="AQ131" vm="8464">
        <f ca="1"/>
        <v>506.9</v>
      </c>
      <c r="AR131" vm="8465">
        <f ca="1"/>
        <v>516.35</v>
      </c>
      <c r="AS131" vm="8466">
        <f ca="1"/>
        <v>519.85</v>
      </c>
      <c r="AT131" vm="8467">
        <f ca="1"/>
        <v>514.9</v>
      </c>
      <c r="AU131" vm="8468">
        <f ca="1"/>
        <v>515.85</v>
      </c>
      <c r="AV131" vm="8469">
        <f ca="1"/>
        <v>514.85</v>
      </c>
      <c r="AW131" vm="8470">
        <f ca="1"/>
        <v>509.9</v>
      </c>
      <c r="AX131" vm="8461">
        <f ca="1"/>
        <v>515.79999999999995</v>
      </c>
      <c r="AY131" vm="1870">
        <f ca="1"/>
        <v>523.95000000000005</v>
      </c>
      <c r="AZ131" vm="2044">
        <f ca="1"/>
        <v>535.29999999999995</v>
      </c>
      <c r="BA131" vm="8471">
        <f ca="1"/>
        <v>534.29999999999995</v>
      </c>
      <c r="BB131" vm="8472">
        <f ca="1"/>
        <v>540.15</v>
      </c>
      <c r="BC131" vm="8473">
        <f ca="1"/>
        <v>542.85</v>
      </c>
      <c r="BD131" vm="8474">
        <f ca="1"/>
        <v>542.4</v>
      </c>
      <c r="BE131" vm="1956">
        <f ca="1"/>
        <v>547.25</v>
      </c>
      <c r="BF131" vm="8475">
        <f ca="1"/>
        <v>544.4</v>
      </c>
      <c r="BG131" vm="8476">
        <f ca="1"/>
        <v>543.35</v>
      </c>
      <c r="BH131" vm="8477">
        <f ca="1"/>
        <v>553.95000000000005</v>
      </c>
      <c r="BI131" vm="8478">
        <f ca="1"/>
        <v>563.4</v>
      </c>
      <c r="BJ131" vm="1894">
        <f ca="1"/>
        <v>572.1</v>
      </c>
      <c r="BK131" vm="8479">
        <f ca="1"/>
        <v>580.79999999999995</v>
      </c>
      <c r="BL131" vm="8480">
        <f ca="1"/>
        <v>594.70000000000005</v>
      </c>
      <c r="BM131" vm="8481">
        <f ca="1"/>
        <v>597.29999999999995</v>
      </c>
      <c r="BN131" vm="8482">
        <f ca="1"/>
        <v>591.54999999999995</v>
      </c>
      <c r="BO131" vm="8483">
        <f ca="1"/>
        <v>565.1</v>
      </c>
      <c r="BP131" vm="8484">
        <f ca="1"/>
        <v>570.1</v>
      </c>
      <c r="BQ131" vm="8485">
        <f ca="1"/>
        <v>567.04999999999995</v>
      </c>
      <c r="BR131" vm="8486">
        <f ca="1"/>
        <v>554.6</v>
      </c>
      <c r="BS131" vm="7552">
        <f ca="1"/>
        <v>563.45000000000005</v>
      </c>
      <c r="BT131" vm="8487">
        <f ca="1"/>
        <v>557.75</v>
      </c>
      <c r="BU131" vm="7580">
        <f ca="1"/>
        <v>556.54999999999995</v>
      </c>
      <c r="BV131" vm="1885">
        <f ca="1"/>
        <v>556.5</v>
      </c>
      <c r="BW131" vm="8488">
        <f ca="1"/>
        <v>554.5</v>
      </c>
      <c r="BX131" vm="8489">
        <f ca="1"/>
        <v>560.35</v>
      </c>
      <c r="BY131" vm="8490">
        <f ca="1"/>
        <v>555.65</v>
      </c>
      <c r="BZ131" vm="2018">
        <f ca="1"/>
        <v>549.70000000000005</v>
      </c>
      <c r="CA131" vm="8488">
        <f ca="1"/>
        <v>554.5</v>
      </c>
      <c r="CB131" vm="7550">
        <f ca="1"/>
        <v>566.9</v>
      </c>
      <c r="CC131" vm="8491">
        <f ca="1"/>
        <v>566.85</v>
      </c>
      <c r="CD131" vm="8492">
        <f ca="1"/>
        <v>590.9</v>
      </c>
      <c r="CE131" vm="8493">
        <f ca="1"/>
        <v>611.35</v>
      </c>
      <c r="CF131" vm="8494">
        <f ca="1"/>
        <v>586.79999999999995</v>
      </c>
      <c r="CG131" vm="8495">
        <f ca="1"/>
        <v>589</v>
      </c>
      <c r="CH131" vm="8496">
        <f ca="1"/>
        <v>585.95000000000005</v>
      </c>
      <c r="CI131" vm="8497">
        <f ca="1"/>
        <v>590.35</v>
      </c>
      <c r="CJ131" vm="8498">
        <f ca="1"/>
        <v>579.95000000000005</v>
      </c>
      <c r="CK131" vm="8499">
        <f ca="1"/>
        <v>579.4</v>
      </c>
      <c r="CL131" vm="8500">
        <f ca="1"/>
        <v>595.6</v>
      </c>
      <c r="CM131" vm="8501">
        <f ca="1"/>
        <v>592.25</v>
      </c>
      <c r="CN131" vm="8502">
        <f ca="1"/>
        <v>583.25</v>
      </c>
      <c r="CO131" vm="8503">
        <f ca="1"/>
        <v>578.9</v>
      </c>
      <c r="CP131" vm="7524">
        <f ca="1"/>
        <v>575.04999999999995</v>
      </c>
      <c r="CQ131" vm="8504">
        <f ca="1"/>
        <v>583.65</v>
      </c>
      <c r="CR131" vm="7538">
        <f ca="1"/>
        <v>591.9</v>
      </c>
      <c r="CS131" vm="8505">
        <f ca="1"/>
        <v>605.29999999999995</v>
      </c>
      <c r="CT131" vm="8504">
        <f ca="1"/>
        <v>583.65</v>
      </c>
      <c r="CU131" vm="8506">
        <f ca="1"/>
        <v>571.6</v>
      </c>
      <c r="CV131" vm="8507">
        <f ca="1"/>
        <v>587</v>
      </c>
      <c r="CW131" vm="8508">
        <f ca="1"/>
        <v>599.25</v>
      </c>
      <c r="CX131" vm="8509">
        <f ca="1"/>
        <v>598.9</v>
      </c>
      <c r="CY131" vm="8510">
        <f ca="1"/>
        <v>603.20000000000005</v>
      </c>
      <c r="CZ131" vm="8511">
        <f ca="1"/>
        <v>590.95000000000005</v>
      </c>
      <c r="DA131" vm="8512">
        <f ca="1"/>
        <v>580.04999999999995</v>
      </c>
      <c r="DB131" vm="8513">
        <f ca="1"/>
        <v>569.4</v>
      </c>
      <c r="DC131" vm="8514">
        <f ca="1"/>
        <v>577.29999999999995</v>
      </c>
      <c r="DD131" vm="8515">
        <f ca="1"/>
        <v>590.4</v>
      </c>
      <c r="DE131" vm="7557">
        <f ca="1"/>
        <v>579.85</v>
      </c>
      <c r="DF131" vm="1909">
        <f ca="1"/>
        <v>583.4</v>
      </c>
      <c r="DG131" vm="8516">
        <f ca="1"/>
        <v>585.20000000000005</v>
      </c>
      <c r="DH131" vm="8517">
        <f ca="1"/>
        <v>573</v>
      </c>
      <c r="DI131" vm="8518">
        <f ca="1"/>
        <v>572.54999999999995</v>
      </c>
      <c r="DJ131" vm="8519">
        <f ca="1"/>
        <v>569.1</v>
      </c>
      <c r="DK131" vm="8520">
        <f ca="1"/>
        <v>555.1</v>
      </c>
      <c r="DL131" vm="8521">
        <f ca="1"/>
        <v>554.25</v>
      </c>
      <c r="DM131" vm="8522">
        <f ca="1"/>
        <v>559.65</v>
      </c>
      <c r="DN131" vm="8523">
        <f ca="1"/>
        <v>560.6</v>
      </c>
      <c r="DO131" vm="8524">
        <f ca="1"/>
        <v>560.1</v>
      </c>
      <c r="DP131" vm="8522">
        <f ca="1"/>
        <v>559.65</v>
      </c>
      <c r="DQ131" vm="8525">
        <f ca="1"/>
        <v>559.45000000000005</v>
      </c>
      <c r="DR131" vm="5863">
        <f ca="1"/>
        <v>558.6</v>
      </c>
      <c r="DS131" vm="8526">
        <f ca="1"/>
        <v>549.4</v>
      </c>
      <c r="DT131" vm="2003">
        <f ca="1"/>
        <v>540.5</v>
      </c>
      <c r="DU131" vm="7609">
        <f ca="1"/>
        <v>508.95</v>
      </c>
      <c r="DV131" vm="8527">
        <f ca="1"/>
        <v>512.75</v>
      </c>
      <c r="DW131" vm="8528">
        <f ca="1"/>
        <v>546.15</v>
      </c>
      <c r="DX131" vm="8529">
        <f ca="1"/>
        <v>551.20000000000005</v>
      </c>
      <c r="DY131" vm="8530">
        <f ca="1"/>
        <v>546.54999999999995</v>
      </c>
      <c r="DZ131" vm="8531">
        <f ca="1"/>
        <v>541.5</v>
      </c>
      <c r="EA131" vm="8532">
        <f ca="1"/>
        <v>542.54999999999995</v>
      </c>
      <c r="EB131" vm="8533">
        <f ca="1"/>
        <v>541.45000000000005</v>
      </c>
      <c r="EC131" vm="8534">
        <f ca="1"/>
        <v>548.45000000000005</v>
      </c>
      <c r="ED131" vm="5855">
        <f ca="1"/>
        <v>556.15</v>
      </c>
      <c r="EE131" vm="8535">
        <f ca="1"/>
        <v>563.95000000000005</v>
      </c>
      <c r="EF131" vm="8536">
        <f ca="1"/>
        <v>562.6</v>
      </c>
      <c r="EG131" vm="1916">
        <f ca="1"/>
        <v>565.29999999999995</v>
      </c>
      <c r="EH131" vm="7553">
        <f ca="1"/>
        <v>565.25</v>
      </c>
      <c r="EI131" vm="8537">
        <f ca="1"/>
        <v>571</v>
      </c>
      <c r="EJ131" vm="8538">
        <f ca="1"/>
        <v>559.95000000000005</v>
      </c>
      <c r="EK131" vm="8539">
        <f ca="1"/>
        <v>588.25</v>
      </c>
      <c r="EL131" vm="8540">
        <f ca="1"/>
        <v>579.20000000000005</v>
      </c>
      <c r="EM131" vm="7555">
        <f ca="1"/>
        <v>585.79999999999995</v>
      </c>
      <c r="EN131" vm="8541">
        <f ca="1"/>
        <v>579.25</v>
      </c>
      <c r="EO131" vm="8542">
        <f ca="1"/>
        <v>585.5</v>
      </c>
      <c r="EP131" vm="8543">
        <f ca="1"/>
        <v>578.15</v>
      </c>
      <c r="EQ131" vm="8544">
        <f ca="1"/>
        <v>575.75</v>
      </c>
      <c r="ER131" vm="8545">
        <f ca="1"/>
        <v>568.15</v>
      </c>
      <c r="ES131" vm="8546">
        <f ca="1"/>
        <v>558.25</v>
      </c>
      <c r="ET131" vm="8547">
        <f ca="1"/>
        <v>554.79999999999995</v>
      </c>
      <c r="EU131" vm="8548">
        <f ca="1"/>
        <v>558</v>
      </c>
      <c r="EV131" vm="8549">
        <f ca="1"/>
        <v>562.15</v>
      </c>
      <c r="EW131" vm="1890">
        <f ca="1"/>
        <v>562.35</v>
      </c>
      <c r="EX131" vm="8550">
        <f ca="1"/>
        <v>578.75</v>
      </c>
      <c r="EY131" vm="8551">
        <f ca="1"/>
        <v>572.35</v>
      </c>
      <c r="EZ131" vm="8552">
        <f ca="1"/>
        <v>577.25</v>
      </c>
      <c r="FA131" vm="8553">
        <f ca="1"/>
        <v>571.79999999999995</v>
      </c>
      <c r="FB131" vm="8554">
        <f ca="1"/>
        <v>570</v>
      </c>
      <c r="FC131" vm="8487">
        <f ca="1"/>
        <v>557.75</v>
      </c>
      <c r="FD131" vm="8555">
        <f ca="1"/>
        <v>555.95000000000005</v>
      </c>
      <c r="FE131" vm="8556">
        <f ca="1"/>
        <v>558.1</v>
      </c>
      <c r="FF131" vm="8557">
        <f ca="1"/>
        <v>552.79999999999995</v>
      </c>
      <c r="FG131" vm="8558">
        <f ca="1"/>
        <v>562.70000000000005</v>
      </c>
      <c r="FH131" vm="8489">
        <f ca="1"/>
        <v>560.35</v>
      </c>
      <c r="FI131" vm="8559">
        <f ca="1"/>
        <v>538</v>
      </c>
      <c r="FJ131" vm="8560">
        <f ca="1"/>
        <v>571.4</v>
      </c>
      <c r="FK131" vm="1912">
        <f ca="1"/>
        <v>577</v>
      </c>
      <c r="FL131" vm="8561">
        <f ca="1"/>
        <v>578.85</v>
      </c>
      <c r="FM131" vm="2856">
        <f ca="1"/>
        <v>614.5</v>
      </c>
      <c r="FN131" vm="8562">
        <f ca="1"/>
        <v>631.79999999999995</v>
      </c>
      <c r="FO131" vm="8563">
        <f ca="1"/>
        <v>644.5</v>
      </c>
      <c r="FP131" vm="8564">
        <f ca="1"/>
        <v>645.65</v>
      </c>
      <c r="FQ131" vm="8565">
        <f ca="1"/>
        <v>641.70000000000005</v>
      </c>
      <c r="FR131" vm="8566">
        <f ca="1"/>
        <v>638.04999999999995</v>
      </c>
      <c r="FS131" vm="8567">
        <f ca="1"/>
        <v>648.5</v>
      </c>
      <c r="FT131" vm="8568">
        <f ca="1"/>
        <v>647.1</v>
      </c>
      <c r="FU131" vm="8569">
        <f ca="1"/>
        <v>638.1</v>
      </c>
      <c r="FV131" vm="8570">
        <f ca="1"/>
        <v>637.54999999999995</v>
      </c>
      <c r="FW131" vm="8571">
        <f ca="1"/>
        <v>614.70000000000005</v>
      </c>
      <c r="FX131" vm="8572">
        <f ca="1"/>
        <v>606.70000000000005</v>
      </c>
      <c r="FY131" vm="8573">
        <f ca="1"/>
        <v>605.35</v>
      </c>
      <c r="FZ131" vm="8574">
        <f ca="1"/>
        <v>599.5</v>
      </c>
      <c r="GA131" vm="8575">
        <f ca="1"/>
        <v>589.65</v>
      </c>
      <c r="GB131" vm="8576">
        <f ca="1"/>
        <v>577.1</v>
      </c>
      <c r="GC131" vm="8577">
        <f ca="1"/>
        <v>576.95000000000005</v>
      </c>
      <c r="GD131" vm="8578">
        <f ca="1"/>
        <v>584.95000000000005</v>
      </c>
      <c r="GE131" vm="8579">
        <f ca="1"/>
        <v>587.04999999999995</v>
      </c>
      <c r="GF131" vm="8498">
        <f ca="1"/>
        <v>579.95000000000005</v>
      </c>
      <c r="GG131" vm="8580">
        <f ca="1"/>
        <v>585.70000000000005</v>
      </c>
      <c r="GH131" vm="8581">
        <f ca="1"/>
        <v>585.4</v>
      </c>
      <c r="GI131" vm="8481">
        <f ca="1"/>
        <v>597.29999999999995</v>
      </c>
      <c r="GJ131" vm="8582">
        <f ca="1"/>
        <v>596.9</v>
      </c>
      <c r="GK131" vm="8583">
        <f ca="1"/>
        <v>618.20000000000005</v>
      </c>
      <c r="GL131" vm="8584">
        <f ca="1"/>
        <v>629.25</v>
      </c>
      <c r="GM131" vm="8585">
        <f ca="1"/>
        <v>630.35</v>
      </c>
      <c r="GN131" vm="8586">
        <f ca="1"/>
        <v>639.5</v>
      </c>
      <c r="GO131" vm="8587">
        <f ca="1"/>
        <v>631.29999999999995</v>
      </c>
      <c r="GP131" vm="8588">
        <f ca="1"/>
        <v>627.4</v>
      </c>
      <c r="GQ131" vm="8589">
        <f ca="1"/>
        <v>607.54999999999995</v>
      </c>
      <c r="GR131" vm="8590">
        <f ca="1"/>
        <v>619.35</v>
      </c>
      <c r="GS131" vm="8591">
        <f ca="1"/>
        <v>593.95000000000005</v>
      </c>
      <c r="GT131" vm="1909">
        <f ca="1"/>
        <v>583.4</v>
      </c>
      <c r="GU131" vm="8592">
        <f ca="1"/>
        <v>606.29999999999995</v>
      </c>
      <c r="GV131" vm="8593">
        <f ca="1"/>
        <v>613.20000000000005</v>
      </c>
      <c r="GW131" vm="8594">
        <f ca="1"/>
        <v>613.9</v>
      </c>
      <c r="GX131" vm="8595">
        <f ca="1"/>
        <v>614.79999999999995</v>
      </c>
      <c r="GY131" vm="8596">
        <f ca="1"/>
        <v>639.85</v>
      </c>
      <c r="GZ131" vm="8597">
        <f ca="1"/>
        <v>612.29999999999995</v>
      </c>
      <c r="HA131" vm="8598">
        <f ca="1"/>
        <v>612.95000000000005</v>
      </c>
      <c r="HB131" vm="8599">
        <f ca="1"/>
        <v>649.25</v>
      </c>
      <c r="HC131" vm="8600">
        <f ca="1"/>
        <v>664.1</v>
      </c>
      <c r="HD131" vm="8601">
        <f ca="1"/>
        <v>688.1</v>
      </c>
      <c r="HE131" vm="8602">
        <f ca="1"/>
        <v>660.8</v>
      </c>
      <c r="HF131" vm="5276">
        <f ca="1"/>
        <v>689.35</v>
      </c>
      <c r="HG131" vm="8603">
        <f ca="1"/>
        <v>671.35</v>
      </c>
      <c r="HH131" vm="8604">
        <f ca="1"/>
        <v>694.2</v>
      </c>
      <c r="HI131" vm="8605">
        <f ca="1"/>
        <v>672.95</v>
      </c>
      <c r="HJ131" vm="8606">
        <f ca="1"/>
        <v>680.2</v>
      </c>
      <c r="HK131" vm="8607">
        <f ca="1"/>
        <v>681.3</v>
      </c>
      <c r="HL131" vm="8608">
        <f ca="1"/>
        <v>684.35</v>
      </c>
      <c r="HM131" vm="8609">
        <f ca="1"/>
        <v>701.35</v>
      </c>
      <c r="HN131" vm="8610">
        <f ca="1"/>
        <v>686.95</v>
      </c>
      <c r="HO131" vm="8611">
        <f ca="1"/>
        <v>642.5</v>
      </c>
      <c r="HP131" vm="8612">
        <f ca="1"/>
        <v>638.9</v>
      </c>
      <c r="HQ131" vm="8613">
        <f ca="1"/>
        <v>641.6</v>
      </c>
      <c r="HR131" vm="8614">
        <f ca="1"/>
        <v>663.05</v>
      </c>
      <c r="HS131" vm="5248">
        <f ca="1"/>
        <v>653.79999999999995</v>
      </c>
      <c r="HT131" vm="8615">
        <f ca="1"/>
        <v>637.85</v>
      </c>
      <c r="HU131" vm="8616">
        <f ca="1"/>
        <v>678.9</v>
      </c>
      <c r="HV131" vm="8617">
        <f ca="1"/>
        <v>691.45</v>
      </c>
      <c r="HW131" vm="8618">
        <f ca="1"/>
        <v>699.6</v>
      </c>
      <c r="HX131" vm="8619">
        <f ca="1"/>
        <v>681.45</v>
      </c>
      <c r="HY131" vm="8620">
        <f ca="1"/>
        <v>705.95</v>
      </c>
      <c r="HZ131" vm="8621">
        <f ca="1"/>
        <v>684.2</v>
      </c>
      <c r="IA131" vm="8622">
        <f ca="1"/>
        <v>678.2</v>
      </c>
      <c r="IB131" vm="8623">
        <f ca="1"/>
        <v>670.5</v>
      </c>
      <c r="IC131" vm="8624">
        <f ca="1"/>
        <v>663.15</v>
      </c>
      <c r="ID131" vm="8625">
        <f ca="1"/>
        <v>662.6</v>
      </c>
      <c r="IE131" vm="8626">
        <f ca="1"/>
        <v>645.79999999999995</v>
      </c>
      <c r="IF131" vm="5211">
        <f ca="1"/>
        <v>644</v>
      </c>
      <c r="IG131" vm="5258">
        <f ca="1"/>
        <v>651.70000000000005</v>
      </c>
      <c r="IH131" vm="8627">
        <f ca="1"/>
        <v>680</v>
      </c>
      <c r="II131" vm="8628">
        <f ca="1"/>
        <v>665.95</v>
      </c>
      <c r="IJ131" vm="8629">
        <f ca="1"/>
        <v>677.4</v>
      </c>
      <c r="IK131" vm="8630">
        <f ca="1"/>
        <v>677.5</v>
      </c>
      <c r="IL131" vm="8631">
        <f ca="1"/>
        <v>681.25</v>
      </c>
      <c r="IM131" vm="8632">
        <f ca="1"/>
        <v>661.2</v>
      </c>
      <c r="IN131" vm="8633">
        <f ca="1"/>
        <v>665.1</v>
      </c>
      <c r="IO131" vm="8634">
        <f ca="1"/>
        <v>666.8</v>
      </c>
      <c r="IP131" vm="8635">
        <f ca="1"/>
        <v>667.4</v>
      </c>
      <c r="IQ131" vm="8636">
        <f ca="1"/>
        <v>647.70000000000005</v>
      </c>
      <c r="IR131" vm="8637">
        <f ca="1"/>
        <v>636.85</v>
      </c>
    </row>
    <row r="132" spans="4:252" x14ac:dyDescent="0.35">
      <c r="D132" t="e" vm="39">
        <v>#VALUE!</v>
      </c>
      <c r="E132" cm="1" vm="8638">
        <f t="array" aca="1" ref="E132:IR132" ca="1">TRANSPOSE((_xlfn.STOCKHISTORY('Portfolio Tracker '!$C46,TODAY()-365,TODAY(),0,0,1)))</f>
        <v>32.35</v>
      </c>
      <c r="F132" vm="8639">
        <f ca="1"/>
        <v>32.450000000000003</v>
      </c>
      <c r="G132" vm="8640">
        <f ca="1"/>
        <v>33.15</v>
      </c>
      <c r="H132" vm="8641">
        <f ca="1"/>
        <v>32.75</v>
      </c>
      <c r="I132" vm="8642">
        <f ca="1"/>
        <v>33.1</v>
      </c>
      <c r="J132" vm="8643">
        <f ca="1"/>
        <v>32.6</v>
      </c>
      <c r="K132" vm="8644">
        <f ca="1"/>
        <v>32.25</v>
      </c>
      <c r="L132" vm="8645">
        <f ca="1"/>
        <v>32.700000000000003</v>
      </c>
      <c r="M132" vm="8641">
        <f ca="1"/>
        <v>32.75</v>
      </c>
      <c r="N132" vm="8646">
        <f ca="1"/>
        <v>28.2</v>
      </c>
      <c r="O132" vm="8647">
        <f ca="1"/>
        <v>27.55</v>
      </c>
      <c r="P132" vm="8648">
        <f ca="1"/>
        <v>27.8</v>
      </c>
      <c r="Q132" vm="8647">
        <f ca="1"/>
        <v>27.55</v>
      </c>
      <c r="R132" vm="8649">
        <f ca="1"/>
        <v>27.25</v>
      </c>
      <c r="S132" vm="8649">
        <f ca="1"/>
        <v>27.25</v>
      </c>
      <c r="T132" vm="8650">
        <f ca="1"/>
        <v>27.75</v>
      </c>
      <c r="U132" vm="8647">
        <f ca="1"/>
        <v>27.55</v>
      </c>
      <c r="V132" vm="8651">
        <f ca="1"/>
        <v>27.5</v>
      </c>
      <c r="W132" vm="8652">
        <f ca="1"/>
        <v>27</v>
      </c>
      <c r="X132" vm="8653">
        <f ca="1"/>
        <v>27.15</v>
      </c>
      <c r="Y132" vm="8652">
        <f ca="1"/>
        <v>27</v>
      </c>
      <c r="Z132" vm="8654">
        <f ca="1"/>
        <v>27.1</v>
      </c>
      <c r="AA132" vm="8649">
        <f ca="1"/>
        <v>27.25</v>
      </c>
      <c r="AB132" vm="8650">
        <f ca="1"/>
        <v>27.75</v>
      </c>
      <c r="AC132" vm="8648">
        <f ca="1"/>
        <v>27.8</v>
      </c>
      <c r="AD132" vm="8655">
        <f ca="1"/>
        <v>27.35</v>
      </c>
      <c r="AE132" vm="8656">
        <f ca="1"/>
        <v>28.6</v>
      </c>
      <c r="AF132" vm="8646">
        <f ca="1"/>
        <v>28.2</v>
      </c>
      <c r="AG132" vm="8657">
        <f ca="1"/>
        <v>28.1</v>
      </c>
      <c r="AH132" vm="8658">
        <f ca="1"/>
        <v>28.3</v>
      </c>
      <c r="AI132" vm="8659">
        <f ca="1"/>
        <v>28.25</v>
      </c>
      <c r="AJ132" vm="8660">
        <f ca="1"/>
        <v>28.15</v>
      </c>
      <c r="AK132" vm="8661">
        <f ca="1"/>
        <v>28.05</v>
      </c>
      <c r="AL132" vm="8658">
        <f ca="1"/>
        <v>28.3</v>
      </c>
      <c r="AM132" vm="8662">
        <f ca="1"/>
        <v>28.35</v>
      </c>
      <c r="AN132" vm="8663">
        <f ca="1"/>
        <v>30.15</v>
      </c>
      <c r="AO132" vm="8664">
        <f ca="1"/>
        <v>29.35</v>
      </c>
      <c r="AP132" vm="8665">
        <f ca="1"/>
        <v>28.65</v>
      </c>
      <c r="AQ132" vm="8666">
        <f ca="1"/>
        <v>28.55</v>
      </c>
      <c r="AR132" vm="8667">
        <f ca="1"/>
        <v>29.4</v>
      </c>
      <c r="AS132" vm="8668">
        <f ca="1"/>
        <v>29.05</v>
      </c>
      <c r="AT132" vm="8669">
        <f ca="1"/>
        <v>28.85</v>
      </c>
      <c r="AU132" vm="8668">
        <f ca="1"/>
        <v>29.05</v>
      </c>
      <c r="AV132" vm="8670">
        <f ca="1"/>
        <v>29.5</v>
      </c>
      <c r="AW132" vm="8668">
        <f ca="1"/>
        <v>29.05</v>
      </c>
      <c r="AX132" vm="8671">
        <f ca="1"/>
        <v>29.2</v>
      </c>
      <c r="AY132" vm="8672">
        <f ca="1"/>
        <v>29</v>
      </c>
      <c r="AZ132" vm="8673">
        <f ca="1"/>
        <v>28.9</v>
      </c>
      <c r="BA132" vm="8665">
        <f ca="1"/>
        <v>28.65</v>
      </c>
      <c r="BB132" vm="8674">
        <f ca="1"/>
        <v>28.5</v>
      </c>
      <c r="BC132" vm="8662">
        <f ca="1"/>
        <v>28.35</v>
      </c>
      <c r="BD132" vm="8659">
        <f ca="1"/>
        <v>28.25</v>
      </c>
      <c r="BE132" vm="8675">
        <f ca="1"/>
        <v>33.9</v>
      </c>
      <c r="BF132" vm="8676">
        <f ca="1"/>
        <v>35.65</v>
      </c>
      <c r="BG132" vm="8677">
        <f ca="1"/>
        <v>33.75</v>
      </c>
      <c r="BH132" vm="8678">
        <f ca="1"/>
        <v>34.049999999999997</v>
      </c>
      <c r="BI132" vm="8641">
        <f ca="1"/>
        <v>32.75</v>
      </c>
      <c r="BJ132" vm="8679">
        <f ca="1"/>
        <v>32.200000000000003</v>
      </c>
      <c r="BK132" vm="8639">
        <f ca="1"/>
        <v>32.450000000000003</v>
      </c>
      <c r="BL132" vm="8680">
        <f ca="1"/>
        <v>31.45</v>
      </c>
      <c r="BM132" vm="8681">
        <f ca="1"/>
        <v>33.950000000000003</v>
      </c>
      <c r="BN132" vm="8682">
        <f ca="1"/>
        <v>33.25</v>
      </c>
      <c r="BO132" vm="8683">
        <f ca="1"/>
        <v>32.65</v>
      </c>
      <c r="BP132" vm="8684">
        <f ca="1"/>
        <v>32.4</v>
      </c>
      <c r="BQ132" vm="8640">
        <f ca="1"/>
        <v>33.15</v>
      </c>
      <c r="BR132" vm="8638">
        <f ca="1"/>
        <v>32.35</v>
      </c>
      <c r="BS132" vm="8685">
        <f ca="1"/>
        <v>32.549999999999997</v>
      </c>
      <c r="BT132" vm="8686">
        <f ca="1"/>
        <v>33.799999999999997</v>
      </c>
      <c r="BU132" vm="8687">
        <f ca="1"/>
        <v>33.4</v>
      </c>
      <c r="BV132" vm="8683">
        <f ca="1"/>
        <v>32.65</v>
      </c>
      <c r="BW132" vm="8688">
        <f ca="1"/>
        <v>32.9</v>
      </c>
      <c r="BX132" vm="8689">
        <f ca="1"/>
        <v>32.799999999999997</v>
      </c>
      <c r="BY132" vm="8690">
        <f ca="1"/>
        <v>33.65</v>
      </c>
      <c r="BZ132" vm="8685">
        <f ca="1"/>
        <v>32.549999999999997</v>
      </c>
      <c r="CA132" vm="8691">
        <f ca="1"/>
        <v>33.299999999999997</v>
      </c>
      <c r="CB132" vm="8691">
        <f ca="1"/>
        <v>33.299999999999997</v>
      </c>
      <c r="CC132" vm="8644">
        <f ca="1"/>
        <v>32.25</v>
      </c>
      <c r="CD132" vm="8679">
        <f ca="1"/>
        <v>32.200000000000003</v>
      </c>
      <c r="CE132" vm="8684">
        <f ca="1"/>
        <v>32.4</v>
      </c>
      <c r="CF132" vm="8641">
        <f ca="1"/>
        <v>32.75</v>
      </c>
      <c r="CG132" vm="8692">
        <f ca="1"/>
        <v>35.4</v>
      </c>
      <c r="CH132" vm="8693">
        <f ca="1"/>
        <v>34.299999999999997</v>
      </c>
      <c r="CI132" vm="8694">
        <f ca="1"/>
        <v>34.15</v>
      </c>
      <c r="CJ132" vm="8695">
        <f ca="1"/>
        <v>35.6</v>
      </c>
      <c r="CK132" vm="8696">
        <f ca="1"/>
        <v>35.950000000000003</v>
      </c>
      <c r="CL132" vm="8697">
        <f ca="1"/>
        <v>36.15</v>
      </c>
      <c r="CM132" vm="8698">
        <f ca="1"/>
        <v>35.75</v>
      </c>
      <c r="CN132" vm="8699">
        <f ca="1"/>
        <v>36.4</v>
      </c>
      <c r="CO132" vm="8700">
        <f ca="1"/>
        <v>36.9</v>
      </c>
      <c r="CP132" vm="8701">
        <f ca="1"/>
        <v>37.15</v>
      </c>
      <c r="CQ132" vm="8700">
        <f ca="1"/>
        <v>36.9</v>
      </c>
      <c r="CR132" vm="8702">
        <f ca="1"/>
        <v>35.85</v>
      </c>
      <c r="CS132" vm="8703">
        <f ca="1"/>
        <v>37.299999999999997</v>
      </c>
      <c r="CT132" vm="8704">
        <f ca="1"/>
        <v>33.85</v>
      </c>
      <c r="CU132" vm="8705">
        <f ca="1"/>
        <v>34.65</v>
      </c>
      <c r="CV132" vm="8706">
        <f ca="1"/>
        <v>34</v>
      </c>
      <c r="CW132" vm="8707">
        <f ca="1"/>
        <v>33.450000000000003</v>
      </c>
      <c r="CX132" vm="8708">
        <f ca="1"/>
        <v>33.049999999999997</v>
      </c>
      <c r="CY132" vm="8640">
        <f ca="1"/>
        <v>33.15</v>
      </c>
      <c r="CZ132" vm="8709">
        <f ca="1"/>
        <v>33</v>
      </c>
      <c r="DA132" vm="8708">
        <f ca="1"/>
        <v>33.049999999999997</v>
      </c>
      <c r="DB132" vm="8685">
        <f ca="1"/>
        <v>32.549999999999997</v>
      </c>
      <c r="DC132" vm="8639">
        <f ca="1"/>
        <v>32.450000000000003</v>
      </c>
      <c r="DD132" vm="8710">
        <f ca="1"/>
        <v>32.85</v>
      </c>
      <c r="DE132" vm="8711">
        <f ca="1"/>
        <v>32.299999999999997</v>
      </c>
      <c r="DF132" vm="8685">
        <f ca="1"/>
        <v>32.549999999999997</v>
      </c>
      <c r="DG132" vm="8712">
        <f ca="1"/>
        <v>32</v>
      </c>
      <c r="DH132" vm="8713">
        <f ca="1"/>
        <v>31.8</v>
      </c>
      <c r="DI132" vm="8714">
        <f ca="1"/>
        <v>32.049999999999997</v>
      </c>
      <c r="DJ132" vm="8715">
        <f ca="1"/>
        <v>31.75</v>
      </c>
      <c r="DK132" vm="8716">
        <f ca="1"/>
        <v>30.35</v>
      </c>
      <c r="DL132" vm="8717">
        <f ca="1"/>
        <v>30.85</v>
      </c>
      <c r="DM132" vm="8718">
        <f ca="1"/>
        <v>31</v>
      </c>
      <c r="DN132" vm="8718">
        <f ca="1"/>
        <v>31</v>
      </c>
      <c r="DO132" vm="8719">
        <f ca="1"/>
        <v>31.15</v>
      </c>
      <c r="DP132" vm="8720">
        <f ca="1"/>
        <v>31.3</v>
      </c>
      <c r="DQ132" vm="8687">
        <f ca="1"/>
        <v>33.4</v>
      </c>
      <c r="DR132" vm="8683">
        <f ca="1"/>
        <v>32.65</v>
      </c>
      <c r="DS132" vm="8721">
        <f ca="1"/>
        <v>33.5</v>
      </c>
      <c r="DT132" vm="8679">
        <f ca="1"/>
        <v>32.200000000000003</v>
      </c>
      <c r="DU132" vm="8722">
        <f ca="1"/>
        <v>29.55</v>
      </c>
      <c r="DV132" vm="8667">
        <f ca="1"/>
        <v>29.4</v>
      </c>
      <c r="DW132" vm="8723">
        <f ca="1"/>
        <v>29.15</v>
      </c>
      <c r="DX132" vm="8663">
        <f ca="1"/>
        <v>30.15</v>
      </c>
      <c r="DY132" vm="8724">
        <f ca="1"/>
        <v>29.9</v>
      </c>
      <c r="DZ132" vm="8725">
        <f ca="1"/>
        <v>29.85</v>
      </c>
      <c r="EA132" vm="8726">
        <f ca="1"/>
        <v>30.55</v>
      </c>
      <c r="EB132" vm="8727">
        <f ca="1"/>
        <v>30.5</v>
      </c>
      <c r="EC132" vm="8728">
        <f ca="1"/>
        <v>31.5</v>
      </c>
      <c r="ED132" vm="8644">
        <f ca="1"/>
        <v>32.25</v>
      </c>
      <c r="EE132" vm="8713">
        <f ca="1"/>
        <v>31.8</v>
      </c>
      <c r="EF132" vm="8719">
        <f ca="1"/>
        <v>31.15</v>
      </c>
      <c r="EG132" vm="8720">
        <f ca="1"/>
        <v>31.3</v>
      </c>
      <c r="EH132" vm="8729">
        <f ca="1"/>
        <v>30.9</v>
      </c>
      <c r="EI132" vm="8719">
        <f ca="1"/>
        <v>31.15</v>
      </c>
      <c r="EJ132" vm="8730">
        <f ca="1"/>
        <v>30.65</v>
      </c>
      <c r="EK132" vm="8717">
        <f ca="1"/>
        <v>30.85</v>
      </c>
      <c r="EL132" vm="8680">
        <f ca="1"/>
        <v>31.45</v>
      </c>
      <c r="EM132" vm="8641">
        <f ca="1"/>
        <v>32.75</v>
      </c>
      <c r="EN132" vm="8712">
        <f ca="1"/>
        <v>32</v>
      </c>
      <c r="EO132" vm="8731">
        <f ca="1"/>
        <v>31.55</v>
      </c>
      <c r="EP132" vm="8719">
        <f ca="1"/>
        <v>31.15</v>
      </c>
      <c r="EQ132" vm="8732">
        <f ca="1"/>
        <v>32.5</v>
      </c>
      <c r="ER132" vm="8733">
        <f ca="1"/>
        <v>31.7</v>
      </c>
      <c r="ES132" vm="8734">
        <f ca="1"/>
        <v>31.85</v>
      </c>
      <c r="ET132" vm="8733">
        <f ca="1"/>
        <v>31.7</v>
      </c>
      <c r="EU132" vm="8680">
        <f ca="1"/>
        <v>31.45</v>
      </c>
      <c r="EV132" vm="8735">
        <f ca="1"/>
        <v>31.2</v>
      </c>
      <c r="EW132" vm="8732">
        <f ca="1"/>
        <v>32.5</v>
      </c>
      <c r="EX132" vm="8688">
        <f ca="1"/>
        <v>32.9</v>
      </c>
      <c r="EY132" vm="8736">
        <f ca="1"/>
        <v>34.1</v>
      </c>
      <c r="EZ132" vm="8737">
        <f ca="1"/>
        <v>34.200000000000003</v>
      </c>
      <c r="FA132" vm="8687">
        <f ca="1"/>
        <v>33.4</v>
      </c>
      <c r="FB132" vm="8690">
        <f ca="1"/>
        <v>33.65</v>
      </c>
      <c r="FC132" vm="8738">
        <f ca="1"/>
        <v>35.700000000000003</v>
      </c>
      <c r="FD132" vm="8739">
        <f ca="1"/>
        <v>36.75</v>
      </c>
      <c r="FE132" vm="8676">
        <f ca="1"/>
        <v>35.65</v>
      </c>
      <c r="FF132" vm="8740">
        <f ca="1"/>
        <v>34.9</v>
      </c>
      <c r="FG132" vm="8741">
        <f ca="1"/>
        <v>37.9</v>
      </c>
      <c r="FH132" vm="8742">
        <f ca="1"/>
        <v>36.85</v>
      </c>
      <c r="FI132" vm="8690">
        <f ca="1"/>
        <v>33.65</v>
      </c>
      <c r="FJ132" vm="8743">
        <f ca="1"/>
        <v>34.75</v>
      </c>
      <c r="FK132" vm="8744">
        <f ca="1"/>
        <v>35.5</v>
      </c>
      <c r="FL132" vm="8745">
        <f ca="1"/>
        <v>36.700000000000003</v>
      </c>
      <c r="FM132" vm="8746">
        <f ca="1"/>
        <v>35.35</v>
      </c>
      <c r="FN132" vm="8747">
        <f ca="1"/>
        <v>34.450000000000003</v>
      </c>
      <c r="FO132" vm="8681">
        <f ca="1"/>
        <v>33.950000000000003</v>
      </c>
      <c r="FP132" vm="8705">
        <f ca="1"/>
        <v>34.65</v>
      </c>
      <c r="FQ132" vm="8694">
        <f ca="1"/>
        <v>34.15</v>
      </c>
      <c r="FR132" vm="8681">
        <f ca="1"/>
        <v>33.950000000000003</v>
      </c>
      <c r="FS132" vm="8678">
        <f ca="1"/>
        <v>34.049999999999997</v>
      </c>
      <c r="FT132" vm="8748">
        <f ca="1"/>
        <v>39.049999999999997</v>
      </c>
      <c r="FU132" vm="8749">
        <f ca="1"/>
        <v>41.4</v>
      </c>
      <c r="FV132" vm="8750">
        <f ca="1"/>
        <v>41.25</v>
      </c>
      <c r="FW132" vm="8751">
        <f ca="1"/>
        <v>42.1</v>
      </c>
      <c r="FX132" vm="8752">
        <f ca="1"/>
        <v>41.2</v>
      </c>
      <c r="FY132" vm="8753">
        <f ca="1"/>
        <v>39.799999999999997</v>
      </c>
      <c r="FZ132" vm="8753">
        <f ca="1"/>
        <v>39.799999999999997</v>
      </c>
      <c r="GA132" vm="8754">
        <f ca="1"/>
        <v>37.549999999999997</v>
      </c>
      <c r="GB132" vm="8742">
        <f ca="1"/>
        <v>36.85</v>
      </c>
      <c r="GC132" vm="8755">
        <f ca="1"/>
        <v>37.049999999999997</v>
      </c>
      <c r="GD132" vm="8756">
        <f ca="1"/>
        <v>36.25</v>
      </c>
      <c r="GE132" vm="8757">
        <f ca="1"/>
        <v>37.950000000000003</v>
      </c>
      <c r="GF132" vm="8758">
        <f ca="1"/>
        <v>35</v>
      </c>
      <c r="GG132" vm="8759">
        <f ca="1"/>
        <v>35.25</v>
      </c>
      <c r="GH132" vm="8760">
        <f ca="1"/>
        <v>36.950000000000003</v>
      </c>
      <c r="GI132" vm="8761">
        <f ca="1"/>
        <v>37</v>
      </c>
      <c r="GJ132" vm="8699">
        <f ca="1"/>
        <v>36.4</v>
      </c>
      <c r="GK132" vm="8754">
        <f ca="1"/>
        <v>37.549999999999997</v>
      </c>
      <c r="GL132" vm="8749">
        <f ca="1"/>
        <v>41.4</v>
      </c>
      <c r="GM132" vm="8762">
        <f ca="1"/>
        <v>41.85</v>
      </c>
      <c r="GN132" vm="8763">
        <f ca="1"/>
        <v>41.45</v>
      </c>
      <c r="GO132" vm="8764">
        <f ca="1"/>
        <v>44.8</v>
      </c>
      <c r="GP132" vm="8750">
        <f ca="1"/>
        <v>41.25</v>
      </c>
      <c r="GQ132" vm="8765">
        <f ca="1"/>
        <v>41.6</v>
      </c>
      <c r="GR132" vm="8766">
        <f ca="1"/>
        <v>40.450000000000003</v>
      </c>
      <c r="GS132" vm="8703">
        <f ca="1"/>
        <v>37.299999999999997</v>
      </c>
      <c r="GT132" vm="8767">
        <f ca="1"/>
        <v>37.85</v>
      </c>
      <c r="GU132" vm="8768">
        <f ca="1"/>
        <v>38.9</v>
      </c>
      <c r="GV132" vm="8769">
        <f ca="1"/>
        <v>38.85</v>
      </c>
      <c r="GW132" vm="8770">
        <f ca="1"/>
        <v>40.15</v>
      </c>
      <c r="GX132" vm="8771">
        <f ca="1"/>
        <v>39.700000000000003</v>
      </c>
      <c r="GY132" vm="8772">
        <f ca="1"/>
        <v>40.200000000000003</v>
      </c>
      <c r="GZ132" vm="8773">
        <f ca="1"/>
        <v>38.700000000000003</v>
      </c>
      <c r="HA132" vm="8774">
        <f ca="1"/>
        <v>39.299999999999997</v>
      </c>
      <c r="HB132" vm="8773">
        <f ca="1"/>
        <v>38.700000000000003</v>
      </c>
      <c r="HC132" vm="8775">
        <f ca="1"/>
        <v>37.799999999999997</v>
      </c>
      <c r="HD132" vm="8701">
        <f ca="1"/>
        <v>37.15</v>
      </c>
      <c r="HE132" vm="8746">
        <f ca="1"/>
        <v>35.35</v>
      </c>
      <c r="HF132" vm="8697">
        <f ca="1"/>
        <v>36.15</v>
      </c>
      <c r="HG132" vm="8776">
        <f ca="1"/>
        <v>35.799999999999997</v>
      </c>
      <c r="HH132" vm="8777">
        <f ca="1"/>
        <v>36.299999999999997</v>
      </c>
      <c r="HI132" vm="8695">
        <f ca="1"/>
        <v>35.6</v>
      </c>
      <c r="HJ132" vm="8755">
        <f ca="1"/>
        <v>37.049999999999997</v>
      </c>
      <c r="HK132" vm="8756">
        <f ca="1"/>
        <v>36.25</v>
      </c>
      <c r="HL132" vm="8778">
        <f ca="1"/>
        <v>36.65</v>
      </c>
      <c r="HM132" vm="8779">
        <f ca="1"/>
        <v>35.049999999999997</v>
      </c>
      <c r="HN132" vm="8708">
        <f ca="1"/>
        <v>33.049999999999997</v>
      </c>
      <c r="HO132" vm="8722">
        <f ca="1"/>
        <v>29.55</v>
      </c>
      <c r="HP132" vm="8734">
        <f ca="1"/>
        <v>31.85</v>
      </c>
      <c r="HQ132" vm="8735">
        <f ca="1"/>
        <v>31.2</v>
      </c>
      <c r="HR132" vm="8780">
        <f ca="1"/>
        <v>30.95</v>
      </c>
      <c r="HS132" vm="8781">
        <f ca="1"/>
        <v>29.75</v>
      </c>
      <c r="HT132" vm="8782">
        <f ca="1"/>
        <v>30.3</v>
      </c>
      <c r="HU132" vm="8783">
        <f ca="1"/>
        <v>30.6</v>
      </c>
      <c r="HV132" vm="8784">
        <f ca="1"/>
        <v>30.8</v>
      </c>
      <c r="HW132" vm="8725">
        <f ca="1"/>
        <v>29.85</v>
      </c>
      <c r="HX132" vm="8785">
        <f ca="1"/>
        <v>29.3</v>
      </c>
      <c r="HY132" vm="8786">
        <f ca="1"/>
        <v>30.05</v>
      </c>
      <c r="HZ132" vm="8731">
        <f ca="1"/>
        <v>31.55</v>
      </c>
      <c r="IA132" vm="8641">
        <f ca="1"/>
        <v>32.75</v>
      </c>
      <c r="IB132" vm="8787">
        <f ca="1"/>
        <v>32.950000000000003</v>
      </c>
      <c r="IC132" vm="8788">
        <f ca="1"/>
        <v>33.35</v>
      </c>
      <c r="ID132" vm="8691">
        <f ca="1"/>
        <v>33.299999999999997</v>
      </c>
      <c r="IE132" vm="8638">
        <f ca="1"/>
        <v>32.35</v>
      </c>
      <c r="IF132" vm="8789">
        <f ca="1"/>
        <v>31.95</v>
      </c>
      <c r="IG132" vm="8679">
        <f ca="1"/>
        <v>32.200000000000003</v>
      </c>
      <c r="IH132" vm="8729">
        <f ca="1"/>
        <v>30.9</v>
      </c>
      <c r="II132" vm="8790">
        <f ca="1"/>
        <v>30</v>
      </c>
      <c r="IJ132" vm="8786">
        <f ca="1"/>
        <v>30.05</v>
      </c>
      <c r="IK132" vm="8791">
        <f ca="1"/>
        <v>29.8</v>
      </c>
      <c r="IL132" vm="8792">
        <f ca="1"/>
        <v>29.95</v>
      </c>
      <c r="IM132" vm="8793">
        <f ca="1"/>
        <v>30.1</v>
      </c>
      <c r="IN132" vm="8728">
        <f ca="1"/>
        <v>31.5</v>
      </c>
      <c r="IO132" vm="8789">
        <f ca="1"/>
        <v>31.95</v>
      </c>
      <c r="IP132" vm="8794">
        <f ca="1"/>
        <v>32.1</v>
      </c>
      <c r="IQ132" vm="8720">
        <f ca="1"/>
        <v>31.3</v>
      </c>
      <c r="IR132" vm="8735">
        <f ca="1"/>
        <v>31.2</v>
      </c>
    </row>
    <row r="133" spans="4:252" x14ac:dyDescent="0.35">
      <c r="D133" t="e" vm="40">
        <v>#VALUE!</v>
      </c>
      <c r="E133" cm="1" vm="8795">
        <f t="array" aca="1" ref="E133:IR133" ca="1">TRANSPOSE((_xlfn.STOCKHISTORY('Portfolio Tracker '!$C47,TODAY()-365,TODAY(),0,0,1)))</f>
        <v>684.5</v>
      </c>
      <c r="F133" vm="8796">
        <f ca="1"/>
        <v>677.9</v>
      </c>
      <c r="G133" vm="8797">
        <f ca="1"/>
        <v>678.4</v>
      </c>
      <c r="H133" vm="8798">
        <f ca="1"/>
        <v>673.5</v>
      </c>
      <c r="I133" vm="8799">
        <f ca="1"/>
        <v>678.45</v>
      </c>
      <c r="J133" vm="8800">
        <f ca="1"/>
        <v>681.5</v>
      </c>
      <c r="K133" vm="8801">
        <f ca="1"/>
        <v>676.05</v>
      </c>
      <c r="L133" vm="8802">
        <f ca="1"/>
        <v>672.6</v>
      </c>
      <c r="M133" vm="8803">
        <f ca="1"/>
        <v>666.85</v>
      </c>
      <c r="N133" vm="8804">
        <f ca="1"/>
        <v>673.8</v>
      </c>
      <c r="O133" vm="8805">
        <f ca="1"/>
        <v>669.3</v>
      </c>
      <c r="P133" vm="8806">
        <f ca="1"/>
        <v>748.3</v>
      </c>
      <c r="Q133" vm="8807">
        <f ca="1"/>
        <v>733.4</v>
      </c>
      <c r="R133" vm="8808">
        <f ca="1"/>
        <v>738.15</v>
      </c>
      <c r="S133" vm="2866">
        <f ca="1"/>
        <v>721.8</v>
      </c>
      <c r="T133" vm="5288">
        <f ca="1"/>
        <v>719.8</v>
      </c>
      <c r="U133" vm="8809">
        <f ca="1"/>
        <v>738.55</v>
      </c>
      <c r="V133" vm="8810">
        <f ca="1"/>
        <v>728.45</v>
      </c>
      <c r="W133" vm="8811">
        <f ca="1"/>
        <v>728.85</v>
      </c>
      <c r="X133" vm="8812">
        <f ca="1"/>
        <v>727.95</v>
      </c>
      <c r="Y133" vm="8813">
        <f ca="1"/>
        <v>763.4</v>
      </c>
      <c r="Z133" vm="8814">
        <f ca="1"/>
        <v>788.4</v>
      </c>
      <c r="AA133" vm="8815">
        <f ca="1"/>
        <v>777.9</v>
      </c>
      <c r="AB133" vm="8816">
        <f ca="1"/>
        <v>774.9</v>
      </c>
      <c r="AC133" vm="8817">
        <f ca="1"/>
        <v>782.2</v>
      </c>
      <c r="AD133" vm="8818">
        <f ca="1"/>
        <v>805.4</v>
      </c>
      <c r="AE133" vm="8819">
        <f ca="1"/>
        <v>838.8</v>
      </c>
      <c r="AF133" vm="3028">
        <f ca="1"/>
        <v>839.1</v>
      </c>
      <c r="AG133" vm="8820">
        <f ca="1"/>
        <v>836.55</v>
      </c>
      <c r="AH133" vm="8007">
        <f ca="1"/>
        <v>826.85</v>
      </c>
      <c r="AI133" vm="8821">
        <f ca="1"/>
        <v>963.45</v>
      </c>
      <c r="AJ133" vm="8822">
        <f ca="1"/>
        <v>999.05</v>
      </c>
      <c r="AK133" vm="8823">
        <f ca="1"/>
        <v>1008</v>
      </c>
      <c r="AL133" vm="8824">
        <f ca="1"/>
        <v>991.15</v>
      </c>
      <c r="AM133" vm="8825">
        <f ca="1"/>
        <v>1029.25</v>
      </c>
      <c r="AN133" vm="8826">
        <f ca="1"/>
        <v>1049.3</v>
      </c>
      <c r="AO133" vm="8827">
        <f ca="1"/>
        <v>1052.2</v>
      </c>
      <c r="AP133" vm="8828">
        <f ca="1"/>
        <v>1018</v>
      </c>
      <c r="AQ133" vm="8829">
        <f ca="1"/>
        <v>1000.6</v>
      </c>
      <c r="AR133" vm="8830">
        <f ca="1"/>
        <v>1006.75</v>
      </c>
      <c r="AS133" vm="8831">
        <f ca="1"/>
        <v>1001.85</v>
      </c>
      <c r="AT133" vm="8832">
        <f ca="1"/>
        <v>1029.4000000000001</v>
      </c>
      <c r="AU133" vm="8833">
        <f ca="1"/>
        <v>1022.85</v>
      </c>
      <c r="AV133" vm="8834">
        <f ca="1"/>
        <v>1019.05</v>
      </c>
      <c r="AW133" vm="236">
        <f ca="1"/>
        <v>1027.8</v>
      </c>
      <c r="AX133" vm="8835">
        <f ca="1"/>
        <v>1040.55</v>
      </c>
      <c r="AY133" vm="8836">
        <f ca="1"/>
        <v>1054.0999999999999</v>
      </c>
      <c r="AZ133" vm="8837">
        <f ca="1"/>
        <v>1024.8</v>
      </c>
      <c r="BA133" vm="8838">
        <f ca="1"/>
        <v>1009.05</v>
      </c>
      <c r="BB133" vm="233">
        <f ca="1"/>
        <v>1025.3499999999999</v>
      </c>
      <c r="BC133" vm="8309">
        <f ca="1"/>
        <v>1026.95</v>
      </c>
      <c r="BD133" vm="8839">
        <f ca="1"/>
        <v>1074.0999999999999</v>
      </c>
      <c r="BE133" vm="8840">
        <f ca="1"/>
        <v>1116.6500000000001</v>
      </c>
      <c r="BF133" vm="8841">
        <f ca="1"/>
        <v>1111.3499999999999</v>
      </c>
      <c r="BG133" vm="8842">
        <f ca="1"/>
        <v>1106.7</v>
      </c>
      <c r="BH133" vm="785">
        <f ca="1"/>
        <v>1115.2</v>
      </c>
      <c r="BI133" vm="1414">
        <f ca="1"/>
        <v>1117.25</v>
      </c>
      <c r="BJ133" vm="8843">
        <f ca="1"/>
        <v>1266.0999999999999</v>
      </c>
      <c r="BK133" vm="8844">
        <f ca="1"/>
        <v>1274.55</v>
      </c>
      <c r="BL133" vm="8845">
        <f ca="1"/>
        <v>1250.5</v>
      </c>
      <c r="BM133" vm="8846">
        <f ca="1"/>
        <v>1239.4000000000001</v>
      </c>
      <c r="BN133" vm="8847">
        <f ca="1"/>
        <v>1214.5999999999999</v>
      </c>
      <c r="BO133" vm="8848">
        <f ca="1"/>
        <v>1221.5</v>
      </c>
      <c r="BP133" vm="793">
        <f ca="1"/>
        <v>1197.6500000000001</v>
      </c>
      <c r="BQ133" vm="8849">
        <f ca="1"/>
        <v>1193.0999999999999</v>
      </c>
      <c r="BR133" vm="8850">
        <f ca="1"/>
        <v>1159.4000000000001</v>
      </c>
      <c r="BS133" vm="8851">
        <f ca="1"/>
        <v>1174.3499999999999</v>
      </c>
      <c r="BT133" vm="8852">
        <f ca="1"/>
        <v>1161.1500000000001</v>
      </c>
      <c r="BU133" vm="8853">
        <f ca="1"/>
        <v>1130.5999999999999</v>
      </c>
      <c r="BV133" vm="8854">
        <f ca="1"/>
        <v>1172.95</v>
      </c>
      <c r="BW133" vm="8855">
        <f ca="1"/>
        <v>1187.6500000000001</v>
      </c>
      <c r="BX133" vm="8856">
        <f ca="1"/>
        <v>1163.75</v>
      </c>
      <c r="BY133" vm="8857">
        <f ca="1"/>
        <v>1112.45</v>
      </c>
      <c r="BZ133" vm="8858">
        <f ca="1"/>
        <v>1099.4000000000001</v>
      </c>
      <c r="CA133" vm="8859">
        <f ca="1"/>
        <v>1135.6500000000001</v>
      </c>
      <c r="CB133" vm="8860">
        <f ca="1"/>
        <v>1097.3</v>
      </c>
      <c r="CC133" vm="8861">
        <f ca="1"/>
        <v>1098.25</v>
      </c>
      <c r="CD133" vm="8862">
        <f ca="1"/>
        <v>1034.95</v>
      </c>
      <c r="CE133" vm="8863">
        <f ca="1"/>
        <v>1033.75</v>
      </c>
      <c r="CF133" vm="8864">
        <f ca="1"/>
        <v>1032.3499999999999</v>
      </c>
      <c r="CG133" vm="8865">
        <f ca="1"/>
        <v>990.6</v>
      </c>
      <c r="CH133" vm="8866">
        <f ca="1"/>
        <v>997.25</v>
      </c>
      <c r="CI133" vm="8867">
        <f ca="1"/>
        <v>964</v>
      </c>
      <c r="CJ133" vm="8868">
        <f ca="1"/>
        <v>984.9</v>
      </c>
      <c r="CK133" vm="8869">
        <f ca="1"/>
        <v>969.3</v>
      </c>
      <c r="CL133" vm="8870">
        <f ca="1"/>
        <v>975.75</v>
      </c>
      <c r="CM133" vm="8871">
        <f ca="1"/>
        <v>967.25</v>
      </c>
      <c r="CN133" vm="8872">
        <f ca="1"/>
        <v>959.65</v>
      </c>
      <c r="CO133" vm="8873">
        <f ca="1"/>
        <v>1020.55</v>
      </c>
      <c r="CP133" vm="8874">
        <f ca="1"/>
        <v>1032.4000000000001</v>
      </c>
      <c r="CQ133" vm="8875">
        <f ca="1"/>
        <v>1057</v>
      </c>
      <c r="CR133" vm="8876">
        <f ca="1"/>
        <v>1040.3499999999999</v>
      </c>
      <c r="CS133" vm="8877">
        <f ca="1"/>
        <v>1026.75</v>
      </c>
      <c r="CT133" vm="1392">
        <f ca="1"/>
        <v>987.45</v>
      </c>
      <c r="CU133" vm="8878">
        <f ca="1"/>
        <v>998.5</v>
      </c>
      <c r="CV133" vm="8879">
        <f ca="1"/>
        <v>1022.15</v>
      </c>
      <c r="CW133" vm="8880">
        <f ca="1"/>
        <v>1063.0999999999999</v>
      </c>
      <c r="CX133" vm="8881">
        <f ca="1"/>
        <v>1041.5999999999999</v>
      </c>
      <c r="CY133" vm="8882">
        <f ca="1"/>
        <v>1030.2</v>
      </c>
      <c r="CZ133" vm="8883">
        <f ca="1"/>
        <v>1032.5999999999999</v>
      </c>
      <c r="DA133" vm="8884">
        <f ca="1"/>
        <v>1031.3</v>
      </c>
      <c r="DB133" vm="8885">
        <f ca="1"/>
        <v>1027.3499999999999</v>
      </c>
      <c r="DC133" vm="8886">
        <f ca="1"/>
        <v>1043.25</v>
      </c>
      <c r="DD133" vm="1409">
        <f ca="1"/>
        <v>1040</v>
      </c>
      <c r="DE133" vm="8887">
        <f ca="1"/>
        <v>1055.3</v>
      </c>
      <c r="DF133" vm="8888">
        <f ca="1"/>
        <v>1037.5999999999999</v>
      </c>
      <c r="DG133" vm="8889">
        <f ca="1"/>
        <v>1046.5999999999999</v>
      </c>
      <c r="DH133" vm="8890">
        <f ca="1"/>
        <v>1030.45</v>
      </c>
      <c r="DI133" vm="8891">
        <f ca="1"/>
        <v>1036.8</v>
      </c>
      <c r="DJ133" vm="8892">
        <f ca="1"/>
        <v>1021.3</v>
      </c>
      <c r="DK133" vm="8893">
        <f ca="1"/>
        <v>1021.4</v>
      </c>
      <c r="DL133" vm="8894">
        <f ca="1"/>
        <v>1030.95</v>
      </c>
      <c r="DM133" vm="8895">
        <f ca="1"/>
        <v>1104.0999999999999</v>
      </c>
      <c r="DN133" vm="8896">
        <f ca="1"/>
        <v>1113.0999999999999</v>
      </c>
      <c r="DO133" vm="8897">
        <f ca="1"/>
        <v>1087.75</v>
      </c>
      <c r="DP133" vm="8898">
        <f ca="1"/>
        <v>1067.7</v>
      </c>
      <c r="DQ133" vm="8899">
        <f ca="1"/>
        <v>1066.8499999999999</v>
      </c>
      <c r="DR133" vm="8900">
        <f ca="1"/>
        <v>1023.7</v>
      </c>
      <c r="DS133" vm="8901">
        <f ca="1"/>
        <v>1024.25</v>
      </c>
      <c r="DT133" vm="8902">
        <f ca="1"/>
        <v>1065.3</v>
      </c>
      <c r="DU133" vm="206">
        <f ca="1"/>
        <v>1010.45</v>
      </c>
      <c r="DV133" vm="5353">
        <f ca="1"/>
        <v>951.2</v>
      </c>
      <c r="DW133" vm="8903">
        <f ca="1"/>
        <v>965.45</v>
      </c>
      <c r="DX133" vm="8904">
        <f ca="1"/>
        <v>979.55</v>
      </c>
      <c r="DY133" vm="8905">
        <f ca="1"/>
        <v>961.85</v>
      </c>
      <c r="DZ133" vm="8906">
        <f ca="1"/>
        <v>952.5</v>
      </c>
      <c r="EA133" vm="8907">
        <f ca="1"/>
        <v>942.7</v>
      </c>
      <c r="EB133" vm="8908">
        <f ca="1"/>
        <v>942.45</v>
      </c>
      <c r="EC133" vm="8909">
        <f ca="1"/>
        <v>935.75</v>
      </c>
      <c r="ED133" vm="8910">
        <f ca="1"/>
        <v>934.65</v>
      </c>
      <c r="EE133" vm="8911">
        <f ca="1"/>
        <v>949.35</v>
      </c>
      <c r="EF133" vm="8912">
        <f ca="1"/>
        <v>957.35</v>
      </c>
      <c r="EG133" vm="8913">
        <f ca="1"/>
        <v>960.55</v>
      </c>
      <c r="EH133" vm="8914">
        <f ca="1"/>
        <v>946.4</v>
      </c>
      <c r="EI133" vm="8915">
        <f ca="1"/>
        <v>950.95</v>
      </c>
      <c r="EJ133" vm="2962">
        <f ca="1"/>
        <v>930.4</v>
      </c>
      <c r="EK133" vm="8916">
        <f ca="1"/>
        <v>931.45</v>
      </c>
      <c r="EL133" vm="8917">
        <f ca="1"/>
        <v>929.75</v>
      </c>
      <c r="EM133" vm="8918">
        <f ca="1"/>
        <v>920.55</v>
      </c>
      <c r="EN133" vm="8919">
        <f ca="1"/>
        <v>906.9</v>
      </c>
      <c r="EO133" vm="7865">
        <f ca="1"/>
        <v>924.5</v>
      </c>
      <c r="EP133" vm="8920">
        <f ca="1"/>
        <v>921.25</v>
      </c>
      <c r="EQ133" vm="8921">
        <f ca="1"/>
        <v>920.8</v>
      </c>
      <c r="ER133" vm="8922">
        <f ca="1"/>
        <v>916.8</v>
      </c>
      <c r="ES133" vm="8923">
        <f ca="1"/>
        <v>914.85</v>
      </c>
      <c r="ET133" vm="8924">
        <f ca="1"/>
        <v>914.55</v>
      </c>
      <c r="EU133" vm="8925">
        <f ca="1"/>
        <v>916.5</v>
      </c>
      <c r="EV133" vm="8923">
        <f ca="1"/>
        <v>914.85</v>
      </c>
      <c r="EW133" vm="3338">
        <f ca="1"/>
        <v>919.65</v>
      </c>
      <c r="EX133" vm="8926">
        <f ca="1"/>
        <v>919.45</v>
      </c>
      <c r="EY133" vm="7907">
        <f ca="1"/>
        <v>927</v>
      </c>
      <c r="EZ133" vm="5357">
        <f ca="1"/>
        <v>927.25</v>
      </c>
      <c r="FA133" vm="8927">
        <f ca="1"/>
        <v>918.5</v>
      </c>
      <c r="FB133" vm="8928">
        <f ca="1"/>
        <v>915.4</v>
      </c>
      <c r="FC133" vm="8929">
        <f ca="1"/>
        <v>925.1</v>
      </c>
      <c r="FD133" vm="750">
        <f ca="1"/>
        <v>1090.9000000000001</v>
      </c>
      <c r="FE133" vm="8930">
        <f ca="1"/>
        <v>1073</v>
      </c>
      <c r="FF133" vm="8931">
        <f ca="1"/>
        <v>1095.55</v>
      </c>
      <c r="FG133" vm="8932">
        <f ca="1"/>
        <v>1093.05</v>
      </c>
      <c r="FH133" vm="8933">
        <f ca="1"/>
        <v>1085.9000000000001</v>
      </c>
      <c r="FI133" vm="8934">
        <f ca="1"/>
        <v>1051.55</v>
      </c>
      <c r="FJ133" vm="8935">
        <f ca="1"/>
        <v>1081.5999999999999</v>
      </c>
      <c r="FK133" vm="8936">
        <f ca="1"/>
        <v>1088.45</v>
      </c>
      <c r="FL133" vm="8937">
        <f ca="1"/>
        <v>1084.25</v>
      </c>
      <c r="FM133" vm="8938">
        <f ca="1"/>
        <v>1111.75</v>
      </c>
      <c r="FN133" vm="8939">
        <f ca="1"/>
        <v>1096.5</v>
      </c>
      <c r="FO133" vm="8940">
        <f ca="1"/>
        <v>1094.6500000000001</v>
      </c>
      <c r="FP133" vm="746">
        <f ca="1"/>
        <v>1100.3499999999999</v>
      </c>
      <c r="FQ133" vm="8941">
        <f ca="1"/>
        <v>1108.6500000000001</v>
      </c>
      <c r="FR133" vm="8942">
        <f ca="1"/>
        <v>1086.45</v>
      </c>
      <c r="FS133" vm="8943">
        <f ca="1"/>
        <v>1085.45</v>
      </c>
      <c r="FT133" vm="8944">
        <f ca="1"/>
        <v>1104.2</v>
      </c>
      <c r="FU133" vm="8945">
        <f ca="1"/>
        <v>1081.8499999999999</v>
      </c>
      <c r="FV133" vm="8946">
        <f ca="1"/>
        <v>1086.4000000000001</v>
      </c>
      <c r="FW133" vm="8947">
        <f ca="1"/>
        <v>1196.75</v>
      </c>
      <c r="FX133" vm="8855">
        <f ca="1"/>
        <v>1187.6500000000001</v>
      </c>
      <c r="FY133" vm="8948">
        <f ca="1"/>
        <v>1186.95</v>
      </c>
      <c r="FZ133" vm="8949">
        <f ca="1"/>
        <v>1192.5999999999999</v>
      </c>
      <c r="GA133" vm="8950">
        <f ca="1"/>
        <v>1207.8</v>
      </c>
      <c r="GB133" vm="8951">
        <f ca="1"/>
        <v>1185.95</v>
      </c>
      <c r="GC133" vm="3788">
        <f ca="1"/>
        <v>1153.95</v>
      </c>
      <c r="GD133" vm="8952">
        <f ca="1"/>
        <v>1176.75</v>
      </c>
      <c r="GE133" vm="6002">
        <f ca="1"/>
        <v>1178.3</v>
      </c>
      <c r="GF133" vm="8953">
        <f ca="1"/>
        <v>1133.25</v>
      </c>
      <c r="GG133" vm="1398">
        <f ca="1"/>
        <v>1049.45</v>
      </c>
      <c r="GH133" vm="8954">
        <f ca="1"/>
        <v>1037.5</v>
      </c>
      <c r="GI133" vm="8955">
        <f ca="1"/>
        <v>999.3</v>
      </c>
      <c r="GJ133" vm="8956">
        <f ca="1"/>
        <v>1000.3</v>
      </c>
      <c r="GK133" vm="8882">
        <f ca="1"/>
        <v>1030.2</v>
      </c>
      <c r="GL133" vm="218">
        <f ca="1"/>
        <v>1016.45</v>
      </c>
      <c r="GM133" vm="8957">
        <f ca="1"/>
        <v>1007.7</v>
      </c>
      <c r="GN133" vm="8958">
        <f ca="1"/>
        <v>989.65</v>
      </c>
      <c r="GO133" vm="8959">
        <f ca="1"/>
        <v>985.05</v>
      </c>
      <c r="GP133" vm="8960">
        <f ca="1"/>
        <v>994.75</v>
      </c>
      <c r="GQ133" vm="8961">
        <f ca="1"/>
        <v>989.45</v>
      </c>
      <c r="GR133" vm="8962">
        <f ca="1"/>
        <v>985.5</v>
      </c>
      <c r="GS133" vm="8963">
        <f ca="1"/>
        <v>953.2</v>
      </c>
      <c r="GT133" vm="8964">
        <f ca="1"/>
        <v>978.45</v>
      </c>
      <c r="GU133" vm="8965">
        <f ca="1"/>
        <v>970.8</v>
      </c>
      <c r="GV133" vm="8966">
        <f ca="1"/>
        <v>1003.95</v>
      </c>
      <c r="GW133" vm="8967">
        <f ca="1"/>
        <v>995.05</v>
      </c>
      <c r="GX133" vm="8968">
        <f ca="1"/>
        <v>996.4</v>
      </c>
      <c r="GY133" vm="8969">
        <f ca="1"/>
        <v>1003.65</v>
      </c>
      <c r="GZ133" vm="8970">
        <f ca="1"/>
        <v>991.45</v>
      </c>
      <c r="HA133" vm="197">
        <f ca="1"/>
        <v>998.15</v>
      </c>
      <c r="HB133" vm="8971">
        <f ca="1"/>
        <v>997.85</v>
      </c>
      <c r="HC133" vm="1381">
        <f ca="1"/>
        <v>988.55</v>
      </c>
      <c r="HD133" vm="8971">
        <f ca="1"/>
        <v>997.85</v>
      </c>
      <c r="HE133" vm="8972">
        <f ca="1"/>
        <v>1007.1</v>
      </c>
      <c r="HF133" vm="8973">
        <f ca="1"/>
        <v>979.6</v>
      </c>
      <c r="HG133" vm="8974">
        <f ca="1"/>
        <v>974.7</v>
      </c>
      <c r="HH133" vm="3243">
        <f ca="1"/>
        <v>979.9</v>
      </c>
      <c r="HI133" vm="8975">
        <f ca="1"/>
        <v>967.75</v>
      </c>
      <c r="HJ133" vm="8976">
        <f ca="1"/>
        <v>964.45</v>
      </c>
      <c r="HK133" vm="8977">
        <f ca="1"/>
        <v>947.45</v>
      </c>
      <c r="HL133" vm="8978">
        <f ca="1"/>
        <v>955.1</v>
      </c>
      <c r="HM133" vm="8979">
        <f ca="1"/>
        <v>928.4</v>
      </c>
      <c r="HN133" vm="3273">
        <f ca="1"/>
        <v>895.95</v>
      </c>
      <c r="HO133" vm="8980">
        <f ca="1"/>
        <v>804.5</v>
      </c>
      <c r="HP133" vm="8981">
        <f ca="1"/>
        <v>872.8</v>
      </c>
      <c r="HQ133" vm="3352">
        <f ca="1"/>
        <v>855.95</v>
      </c>
      <c r="HR133" vm="8982">
        <f ca="1"/>
        <v>845.3</v>
      </c>
      <c r="HS133" vm="8983">
        <f ca="1"/>
        <v>823.95</v>
      </c>
      <c r="HT133" vm="8984">
        <f ca="1"/>
        <v>814</v>
      </c>
      <c r="HU133" vm="3438">
        <f ca="1"/>
        <v>838.4</v>
      </c>
      <c r="HV133" vm="8985">
        <f ca="1"/>
        <v>850.1</v>
      </c>
      <c r="HW133" vm="8986">
        <f ca="1"/>
        <v>825.2</v>
      </c>
      <c r="HX133" vm="8987">
        <f ca="1"/>
        <v>814.1</v>
      </c>
      <c r="HY133" vm="8988">
        <f ca="1"/>
        <v>819.7</v>
      </c>
      <c r="HZ133" vm="3432">
        <f ca="1"/>
        <v>841.95</v>
      </c>
      <c r="IA133" vm="8989">
        <f ca="1"/>
        <v>933.8</v>
      </c>
      <c r="IB133" vm="8990">
        <f ca="1"/>
        <v>928.65</v>
      </c>
      <c r="IC133" vm="8991">
        <f ca="1"/>
        <v>927.95</v>
      </c>
      <c r="ID133" vm="5931">
        <f ca="1"/>
        <v>927.2</v>
      </c>
      <c r="IE133" vm="8992">
        <f ca="1"/>
        <v>918.15</v>
      </c>
      <c r="IF133" vm="7879">
        <f ca="1"/>
        <v>917.45</v>
      </c>
      <c r="IG133" vm="8993">
        <f ca="1"/>
        <v>985.9</v>
      </c>
      <c r="IH133" vm="8994">
        <f ca="1"/>
        <v>985.45</v>
      </c>
      <c r="II133" vm="8995">
        <f ca="1"/>
        <v>937</v>
      </c>
      <c r="IJ133" vm="8996">
        <f ca="1"/>
        <v>941.15</v>
      </c>
      <c r="IK133" vm="8997">
        <f ca="1"/>
        <v>931.95</v>
      </c>
      <c r="IL133" vm="8998">
        <f ca="1"/>
        <v>932.5</v>
      </c>
      <c r="IM133" vm="8999">
        <f ca="1"/>
        <v>921.95</v>
      </c>
      <c r="IN133" vm="9000">
        <f ca="1"/>
        <v>927.75</v>
      </c>
      <c r="IO133" vm="8319">
        <f ca="1"/>
        <v>985</v>
      </c>
      <c r="IP133" vm="9001">
        <f ca="1"/>
        <v>967.15</v>
      </c>
      <c r="IQ133" vm="5356">
        <f ca="1"/>
        <v>934.7</v>
      </c>
      <c r="IR133" vm="9002">
        <f ca="1"/>
        <v>915.8</v>
      </c>
    </row>
    <row r="134" spans="4:252" x14ac:dyDescent="0.35">
      <c r="D134" t="e" vm="41">
        <v>#VALUE!</v>
      </c>
      <c r="E134" cm="1" vm="3043">
        <f t="array" aca="1" ref="E134:IR134" ca="1">TRANSPOSE((_xlfn.STOCKHISTORY('Portfolio Tracker '!$C48,TODAY()-365,TODAY(),0,0,1)))</f>
        <v>972</v>
      </c>
      <c r="F134" vm="9003">
        <f ca="1"/>
        <v>993.1</v>
      </c>
      <c r="G134" vm="9004">
        <f ca="1"/>
        <v>982.25</v>
      </c>
      <c r="H134" vm="9005">
        <f ca="1"/>
        <v>959.5</v>
      </c>
      <c r="I134" vm="9006">
        <f ca="1"/>
        <v>969.95</v>
      </c>
      <c r="J134" vm="9007">
        <f ca="1"/>
        <v>965.85</v>
      </c>
      <c r="K134" vm="9008">
        <f ca="1"/>
        <v>974.5</v>
      </c>
      <c r="L134" vm="9009">
        <f ca="1"/>
        <v>988.6</v>
      </c>
      <c r="M134" vm="9010">
        <f ca="1"/>
        <v>985.2</v>
      </c>
      <c r="N134" vm="1378">
        <f ca="1"/>
        <v>990.1</v>
      </c>
      <c r="O134" vm="9011">
        <f ca="1"/>
        <v>976.8</v>
      </c>
      <c r="P134" vm="9012">
        <f ca="1"/>
        <v>982.1</v>
      </c>
      <c r="Q134" vm="9013">
        <f ca="1"/>
        <v>984.65</v>
      </c>
      <c r="R134" vm="9014">
        <f ca="1"/>
        <v>984.15</v>
      </c>
      <c r="S134" vm="9015">
        <f ca="1"/>
        <v>987.2</v>
      </c>
      <c r="T134" vm="9016">
        <f ca="1"/>
        <v>981.9</v>
      </c>
      <c r="U134" vm="9017">
        <f ca="1"/>
        <v>987.1</v>
      </c>
      <c r="V134" vm="9018">
        <f ca="1"/>
        <v>956.7</v>
      </c>
      <c r="W134" vm="9019">
        <f ca="1"/>
        <v>970.25</v>
      </c>
      <c r="X134" vm="9020">
        <f ca="1"/>
        <v>971.85</v>
      </c>
      <c r="Y134" vm="9021">
        <f ca="1"/>
        <v>969.1</v>
      </c>
      <c r="Z134" vm="5361">
        <f ca="1"/>
        <v>970.6</v>
      </c>
      <c r="AA134" vm="9022">
        <f ca="1"/>
        <v>968.95</v>
      </c>
      <c r="AB134" vm="9023">
        <f ca="1"/>
        <v>969.8</v>
      </c>
      <c r="AC134" vm="9024">
        <f ca="1"/>
        <v>995.55</v>
      </c>
      <c r="AD134" vm="5939">
        <f ca="1"/>
        <v>993.75</v>
      </c>
      <c r="AE134" vm="8960">
        <f ca="1"/>
        <v>994.75</v>
      </c>
      <c r="AF134" vm="673">
        <f ca="1"/>
        <v>1003.25</v>
      </c>
      <c r="AG134" vm="9025">
        <f ca="1"/>
        <v>985.95</v>
      </c>
      <c r="AH134" vm="9026">
        <f ca="1"/>
        <v>987.75</v>
      </c>
      <c r="AI134" vm="227">
        <f ca="1"/>
        <v>1000.05</v>
      </c>
      <c r="AJ134" vm="9027">
        <f ca="1"/>
        <v>977.95</v>
      </c>
      <c r="AK134" vm="9028">
        <f ca="1"/>
        <v>958.5</v>
      </c>
      <c r="AL134" vm="9029">
        <f ca="1"/>
        <v>970.95</v>
      </c>
      <c r="AM134" vm="8964">
        <f ca="1"/>
        <v>978.45</v>
      </c>
      <c r="AN134" vm="9030">
        <f ca="1"/>
        <v>983.5</v>
      </c>
      <c r="AO134" vm="9031">
        <f ca="1"/>
        <v>997.2</v>
      </c>
      <c r="AP134" vm="9032">
        <f ca="1"/>
        <v>1004.55</v>
      </c>
      <c r="AQ134" vm="9033">
        <f ca="1"/>
        <v>980.05</v>
      </c>
      <c r="AR134" vm="1385">
        <f ca="1"/>
        <v>993.95</v>
      </c>
      <c r="AS134" vm="9034">
        <f ca="1"/>
        <v>1006.25</v>
      </c>
      <c r="AT134" vm="9035">
        <f ca="1"/>
        <v>996.25</v>
      </c>
      <c r="AU134" vm="9036">
        <f ca="1"/>
        <v>1001.4</v>
      </c>
      <c r="AV134" vm="9037">
        <f ca="1"/>
        <v>1008.05</v>
      </c>
      <c r="AW134" vm="9038">
        <f ca="1"/>
        <v>1006.85</v>
      </c>
      <c r="AX134" vm="9039">
        <f ca="1"/>
        <v>1007.35</v>
      </c>
      <c r="AY134" vm="9040">
        <f ca="1"/>
        <v>1012.8</v>
      </c>
      <c r="AZ134" vm="9041">
        <f ca="1"/>
        <v>1002.2</v>
      </c>
      <c r="BA134" vm="9042">
        <f ca="1"/>
        <v>996.3</v>
      </c>
      <c r="BB134" vm="9043">
        <f ca="1"/>
        <v>992.25</v>
      </c>
      <c r="BC134" vm="9044">
        <f ca="1"/>
        <v>983.45</v>
      </c>
      <c r="BD134" vm="9045">
        <f ca="1"/>
        <v>977</v>
      </c>
      <c r="BE134" vm="9030">
        <f ca="1"/>
        <v>983.5</v>
      </c>
      <c r="BF134" vm="9046">
        <f ca="1"/>
        <v>993.65</v>
      </c>
      <c r="BG134" vm="8971">
        <f ca="1"/>
        <v>997.85</v>
      </c>
      <c r="BH134" vm="9047">
        <f ca="1"/>
        <v>997.75</v>
      </c>
      <c r="BI134" vm="9048">
        <f ca="1"/>
        <v>994.45</v>
      </c>
      <c r="BJ134" vm="3296">
        <f ca="1"/>
        <v>987.65</v>
      </c>
      <c r="BK134" vm="9049">
        <f ca="1"/>
        <v>990.5</v>
      </c>
      <c r="BL134" vm="9050">
        <f ca="1"/>
        <v>977.1</v>
      </c>
      <c r="BM134" vm="9051">
        <f ca="1"/>
        <v>998.2</v>
      </c>
      <c r="BN134" vm="9046">
        <f ca="1"/>
        <v>993.65</v>
      </c>
      <c r="BO134" vm="8357">
        <f ca="1"/>
        <v>1051.05</v>
      </c>
      <c r="BP134" vm="9052">
        <f ca="1"/>
        <v>1059.3499999999999</v>
      </c>
      <c r="BQ134" vm="9053">
        <f ca="1"/>
        <v>1072.9000000000001</v>
      </c>
      <c r="BR134" vm="9054">
        <f ca="1"/>
        <v>1041.4000000000001</v>
      </c>
      <c r="BS134" vm="9055">
        <f ca="1"/>
        <v>1039.5</v>
      </c>
      <c r="BT134" vm="9056">
        <f ca="1"/>
        <v>1047.45</v>
      </c>
      <c r="BU134" vm="8312">
        <f ca="1"/>
        <v>1039.2</v>
      </c>
      <c r="BV134" vm="9057">
        <f ca="1"/>
        <v>1010.35</v>
      </c>
      <c r="BW134" vm="9058">
        <f ca="1"/>
        <v>1010.2</v>
      </c>
      <c r="BX134" vm="9037">
        <f ca="1"/>
        <v>1008.05</v>
      </c>
      <c r="BY134" vm="9059">
        <f ca="1"/>
        <v>1005.7</v>
      </c>
      <c r="BZ134" vm="9060">
        <f ca="1"/>
        <v>1001.65</v>
      </c>
      <c r="CA134" vm="9061">
        <f ca="1"/>
        <v>990.7</v>
      </c>
      <c r="CB134" vm="9062">
        <f ca="1"/>
        <v>991.4</v>
      </c>
      <c r="CC134" vm="8878">
        <f ca="1"/>
        <v>998.5</v>
      </c>
      <c r="CD134" vm="8321">
        <f ca="1"/>
        <v>1001.05</v>
      </c>
      <c r="CE134" vm="9063">
        <f ca="1"/>
        <v>1004</v>
      </c>
      <c r="CF134" vm="9064">
        <f ca="1"/>
        <v>1004.65</v>
      </c>
      <c r="CG134" vm="9065">
        <f ca="1"/>
        <v>1015.65</v>
      </c>
      <c r="CH134" vm="9066">
        <f ca="1"/>
        <v>1011.25</v>
      </c>
      <c r="CI134" vm="9067">
        <f ca="1"/>
        <v>1035.75</v>
      </c>
      <c r="CJ134" vm="9068">
        <f ca="1"/>
        <v>1066.9000000000001</v>
      </c>
      <c r="CK134" vm="9069">
        <f ca="1"/>
        <v>1059.7</v>
      </c>
      <c r="CL134" vm="9070">
        <f ca="1"/>
        <v>1061.45</v>
      </c>
      <c r="CM134" vm="9071">
        <f ca="1"/>
        <v>1071.1500000000001</v>
      </c>
      <c r="CN134" vm="9072">
        <f ca="1"/>
        <v>1089.75</v>
      </c>
      <c r="CO134" vm="9073">
        <f ca="1"/>
        <v>1103.75</v>
      </c>
      <c r="CP134" vm="9074">
        <f ca="1"/>
        <v>1090.0999999999999</v>
      </c>
      <c r="CQ134" vm="9075">
        <f ca="1"/>
        <v>1086.1500000000001</v>
      </c>
      <c r="CR134" vm="9076">
        <f ca="1"/>
        <v>1085.3</v>
      </c>
      <c r="CS134" vm="8933">
        <f ca="1"/>
        <v>1085.9000000000001</v>
      </c>
      <c r="CT134" vm="9077">
        <f ca="1"/>
        <v>1046.0999999999999</v>
      </c>
      <c r="CU134" vm="9078">
        <f ca="1"/>
        <v>1052.9000000000001</v>
      </c>
      <c r="CV134" vm="3725">
        <f ca="1"/>
        <v>1074.55</v>
      </c>
      <c r="CW134" vm="9079">
        <f ca="1"/>
        <v>1070.45</v>
      </c>
      <c r="CX134" vm="9080">
        <f ca="1"/>
        <v>1057.9000000000001</v>
      </c>
      <c r="CY134" vm="1403">
        <f ca="1"/>
        <v>1047.8</v>
      </c>
      <c r="CZ134" vm="9081">
        <f ca="1"/>
        <v>1034.8</v>
      </c>
      <c r="DA134" vm="777">
        <f ca="1"/>
        <v>1035.8</v>
      </c>
      <c r="DB134" vm="9082">
        <f ca="1"/>
        <v>1045.3</v>
      </c>
      <c r="DC134" vm="9083">
        <f ca="1"/>
        <v>1036.95</v>
      </c>
      <c r="DD134" vm="9084">
        <f ca="1"/>
        <v>1043.5</v>
      </c>
      <c r="DE134" vm="2990">
        <f ca="1"/>
        <v>1016.15</v>
      </c>
      <c r="DF134" vm="9085">
        <f ca="1"/>
        <v>1031.2</v>
      </c>
      <c r="DG134" vm="9086">
        <f ca="1"/>
        <v>1025.0999999999999</v>
      </c>
      <c r="DH134" vm="9066">
        <f ca="1"/>
        <v>1011.25</v>
      </c>
      <c r="DI134" vm="9087">
        <f ca="1"/>
        <v>1009.3</v>
      </c>
      <c r="DJ134" vm="9088">
        <f ca="1"/>
        <v>1012.75</v>
      </c>
      <c r="DK134" vm="9089">
        <f ca="1"/>
        <v>1004.35</v>
      </c>
      <c r="DL134" vm="9090">
        <f ca="1"/>
        <v>1016.8</v>
      </c>
      <c r="DM134" vm="9091">
        <f ca="1"/>
        <v>1036.0999999999999</v>
      </c>
      <c r="DN134" vm="9092">
        <f ca="1"/>
        <v>1038.8499999999999</v>
      </c>
      <c r="DO134" vm="9093">
        <f ca="1"/>
        <v>1035.0999999999999</v>
      </c>
      <c r="DP134" vm="9094">
        <f ca="1"/>
        <v>1040.8499999999999</v>
      </c>
      <c r="DQ134" vm="9082">
        <f ca="1"/>
        <v>1045.3</v>
      </c>
      <c r="DR134" vm="9095">
        <f ca="1"/>
        <v>1044.25</v>
      </c>
      <c r="DS134" vm="9096">
        <f ca="1"/>
        <v>1031.25</v>
      </c>
      <c r="DT134" vm="9097">
        <f ca="1"/>
        <v>1011.7</v>
      </c>
      <c r="DU134" vm="3294">
        <f ca="1"/>
        <v>978.5</v>
      </c>
      <c r="DV134" vm="9098">
        <f ca="1"/>
        <v>963.6</v>
      </c>
      <c r="DW134" vm="9099">
        <f ca="1"/>
        <v>940.7</v>
      </c>
      <c r="DX134" vm="9100">
        <f ca="1"/>
        <v>955.75</v>
      </c>
      <c r="DY134" vm="9101">
        <f ca="1"/>
        <v>950.5</v>
      </c>
      <c r="DZ134" vm="9102">
        <f ca="1"/>
        <v>959.2</v>
      </c>
      <c r="EA134" vm="9103">
        <f ca="1"/>
        <v>950.35</v>
      </c>
      <c r="EB134" vm="9104">
        <f ca="1"/>
        <v>959.05</v>
      </c>
      <c r="EC134" vm="9105">
        <f ca="1"/>
        <v>958.6</v>
      </c>
      <c r="ED134" vm="9106">
        <f ca="1"/>
        <v>973.35</v>
      </c>
      <c r="EE134" vm="9107">
        <f ca="1"/>
        <v>963.7</v>
      </c>
      <c r="EF134" vm="9108">
        <f ca="1"/>
        <v>958.45</v>
      </c>
      <c r="EG134" vm="9109">
        <f ca="1"/>
        <v>959.1</v>
      </c>
      <c r="EH134" vm="9110">
        <f ca="1"/>
        <v>963.95</v>
      </c>
      <c r="EI134" vm="9111">
        <f ca="1"/>
        <v>965</v>
      </c>
      <c r="EJ134" vm="74">
        <f ca="1"/>
        <v>946.65</v>
      </c>
      <c r="EK134" vm="9112">
        <f ca="1"/>
        <v>949.55</v>
      </c>
      <c r="EL134" vm="9113">
        <f ca="1"/>
        <v>954.2</v>
      </c>
      <c r="EM134" vm="9114">
        <f ca="1"/>
        <v>963.4</v>
      </c>
      <c r="EN134" vm="3340">
        <f ca="1"/>
        <v>955.7</v>
      </c>
      <c r="EO134" vm="9115">
        <f ca="1"/>
        <v>961.3</v>
      </c>
      <c r="EP134" vm="9116">
        <f ca="1"/>
        <v>960.45</v>
      </c>
      <c r="EQ134" vm="9117">
        <f ca="1"/>
        <v>965.65</v>
      </c>
      <c r="ER134" vm="9118">
        <f ca="1"/>
        <v>960.6</v>
      </c>
      <c r="ES134" vm="9119">
        <f ca="1"/>
        <v>968.55</v>
      </c>
      <c r="ET134" vm="9120">
        <f ca="1"/>
        <v>972.55</v>
      </c>
      <c r="EU134" vm="9121">
        <f ca="1"/>
        <v>970.45</v>
      </c>
      <c r="EV134" vm="9006">
        <f ca="1"/>
        <v>969.95</v>
      </c>
      <c r="EW134" vm="9122">
        <f ca="1"/>
        <v>973.05</v>
      </c>
      <c r="EX134" vm="9123">
        <f ca="1"/>
        <v>983.2</v>
      </c>
      <c r="EY134" vm="9124">
        <f ca="1"/>
        <v>1011.9</v>
      </c>
      <c r="EZ134" vm="9125">
        <f ca="1"/>
        <v>1018.25</v>
      </c>
      <c r="FA134" vm="9126">
        <f ca="1"/>
        <v>996.85</v>
      </c>
      <c r="FB134" vm="9127">
        <f ca="1"/>
        <v>1018.05</v>
      </c>
      <c r="FC134" vm="9128">
        <f ca="1"/>
        <v>1005.75</v>
      </c>
      <c r="FD134" vm="8830">
        <f ca="1"/>
        <v>1006.75</v>
      </c>
      <c r="FE134" vm="9129">
        <f ca="1"/>
        <v>1008.4</v>
      </c>
      <c r="FF134" vm="9130">
        <f ca="1"/>
        <v>1030</v>
      </c>
      <c r="FG134" vm="9131">
        <f ca="1"/>
        <v>1034.2</v>
      </c>
      <c r="FH134" vm="9132">
        <f ca="1"/>
        <v>1033.25</v>
      </c>
      <c r="FI134" vm="9009">
        <f ca="1"/>
        <v>988.6</v>
      </c>
      <c r="FJ134" vm="9133">
        <f ca="1"/>
        <v>1009.65</v>
      </c>
      <c r="FK134" vm="9134">
        <f ca="1"/>
        <v>1022.05</v>
      </c>
      <c r="FL134" vm="9135">
        <f ca="1"/>
        <v>1094.25</v>
      </c>
      <c r="FM134" vm="9136">
        <f ca="1"/>
        <v>1089.8499999999999</v>
      </c>
      <c r="FN134" vm="6014">
        <f ca="1"/>
        <v>1086.5999999999999</v>
      </c>
      <c r="FO134" vm="8895">
        <f ca="1"/>
        <v>1104.0999999999999</v>
      </c>
      <c r="FP134" vm="8263">
        <f ca="1"/>
        <v>1117.8499999999999</v>
      </c>
      <c r="FQ134" vm="9137">
        <f ca="1"/>
        <v>1122.3499999999999</v>
      </c>
      <c r="FR134" vm="9138">
        <f ca="1"/>
        <v>1112.6500000000001</v>
      </c>
      <c r="FS134" vm="9139">
        <f ca="1"/>
        <v>1131.55</v>
      </c>
      <c r="FT134" vm="9140">
        <f ca="1"/>
        <v>1104.7</v>
      </c>
      <c r="FU134" vm="9141">
        <f ca="1"/>
        <v>1099.05</v>
      </c>
      <c r="FV134" vm="9142">
        <f ca="1"/>
        <v>1104.1500000000001</v>
      </c>
      <c r="FW134" vm="9143">
        <f ca="1"/>
        <v>1097.3499999999999</v>
      </c>
      <c r="FX134" vm="9144">
        <f ca="1"/>
        <v>1104.8499999999999</v>
      </c>
      <c r="FY134" vm="9145">
        <f ca="1"/>
        <v>1112.2</v>
      </c>
      <c r="FZ134" vm="9145">
        <f ca="1"/>
        <v>1112.2</v>
      </c>
      <c r="GA134" vm="3218">
        <f ca="1"/>
        <v>1102.45</v>
      </c>
      <c r="GB134" vm="6521">
        <f ca="1"/>
        <v>1083.6500000000001</v>
      </c>
      <c r="GC134" vm="9146">
        <f ca="1"/>
        <v>1066.25</v>
      </c>
      <c r="GD134" vm="9147">
        <f ca="1"/>
        <v>1075.25</v>
      </c>
      <c r="GE134" vm="9148">
        <f ca="1"/>
        <v>1051.95</v>
      </c>
      <c r="GF134" vm="8966">
        <f ca="1"/>
        <v>1003.95</v>
      </c>
      <c r="GG134" vm="9149">
        <f ca="1"/>
        <v>1017.85</v>
      </c>
      <c r="GH134" vm="9150">
        <f ca="1"/>
        <v>1005.65</v>
      </c>
      <c r="GI134" vm="9151">
        <f ca="1"/>
        <v>1013.15</v>
      </c>
      <c r="GJ134" vm="9128">
        <f ca="1"/>
        <v>1005.75</v>
      </c>
      <c r="GK134" vm="9152">
        <f ca="1"/>
        <v>1028.05</v>
      </c>
      <c r="GL134" vm="9153">
        <f ca="1"/>
        <v>1014.9</v>
      </c>
      <c r="GM134" vm="3011">
        <f ca="1"/>
        <v>997.3</v>
      </c>
      <c r="GN134" vm="9154">
        <f ca="1"/>
        <v>979.25</v>
      </c>
      <c r="GO134" vm="3242">
        <f ca="1"/>
        <v>991.95</v>
      </c>
      <c r="GP134" vm="9155">
        <f ca="1"/>
        <v>987.05</v>
      </c>
      <c r="GQ134" vm="9156">
        <f ca="1"/>
        <v>971.05</v>
      </c>
      <c r="GR134" vm="7901">
        <f ca="1"/>
        <v>957.05</v>
      </c>
      <c r="GS134" vm="9157">
        <f ca="1"/>
        <v>946.05</v>
      </c>
      <c r="GT134" vm="9158">
        <f ca="1"/>
        <v>958.3</v>
      </c>
      <c r="GU134" vm="9159">
        <f ca="1"/>
        <v>966.2</v>
      </c>
      <c r="GV134" vm="9160">
        <f ca="1"/>
        <v>965.5</v>
      </c>
      <c r="GW134" vm="9161">
        <f ca="1"/>
        <v>972.15</v>
      </c>
      <c r="GX134" vm="9162">
        <f ca="1"/>
        <v>977.45</v>
      </c>
      <c r="GY134" vm="9163">
        <f ca="1"/>
        <v>983.35</v>
      </c>
      <c r="GZ134" vm="9164">
        <f ca="1"/>
        <v>977.5</v>
      </c>
      <c r="HA134" vm="9165">
        <f ca="1"/>
        <v>980.55</v>
      </c>
      <c r="HB134" vm="9166">
        <f ca="1"/>
        <v>976.5</v>
      </c>
      <c r="HC134" vm="9167">
        <f ca="1"/>
        <v>967.7</v>
      </c>
      <c r="HD134" vm="9168">
        <f ca="1"/>
        <v>961.8</v>
      </c>
      <c r="HE134" vm="9169">
        <f ca="1"/>
        <v>944.1</v>
      </c>
      <c r="HF134" vm="7897">
        <f ca="1"/>
        <v>939.2</v>
      </c>
      <c r="HG134" vm="9170">
        <f ca="1"/>
        <v>968</v>
      </c>
      <c r="HH134" vm="9122">
        <f ca="1"/>
        <v>973.05</v>
      </c>
      <c r="HI134" vm="9171">
        <f ca="1"/>
        <v>1003</v>
      </c>
      <c r="HJ134" vm="9172">
        <f ca="1"/>
        <v>1061.3</v>
      </c>
      <c r="HK134" vm="9173">
        <f ca="1"/>
        <v>1178.45</v>
      </c>
      <c r="HL134" vm="9174">
        <f ca="1"/>
        <v>1315.25</v>
      </c>
      <c r="HM134" vm="9175">
        <f ca="1"/>
        <v>1175.4000000000001</v>
      </c>
      <c r="HN134" vm="9176">
        <f ca="1"/>
        <v>1143.6500000000001</v>
      </c>
      <c r="HO134" vm="9177">
        <f ca="1"/>
        <v>1097.45</v>
      </c>
      <c r="HP134" vm="9178">
        <f ca="1"/>
        <v>1135.25</v>
      </c>
      <c r="HQ134" vm="8344">
        <f ca="1"/>
        <v>1128.75</v>
      </c>
      <c r="HR134" vm="9179">
        <f ca="1"/>
        <v>1136.55</v>
      </c>
      <c r="HS134" vm="9180">
        <f ca="1"/>
        <v>1120.9000000000001</v>
      </c>
      <c r="HT134" vm="8884">
        <f ca="1"/>
        <v>1031.3</v>
      </c>
      <c r="HU134" vm="1406">
        <f ca="1"/>
        <v>1034.9000000000001</v>
      </c>
      <c r="HV134" vm="9181">
        <f ca="1"/>
        <v>1046.4000000000001</v>
      </c>
      <c r="HW134" vm="9182">
        <f ca="1"/>
        <v>1087.05</v>
      </c>
      <c r="HX134" vm="9183">
        <f ca="1"/>
        <v>1110.3</v>
      </c>
      <c r="HY134" vm="742">
        <f ca="1"/>
        <v>1080.9000000000001</v>
      </c>
      <c r="HZ134" vm="9184">
        <f ca="1"/>
        <v>1087.2</v>
      </c>
      <c r="IA134" vm="9185">
        <f ca="1"/>
        <v>1093.8499999999999</v>
      </c>
      <c r="IB134" vm="9186">
        <f ca="1"/>
        <v>1091.8</v>
      </c>
      <c r="IC134" vm="9187">
        <f ca="1"/>
        <v>1093.6500000000001</v>
      </c>
      <c r="ID134" vm="5993">
        <f ca="1"/>
        <v>1132.55</v>
      </c>
      <c r="IE134" vm="3745">
        <f ca="1"/>
        <v>1137.55</v>
      </c>
      <c r="IF134" vm="9188">
        <f ca="1"/>
        <v>1137.95</v>
      </c>
      <c r="IG134" vm="9189">
        <f ca="1"/>
        <v>1168.55</v>
      </c>
      <c r="IH134" vm="9190">
        <f ca="1"/>
        <v>1148.45</v>
      </c>
      <c r="II134" vm="9191">
        <f ca="1"/>
        <v>1102.1500000000001</v>
      </c>
      <c r="IJ134" vm="9192">
        <f ca="1"/>
        <v>1106.2</v>
      </c>
      <c r="IK134" vm="9193">
        <f ca="1"/>
        <v>1105.05</v>
      </c>
      <c r="IL134" vm="9073">
        <f ca="1"/>
        <v>1103.75</v>
      </c>
      <c r="IM134" vm="9194">
        <f ca="1"/>
        <v>1115.4000000000001</v>
      </c>
      <c r="IN134" vm="3760">
        <f ca="1"/>
        <v>1114.9000000000001</v>
      </c>
      <c r="IO134" vm="9195">
        <f ca="1"/>
        <v>1126.8499999999999</v>
      </c>
      <c r="IP134" vm="9196">
        <f ca="1"/>
        <v>1112.8</v>
      </c>
      <c r="IQ134" vm="9197">
        <f ca="1"/>
        <v>1122</v>
      </c>
      <c r="IR134" vm="9198">
        <f ca="1"/>
        <v>1099.5</v>
      </c>
    </row>
    <row r="135" spans="4:252" x14ac:dyDescent="0.35">
      <c r="D135" t="e" vm="42">
        <v>#VALUE!</v>
      </c>
      <c r="E135" cm="1" vm="9199">
        <f t="array" aca="1" ref="E135:IR135" ca="1">TRANSPOSE((_xlfn.STOCKHISTORY('Portfolio Tracker '!$C49,TODAY()-365,TODAY(),0,0,1)))</f>
        <v>779.6</v>
      </c>
      <c r="F135" vm="9200">
        <f ca="1"/>
        <v>781.4</v>
      </c>
      <c r="G135" vm="9201">
        <f ca="1"/>
        <v>775.5</v>
      </c>
      <c r="H135" vm="9202">
        <f ca="1"/>
        <v>776.25</v>
      </c>
      <c r="I135" vm="9203">
        <f ca="1"/>
        <v>788.9</v>
      </c>
      <c r="J135" vm="9204">
        <f ca="1"/>
        <v>789</v>
      </c>
      <c r="K135" vm="9205">
        <f ca="1"/>
        <v>791.15</v>
      </c>
      <c r="L135" vm="9206">
        <f ca="1"/>
        <v>789.45</v>
      </c>
      <c r="M135" vm="9207">
        <f ca="1"/>
        <v>789.05</v>
      </c>
      <c r="N135" vm="2930">
        <f ca="1"/>
        <v>786.95</v>
      </c>
      <c r="O135" vm="9208">
        <f ca="1"/>
        <v>786.25</v>
      </c>
      <c r="P135" vm="9209">
        <f ca="1"/>
        <v>778.25</v>
      </c>
      <c r="Q135" vm="9210">
        <f ca="1"/>
        <v>776.3</v>
      </c>
      <c r="R135" vm="9211">
        <f ca="1"/>
        <v>765.45</v>
      </c>
      <c r="S135" vm="9212">
        <f ca="1"/>
        <v>766.1</v>
      </c>
      <c r="T135" vm="9213">
        <f ca="1"/>
        <v>770.05</v>
      </c>
      <c r="U135" vm="9214">
        <f ca="1"/>
        <v>771.15</v>
      </c>
      <c r="V135" vm="9215">
        <f ca="1"/>
        <v>780.3</v>
      </c>
      <c r="W135" vm="9216">
        <f ca="1"/>
        <v>789.7</v>
      </c>
      <c r="X135" vm="9217">
        <f ca="1"/>
        <v>794.25</v>
      </c>
      <c r="Y135" vm="9218">
        <f ca="1"/>
        <v>790.9</v>
      </c>
      <c r="Z135" vm="9219">
        <f ca="1"/>
        <v>798.65</v>
      </c>
      <c r="AA135" vm="9220">
        <f ca="1"/>
        <v>793.65</v>
      </c>
      <c r="AB135" vm="9221">
        <f ca="1"/>
        <v>796.05</v>
      </c>
      <c r="AC135" vm="9222">
        <f ca="1"/>
        <v>792.45</v>
      </c>
      <c r="AD135" vm="9223">
        <f ca="1"/>
        <v>792.1</v>
      </c>
      <c r="AE135" vm="8027">
        <f ca="1"/>
        <v>823.1</v>
      </c>
      <c r="AF135" vm="9224">
        <f ca="1"/>
        <v>807.1</v>
      </c>
      <c r="AG135" vm="9225">
        <f ca="1"/>
        <v>801</v>
      </c>
      <c r="AH135" vm="9226">
        <f ca="1"/>
        <v>800.75</v>
      </c>
      <c r="AI135" vm="9227">
        <f ca="1"/>
        <v>819.9</v>
      </c>
      <c r="AJ135" vm="9228">
        <f ca="1"/>
        <v>862.5</v>
      </c>
      <c r="AK135" vm="9229">
        <f ca="1"/>
        <v>865</v>
      </c>
      <c r="AL135" vm="9230">
        <f ca="1"/>
        <v>862.75</v>
      </c>
      <c r="AM135" vm="9231">
        <f ca="1"/>
        <v>857</v>
      </c>
      <c r="AN135" vm="9232">
        <f ca="1"/>
        <v>858.9</v>
      </c>
      <c r="AO135" vm="9233">
        <f ca="1"/>
        <v>860.15</v>
      </c>
      <c r="AP135" vm="9234">
        <f ca="1"/>
        <v>841.9</v>
      </c>
      <c r="AQ135" vm="3029">
        <f ca="1"/>
        <v>840.85</v>
      </c>
      <c r="AR135" vm="9235">
        <f ca="1"/>
        <v>862.55</v>
      </c>
      <c r="AS135" vm="7982">
        <f ca="1"/>
        <v>854.2</v>
      </c>
      <c r="AT135" vm="9236">
        <f ca="1"/>
        <v>854.95</v>
      </c>
      <c r="AU135" vm="5339">
        <f ca="1"/>
        <v>860.9</v>
      </c>
      <c r="AV135" vm="9237">
        <f ca="1"/>
        <v>858.85</v>
      </c>
      <c r="AW135" vm="3261">
        <f ca="1"/>
        <v>855.55</v>
      </c>
      <c r="AX135" vm="9238">
        <f ca="1"/>
        <v>845.9</v>
      </c>
      <c r="AY135" vm="9239">
        <f ca="1"/>
        <v>845.05</v>
      </c>
      <c r="AZ135" vm="9240">
        <f ca="1"/>
        <v>833.25</v>
      </c>
      <c r="BA135" vm="9241">
        <f ca="1"/>
        <v>825.65</v>
      </c>
      <c r="BB135" vm="9242">
        <f ca="1"/>
        <v>840.3</v>
      </c>
      <c r="BC135" vm="9243">
        <f ca="1"/>
        <v>843.25</v>
      </c>
      <c r="BD135" vm="3179">
        <f ca="1"/>
        <v>837.35</v>
      </c>
      <c r="BE135" vm="2903">
        <f ca="1"/>
        <v>851.5</v>
      </c>
      <c r="BF135" vm="9244">
        <f ca="1"/>
        <v>852.6</v>
      </c>
      <c r="BG135" vm="9245">
        <f ca="1"/>
        <v>858.7</v>
      </c>
      <c r="BH135" vm="9246">
        <f ca="1"/>
        <v>860.45</v>
      </c>
      <c r="BI135" vm="3224">
        <f ca="1"/>
        <v>873.1</v>
      </c>
      <c r="BJ135" vm="9247">
        <f ca="1"/>
        <v>852.35</v>
      </c>
      <c r="BK135" vm="9248">
        <f ca="1"/>
        <v>863.1</v>
      </c>
      <c r="BL135" vm="9249">
        <f ca="1"/>
        <v>868.55</v>
      </c>
      <c r="BM135" vm="3427">
        <f ca="1"/>
        <v>873.9</v>
      </c>
      <c r="BN135" vm="9250">
        <f ca="1"/>
        <v>850.05</v>
      </c>
      <c r="BO135" vm="9251">
        <f ca="1"/>
        <v>859.35</v>
      </c>
      <c r="BP135" vm="9252">
        <f ca="1"/>
        <v>859.3</v>
      </c>
      <c r="BQ135" vm="9253">
        <f ca="1"/>
        <v>856.75</v>
      </c>
      <c r="BR135" vm="9254">
        <f ca="1"/>
        <v>843.05</v>
      </c>
      <c r="BS135" vm="9255">
        <f ca="1"/>
        <v>835.4</v>
      </c>
      <c r="BT135" vm="8001">
        <f ca="1"/>
        <v>834.8</v>
      </c>
      <c r="BU135" vm="3389">
        <f ca="1"/>
        <v>837.8</v>
      </c>
      <c r="BV135" vm="9256">
        <f ca="1"/>
        <v>847.45</v>
      </c>
      <c r="BW135" vm="9257">
        <f ca="1"/>
        <v>860.2</v>
      </c>
      <c r="BX135" vm="9258">
        <f ca="1"/>
        <v>850.55</v>
      </c>
      <c r="BY135" vm="9259">
        <f ca="1"/>
        <v>836.9</v>
      </c>
      <c r="BZ135" vm="9260">
        <f ca="1"/>
        <v>844.7</v>
      </c>
      <c r="CA135" vm="9261">
        <f ca="1"/>
        <v>840.7</v>
      </c>
      <c r="CB135" vm="9262">
        <f ca="1"/>
        <v>844.25</v>
      </c>
      <c r="CC135" vm="9263">
        <f ca="1"/>
        <v>842.55</v>
      </c>
      <c r="CD135" vm="9264">
        <f ca="1"/>
        <v>848.5</v>
      </c>
      <c r="CE135" vm="9265">
        <f ca="1"/>
        <v>848.8</v>
      </c>
      <c r="CF135" vm="9266">
        <f ca="1"/>
        <v>844.55</v>
      </c>
      <c r="CG135" vm="9267">
        <f ca="1"/>
        <v>844.2</v>
      </c>
      <c r="CH135" vm="9268">
        <f ca="1"/>
        <v>832.55</v>
      </c>
      <c r="CI135" vm="9269">
        <f ca="1"/>
        <v>841.8</v>
      </c>
      <c r="CJ135" vm="9270">
        <f ca="1"/>
        <v>838.25</v>
      </c>
      <c r="CK135" vm="9271">
        <f ca="1"/>
        <v>848.35</v>
      </c>
      <c r="CL135" vm="9272">
        <f ca="1"/>
        <v>834.35</v>
      </c>
      <c r="CM135" vm="3382">
        <f ca="1"/>
        <v>844.15</v>
      </c>
      <c r="CN135" vm="9273">
        <f ca="1"/>
        <v>846.05</v>
      </c>
      <c r="CO135" vm="9274">
        <f ca="1"/>
        <v>846.3</v>
      </c>
      <c r="CP135" vm="9275">
        <f ca="1"/>
        <v>878.9</v>
      </c>
      <c r="CQ135" vm="9245">
        <f ca="1"/>
        <v>858.7</v>
      </c>
      <c r="CR135" vm="9276">
        <f ca="1"/>
        <v>853.1</v>
      </c>
      <c r="CS135" vm="9277">
        <f ca="1"/>
        <v>862.6</v>
      </c>
      <c r="CT135" vm="9278">
        <f ca="1"/>
        <v>864.75</v>
      </c>
      <c r="CU135" vm="9279">
        <f ca="1"/>
        <v>889.3</v>
      </c>
      <c r="CV135" vm="5926">
        <f ca="1"/>
        <v>884.55</v>
      </c>
      <c r="CW135" vm="9280">
        <f ca="1"/>
        <v>875.9</v>
      </c>
      <c r="CX135" vm="9281">
        <f ca="1"/>
        <v>880.95</v>
      </c>
      <c r="CY135" vm="9282">
        <f ca="1"/>
        <v>869.7</v>
      </c>
      <c r="CZ135" vm="9283">
        <f ca="1"/>
        <v>871</v>
      </c>
      <c r="DA135" vm="9284">
        <f ca="1"/>
        <v>877.75</v>
      </c>
      <c r="DB135" vm="9285">
        <f ca="1"/>
        <v>900.6</v>
      </c>
      <c r="DC135" vm="7976">
        <f ca="1"/>
        <v>895.2</v>
      </c>
      <c r="DD135" vm="9286">
        <f ca="1"/>
        <v>888.85</v>
      </c>
      <c r="DE135" vm="9287">
        <f ca="1"/>
        <v>876.5</v>
      </c>
      <c r="DF135" vm="9288">
        <f ca="1"/>
        <v>876.9</v>
      </c>
      <c r="DG135" vm="9289">
        <f ca="1"/>
        <v>871.9</v>
      </c>
      <c r="DH135" vm="9278">
        <f ca="1"/>
        <v>864.75</v>
      </c>
      <c r="DI135" vm="9257">
        <f ca="1"/>
        <v>860.2</v>
      </c>
      <c r="DJ135" vm="9290">
        <f ca="1"/>
        <v>874.75</v>
      </c>
      <c r="DK135" vm="155">
        <f ca="1"/>
        <v>880.65</v>
      </c>
      <c r="DL135" vm="9291">
        <f ca="1"/>
        <v>888.75</v>
      </c>
      <c r="DM135" vm="9292">
        <f ca="1"/>
        <v>888.4</v>
      </c>
      <c r="DN135" vm="3195">
        <f ca="1"/>
        <v>892.35</v>
      </c>
      <c r="DO135" vm="9293">
        <f ca="1"/>
        <v>913.35</v>
      </c>
      <c r="DP135" vm="9294">
        <f ca="1"/>
        <v>908.6</v>
      </c>
      <c r="DQ135" vm="7881">
        <f ca="1"/>
        <v>907.85</v>
      </c>
      <c r="DR135" vm="9295">
        <f ca="1"/>
        <v>895.7</v>
      </c>
      <c r="DS135" vm="9296">
        <f ca="1"/>
        <v>895.4</v>
      </c>
      <c r="DT135" vm="9297">
        <f ca="1"/>
        <v>898.95</v>
      </c>
      <c r="DU135" vm="9298">
        <f ca="1"/>
        <v>883.1</v>
      </c>
      <c r="DV135" vm="9299">
        <f ca="1"/>
        <v>890</v>
      </c>
      <c r="DW135" vm="9300">
        <f ca="1"/>
        <v>880.35</v>
      </c>
      <c r="DX135" vm="9301">
        <f ca="1"/>
        <v>891.1</v>
      </c>
      <c r="DY135" vm="9302">
        <f ca="1"/>
        <v>893.55</v>
      </c>
      <c r="DZ135" vm="9303">
        <f ca="1"/>
        <v>900.5</v>
      </c>
      <c r="EA135" vm="9304">
        <f ca="1"/>
        <v>903.15</v>
      </c>
      <c r="EB135" vm="9305">
        <f ca="1"/>
        <v>911.25</v>
      </c>
      <c r="EC135" vm="9306">
        <f ca="1"/>
        <v>913.7</v>
      </c>
      <c r="ED135" vm="9307">
        <f ca="1"/>
        <v>918.65</v>
      </c>
      <c r="EE135" vm="9308">
        <f ca="1"/>
        <v>922.05</v>
      </c>
      <c r="EF135" vm="9309">
        <f ca="1"/>
        <v>916.3</v>
      </c>
      <c r="EG135" vm="3246">
        <f ca="1"/>
        <v>902.85</v>
      </c>
      <c r="EH135" vm="9310">
        <f ca="1"/>
        <v>912.7</v>
      </c>
      <c r="EI135" vm="9311">
        <f ca="1"/>
        <v>915.3</v>
      </c>
      <c r="EJ135" vm="5349">
        <f ca="1"/>
        <v>916.55</v>
      </c>
      <c r="EK135" vm="9312">
        <f ca="1"/>
        <v>929.6</v>
      </c>
      <c r="EL135" vm="9313">
        <f ca="1"/>
        <v>920.05</v>
      </c>
      <c r="EM135" vm="3316">
        <f ca="1"/>
        <v>930.85</v>
      </c>
      <c r="EN135" vm="3316">
        <f ca="1"/>
        <v>930.85</v>
      </c>
      <c r="EO135" vm="9314">
        <f ca="1"/>
        <v>927.7</v>
      </c>
      <c r="EP135" vm="3334">
        <f ca="1"/>
        <v>928.25</v>
      </c>
      <c r="EQ135" vm="3341">
        <f ca="1"/>
        <v>933</v>
      </c>
      <c r="ER135" vm="9315">
        <f ca="1"/>
        <v>926.9</v>
      </c>
      <c r="ES135" vm="9316">
        <f ca="1"/>
        <v>931.85</v>
      </c>
      <c r="ET135" vm="9317">
        <f ca="1"/>
        <v>933.55</v>
      </c>
      <c r="EU135" vm="9318">
        <f ca="1"/>
        <v>940.75</v>
      </c>
      <c r="EV135" vm="3023">
        <f ca="1"/>
        <v>942.85</v>
      </c>
      <c r="EW135" vm="74">
        <f ca="1"/>
        <v>946.65</v>
      </c>
      <c r="EX135" vm="9319">
        <f ca="1"/>
        <v>950.05</v>
      </c>
      <c r="EY135" vm="9320">
        <f ca="1"/>
        <v>951.7</v>
      </c>
      <c r="EZ135" vm="9321">
        <f ca="1"/>
        <v>956.9</v>
      </c>
      <c r="FA135" vm="9322">
        <f ca="1"/>
        <v>946.6</v>
      </c>
      <c r="FB135" vm="9323">
        <f ca="1"/>
        <v>950.45</v>
      </c>
      <c r="FC135" vm="3034">
        <f ca="1"/>
        <v>948.75</v>
      </c>
      <c r="FD135" vm="9324">
        <f ca="1"/>
        <v>957.3</v>
      </c>
      <c r="FE135" vm="9323">
        <f ca="1"/>
        <v>950.45</v>
      </c>
      <c r="FF135" vm="9325">
        <f ca="1"/>
        <v>954.7</v>
      </c>
      <c r="FG135" vm="9326">
        <f ca="1"/>
        <v>949.7</v>
      </c>
      <c r="FH135" vm="9327">
        <f ca="1"/>
        <v>966.15</v>
      </c>
      <c r="FI135" vm="9328">
        <f ca="1"/>
        <v>976.3</v>
      </c>
      <c r="FJ135" vm="9329">
        <f ca="1"/>
        <v>979.3</v>
      </c>
      <c r="FK135" vm="9330">
        <f ca="1"/>
        <v>992.8</v>
      </c>
      <c r="FL135" vm="9039">
        <f ca="1"/>
        <v>1007.35</v>
      </c>
      <c r="FM135" vm="8877">
        <f ca="1"/>
        <v>1026.75</v>
      </c>
      <c r="FN135" vm="9331">
        <f ca="1"/>
        <v>1041</v>
      </c>
      <c r="FO135" vm="9332">
        <f ca="1"/>
        <v>1086.8</v>
      </c>
      <c r="FP135" vm="9333">
        <f ca="1"/>
        <v>1080.0999999999999</v>
      </c>
      <c r="FQ135" vm="9334">
        <f ca="1"/>
        <v>1097.75</v>
      </c>
      <c r="FR135" vm="9335">
        <f ca="1"/>
        <v>1084.95</v>
      </c>
      <c r="FS135" vm="9336">
        <f ca="1"/>
        <v>1125.55</v>
      </c>
      <c r="FT135" vm="9337">
        <f ca="1"/>
        <v>1122.95</v>
      </c>
      <c r="FU135" vm="9338">
        <f ca="1"/>
        <v>1104.95</v>
      </c>
      <c r="FV135" vm="9339">
        <f ca="1"/>
        <v>1111.6500000000001</v>
      </c>
      <c r="FW135" vm="9340">
        <f ca="1"/>
        <v>1113.95</v>
      </c>
      <c r="FX135" vm="9341">
        <f ca="1"/>
        <v>1119.25</v>
      </c>
      <c r="FY135" vm="9342">
        <f ca="1"/>
        <v>1159</v>
      </c>
      <c r="FZ135" vm="3776">
        <f ca="1"/>
        <v>1150.8</v>
      </c>
      <c r="GA135" vm="1455">
        <f ca="1"/>
        <v>1143.7</v>
      </c>
      <c r="GB135" vm="9343">
        <f ca="1"/>
        <v>1138.5999999999999</v>
      </c>
      <c r="GC135" vm="6021">
        <f ca="1"/>
        <v>1146.8</v>
      </c>
      <c r="GD135" vm="9344">
        <f ca="1"/>
        <v>1161.7</v>
      </c>
      <c r="GE135" vm="9345">
        <f ca="1"/>
        <v>1150.0999999999999</v>
      </c>
      <c r="GF135" vm="9346">
        <f ca="1"/>
        <v>1145.6500000000001</v>
      </c>
      <c r="GG135" vm="9342">
        <f ca="1"/>
        <v>1159</v>
      </c>
      <c r="GH135" vm="9347">
        <f ca="1"/>
        <v>1136.75</v>
      </c>
      <c r="GI135" vm="9348">
        <f ca="1"/>
        <v>1141.05</v>
      </c>
      <c r="GJ135" vm="9349">
        <f ca="1"/>
        <v>1122.9000000000001</v>
      </c>
      <c r="GK135" vm="9350">
        <f ca="1"/>
        <v>1118</v>
      </c>
      <c r="GL135" vm="9351">
        <f ca="1"/>
        <v>1129.6500000000001</v>
      </c>
      <c r="GM135" vm="9352">
        <f ca="1"/>
        <v>1162.75</v>
      </c>
      <c r="GN135" vm="9353">
        <f ca="1"/>
        <v>1150.75</v>
      </c>
      <c r="GO135" vm="9354">
        <f ca="1"/>
        <v>1163.55</v>
      </c>
      <c r="GP135" vm="6526">
        <f ca="1"/>
        <v>1166.2</v>
      </c>
      <c r="GQ135" vm="837">
        <f ca="1"/>
        <v>1137.9000000000001</v>
      </c>
      <c r="GR135" vm="9355">
        <f ca="1"/>
        <v>1129.25</v>
      </c>
      <c r="GS135" vm="9356">
        <f ca="1"/>
        <v>1122.2</v>
      </c>
      <c r="GT135" vm="9357">
        <f ca="1"/>
        <v>1137.8</v>
      </c>
      <c r="GU135" vm="9358">
        <f ca="1"/>
        <v>1135.5999999999999</v>
      </c>
      <c r="GV135" vm="5992">
        <f ca="1"/>
        <v>1131.4000000000001</v>
      </c>
      <c r="GW135" vm="9359">
        <f ca="1"/>
        <v>1147.45</v>
      </c>
      <c r="GX135" vm="9360">
        <f ca="1"/>
        <v>1155</v>
      </c>
      <c r="GY135" vm="9361">
        <f ca="1"/>
        <v>1154.4000000000001</v>
      </c>
      <c r="GZ135" vm="9362">
        <f ca="1"/>
        <v>1160.75</v>
      </c>
      <c r="HA135" vm="9363">
        <f ca="1"/>
        <v>1159.5</v>
      </c>
      <c r="HB135" vm="9364">
        <f ca="1"/>
        <v>1160.3</v>
      </c>
      <c r="HC135" vm="9365">
        <f ca="1"/>
        <v>1177.0999999999999</v>
      </c>
      <c r="HD135" vm="9366">
        <f ca="1"/>
        <v>1183.5999999999999</v>
      </c>
      <c r="HE135" vm="9367">
        <f ca="1"/>
        <v>1167.95</v>
      </c>
      <c r="HF135" vm="9368">
        <f ca="1"/>
        <v>1190.05</v>
      </c>
      <c r="HG135" vm="9369">
        <f ca="1"/>
        <v>1201</v>
      </c>
      <c r="HH135" vm="1421">
        <f ca="1"/>
        <v>1207.25</v>
      </c>
      <c r="HI135" vm="9370">
        <f ca="1"/>
        <v>1203.25</v>
      </c>
      <c r="HJ135" vm="9371">
        <f ca="1"/>
        <v>1200.5999999999999</v>
      </c>
      <c r="HK135" vm="9372">
        <f ca="1"/>
        <v>1220.05</v>
      </c>
      <c r="HL135" vm="9373">
        <f ca="1"/>
        <v>1261.55</v>
      </c>
      <c r="HM135" vm="9374">
        <f ca="1"/>
        <v>1220.6500000000001</v>
      </c>
      <c r="HN135" vm="9375">
        <f ca="1"/>
        <v>1215.2</v>
      </c>
      <c r="HO135" vm="9376">
        <f ca="1"/>
        <v>1178.95</v>
      </c>
      <c r="HP135" vm="9377">
        <f ca="1"/>
        <v>1198.3499999999999</v>
      </c>
      <c r="HQ135" vm="9378">
        <f ca="1"/>
        <v>1212.1500000000001</v>
      </c>
      <c r="HR135" vm="8948">
        <f ca="1"/>
        <v>1186.95</v>
      </c>
      <c r="HS135" vm="5982">
        <f ca="1"/>
        <v>1146.25</v>
      </c>
      <c r="HT135" vm="9379">
        <f ca="1"/>
        <v>1124.05</v>
      </c>
      <c r="HU135" vm="9380">
        <f ca="1"/>
        <v>1133.95</v>
      </c>
      <c r="HV135" vm="9381">
        <f ca="1"/>
        <v>1122.75</v>
      </c>
      <c r="HW135" vm="783">
        <f ca="1"/>
        <v>1112.55</v>
      </c>
      <c r="HX135" vm="9382">
        <f ca="1"/>
        <v>1091.05</v>
      </c>
      <c r="HY135" vm="9383">
        <f ca="1"/>
        <v>1096.2</v>
      </c>
      <c r="HZ135" vm="9384">
        <f ca="1"/>
        <v>1086.9000000000001</v>
      </c>
      <c r="IA135" vm="9385">
        <f ca="1"/>
        <v>1131.1500000000001</v>
      </c>
      <c r="IB135" vm="678">
        <f ca="1"/>
        <v>1119.5</v>
      </c>
      <c r="IC135" vm="9386">
        <f ca="1"/>
        <v>1117.95</v>
      </c>
      <c r="ID135" vm="9387">
        <f ca="1"/>
        <v>1115.55</v>
      </c>
      <c r="IE135" vm="9388">
        <f ca="1"/>
        <v>1137.3499999999999</v>
      </c>
      <c r="IF135" vm="9389">
        <f ca="1"/>
        <v>1125.5999999999999</v>
      </c>
      <c r="IG135" vm="9390">
        <f ca="1"/>
        <v>1145.3</v>
      </c>
      <c r="IH135" vm="9391">
        <f ca="1"/>
        <v>1149.45</v>
      </c>
      <c r="II135" vm="9392">
        <f ca="1"/>
        <v>1130.6500000000001</v>
      </c>
      <c r="IJ135" vm="8859">
        <f ca="1"/>
        <v>1135.6500000000001</v>
      </c>
      <c r="IK135" vm="9393">
        <f ca="1"/>
        <v>1134.55</v>
      </c>
      <c r="IL135" vm="6525">
        <f ca="1"/>
        <v>1138.0999999999999</v>
      </c>
      <c r="IM135" vm="9394">
        <f ca="1"/>
        <v>1170.95</v>
      </c>
      <c r="IN135" vm="9395">
        <f ca="1"/>
        <v>1173.3499999999999</v>
      </c>
      <c r="IO135" vm="9396">
        <f ca="1"/>
        <v>1110.1500000000001</v>
      </c>
      <c r="IP135" vm="9397">
        <f ca="1"/>
        <v>1106.25</v>
      </c>
      <c r="IQ135" vm="9398">
        <f ca="1"/>
        <v>1102.6500000000001</v>
      </c>
      <c r="IR135" vm="9399">
        <f ca="1"/>
        <v>1098.5</v>
      </c>
    </row>
    <row r="136" spans="4:252" x14ac:dyDescent="0.35">
      <c r="D136" t="e" vm="43">
        <v>#VALUE!</v>
      </c>
      <c r="E136" cm="1" vm="9400">
        <f t="array" aca="1" ref="E136:IR136" ca="1">TRANSPOSE((_xlfn.STOCKHISTORY('Portfolio Tracker '!$C50,TODAY()-365,TODAY(),0,0,1)))</f>
        <v>6643.25</v>
      </c>
      <c r="F136" vm="9401">
        <f ca="1"/>
        <v>6678.45</v>
      </c>
      <c r="G136" vm="9402">
        <f ca="1"/>
        <v>6721.3</v>
      </c>
      <c r="H136" vm="9403">
        <f ca="1"/>
        <v>6660.25</v>
      </c>
      <c r="I136" vm="9404">
        <f ca="1"/>
        <v>6779.3</v>
      </c>
      <c r="J136" vm="9405">
        <f ca="1"/>
        <v>6991.95</v>
      </c>
      <c r="K136" vm="9406">
        <f ca="1"/>
        <v>7121.85</v>
      </c>
      <c r="L136" vm="9407">
        <f ca="1"/>
        <v>7198.35</v>
      </c>
      <c r="M136" vm="9408">
        <f ca="1"/>
        <v>7078.6</v>
      </c>
      <c r="N136" vm="9409">
        <f ca="1"/>
        <v>7031.6</v>
      </c>
      <c r="O136" vm="9410">
        <f ca="1"/>
        <v>7115.7</v>
      </c>
      <c r="P136" vm="9411">
        <f ca="1"/>
        <v>7099.15</v>
      </c>
      <c r="Q136" vm="9412">
        <f ca="1"/>
        <v>6995.6</v>
      </c>
      <c r="R136" vm="9413">
        <f ca="1"/>
        <v>7027.35</v>
      </c>
      <c r="S136" vm="9414">
        <f ca="1"/>
        <v>6931</v>
      </c>
      <c r="T136" vm="9415">
        <f ca="1"/>
        <v>7023.05</v>
      </c>
      <c r="U136" vm="9416">
        <f ca="1"/>
        <v>7032.45</v>
      </c>
      <c r="V136" vm="9417">
        <f ca="1"/>
        <v>7261</v>
      </c>
      <c r="W136" vm="9418">
        <f ca="1"/>
        <v>7467.1</v>
      </c>
      <c r="X136" vm="9419">
        <f ca="1"/>
        <v>7494.95</v>
      </c>
      <c r="Y136" vm="9420">
        <f ca="1"/>
        <v>7422</v>
      </c>
      <c r="Z136" vm="9421">
        <f ca="1"/>
        <v>7421.55</v>
      </c>
      <c r="AA136" vm="9422">
        <f ca="1"/>
        <v>7634.5</v>
      </c>
      <c r="AB136" vm="9423">
        <f ca="1"/>
        <v>7695.95</v>
      </c>
      <c r="AC136" vm="9424">
        <f ca="1"/>
        <v>7698.15</v>
      </c>
      <c r="AD136" vm="9425">
        <f ca="1"/>
        <v>7604.5</v>
      </c>
      <c r="AE136" vm="9426">
        <f ca="1"/>
        <v>7693.05</v>
      </c>
      <c r="AF136" vm="9427">
        <f ca="1"/>
        <v>7844.65</v>
      </c>
      <c r="AG136" vm="9428">
        <f ca="1"/>
        <v>7817.6</v>
      </c>
      <c r="AH136" vm="9429">
        <f ca="1"/>
        <v>7858.5</v>
      </c>
      <c r="AI136" vm="9430">
        <f ca="1"/>
        <v>7852</v>
      </c>
      <c r="AJ136" vm="9431">
        <f ca="1"/>
        <v>7749.9</v>
      </c>
      <c r="AK136" vm="9432">
        <f ca="1"/>
        <v>7786.55</v>
      </c>
      <c r="AL136" vm="9433">
        <f ca="1"/>
        <v>7640.2</v>
      </c>
      <c r="AM136" vm="9434">
        <f ca="1"/>
        <v>7683.25</v>
      </c>
      <c r="AN136" vm="9435">
        <f ca="1"/>
        <v>7770.45</v>
      </c>
      <c r="AO136" vm="9436">
        <f ca="1"/>
        <v>7790.75</v>
      </c>
      <c r="AP136" vm="9437">
        <f ca="1"/>
        <v>7667.25</v>
      </c>
      <c r="AQ136" vm="9438">
        <f ca="1"/>
        <v>7481.95</v>
      </c>
      <c r="AR136" vm="9439">
        <f ca="1"/>
        <v>7507.75</v>
      </c>
      <c r="AS136" vm="9440">
        <f ca="1"/>
        <v>7546.2</v>
      </c>
      <c r="AT136" vm="9441">
        <f ca="1"/>
        <v>7586.15</v>
      </c>
      <c r="AU136" vm="9442">
        <f ca="1"/>
        <v>7588.5</v>
      </c>
      <c r="AV136" vm="9443">
        <f ca="1"/>
        <v>7546.3</v>
      </c>
      <c r="AW136" vm="9444">
        <f ca="1"/>
        <v>7513.8</v>
      </c>
      <c r="AX136" vm="9445">
        <f ca="1"/>
        <v>7553.05</v>
      </c>
      <c r="AY136" vm="9446">
        <f ca="1"/>
        <v>7535.35</v>
      </c>
      <c r="AZ136" vm="9447">
        <f ca="1"/>
        <v>7541.65</v>
      </c>
      <c r="BA136" vm="9448">
        <f ca="1"/>
        <v>7487.25</v>
      </c>
      <c r="BB136" vm="9449">
        <f ca="1"/>
        <v>7453.15</v>
      </c>
      <c r="BC136" vm="9450">
        <f ca="1"/>
        <v>7431.25</v>
      </c>
      <c r="BD136" vm="9451">
        <f ca="1"/>
        <v>7568.05</v>
      </c>
      <c r="BE136" vm="9452">
        <f ca="1"/>
        <v>7730.75</v>
      </c>
      <c r="BF136" vm="9453">
        <f ca="1"/>
        <v>7719.5</v>
      </c>
      <c r="BG136" vm="9454">
        <f ca="1"/>
        <v>7542.75</v>
      </c>
      <c r="BH136" vm="9455">
        <f ca="1"/>
        <v>7558.9</v>
      </c>
      <c r="BI136" vm="9456">
        <f ca="1"/>
        <v>7494.3</v>
      </c>
      <c r="BJ136" vm="9457">
        <f ca="1"/>
        <v>7310.85</v>
      </c>
      <c r="BK136" vm="9458">
        <f ca="1"/>
        <v>7256.7</v>
      </c>
      <c r="BL136" vm="9459">
        <f ca="1"/>
        <v>7228.85</v>
      </c>
      <c r="BM136" vm="9460">
        <f ca="1"/>
        <v>7226.7</v>
      </c>
      <c r="BN136" vm="9461">
        <f ca="1"/>
        <v>7231.05</v>
      </c>
      <c r="BO136" vm="9462">
        <f ca="1"/>
        <v>7223.05</v>
      </c>
      <c r="BP136" vm="9463">
        <f ca="1"/>
        <v>7159.4</v>
      </c>
      <c r="BQ136" vm="9464">
        <f ca="1"/>
        <v>7185.05</v>
      </c>
      <c r="BR136" vm="9465">
        <f ca="1"/>
        <v>7187.2</v>
      </c>
      <c r="BS136" vm="9466">
        <f ca="1"/>
        <v>7168.85</v>
      </c>
      <c r="BT136" vm="9467">
        <f ca="1"/>
        <v>7182.45</v>
      </c>
      <c r="BU136" vm="9468">
        <f ca="1"/>
        <v>7177.9</v>
      </c>
      <c r="BV136" vm="9469">
        <f ca="1"/>
        <v>7162</v>
      </c>
      <c r="BW136" vm="9470">
        <f ca="1"/>
        <v>7159.95</v>
      </c>
      <c r="BX136" vm="9471">
        <f ca="1"/>
        <v>7084.8</v>
      </c>
      <c r="BY136" vm="9472">
        <f ca="1"/>
        <v>7113.75</v>
      </c>
      <c r="BZ136" vm="9473">
        <f ca="1"/>
        <v>7073.45</v>
      </c>
      <c r="CA136" vm="9474">
        <f ca="1"/>
        <v>7065.6</v>
      </c>
      <c r="CB136" vm="9475">
        <f ca="1"/>
        <v>7080.2</v>
      </c>
      <c r="CC136" vm="9476">
        <f ca="1"/>
        <v>7008.15</v>
      </c>
      <c r="CD136" vm="9477">
        <f ca="1"/>
        <v>7016.8</v>
      </c>
      <c r="CE136" vm="9478">
        <f ca="1"/>
        <v>7024.05</v>
      </c>
      <c r="CF136" vm="9479">
        <f ca="1"/>
        <v>7106.75</v>
      </c>
      <c r="CG136" vm="9480">
        <f ca="1"/>
        <v>7278.65</v>
      </c>
      <c r="CH136" vm="9481">
        <f ca="1"/>
        <v>7301.45</v>
      </c>
      <c r="CI136" vm="9482">
        <f ca="1"/>
        <v>7374.15</v>
      </c>
      <c r="CJ136" vm="9483">
        <f ca="1"/>
        <v>7383.35</v>
      </c>
      <c r="CK136" vm="9484">
        <f ca="1"/>
        <v>7402.05</v>
      </c>
      <c r="CL136" vm="9485">
        <f ca="1"/>
        <v>7247.1</v>
      </c>
      <c r="CM136" vm="9486">
        <f ca="1"/>
        <v>7284.1</v>
      </c>
      <c r="CN136" vm="9487">
        <f ca="1"/>
        <v>7319.8</v>
      </c>
      <c r="CO136" vm="9488">
        <f ca="1"/>
        <v>7405.3</v>
      </c>
      <c r="CP136" vm="9489">
        <f ca="1"/>
        <v>7356.2</v>
      </c>
      <c r="CQ136" vm="9490">
        <f ca="1"/>
        <v>7399.05</v>
      </c>
      <c r="CR136" vm="9491">
        <f ca="1"/>
        <v>7366.2</v>
      </c>
      <c r="CS136" vm="9492">
        <f ca="1"/>
        <v>7402.15</v>
      </c>
      <c r="CT136" vm="9493">
        <f ca="1"/>
        <v>7366.85</v>
      </c>
      <c r="CU136" vm="9494">
        <f ca="1"/>
        <v>7264.4</v>
      </c>
      <c r="CV136" vm="9495">
        <f ca="1"/>
        <v>7310.65</v>
      </c>
      <c r="CW136" vm="9496">
        <f ca="1"/>
        <v>7234.65</v>
      </c>
      <c r="CX136" vm="9497">
        <f ca="1"/>
        <v>7288.15</v>
      </c>
      <c r="CY136" vm="9498">
        <f ca="1"/>
        <v>7301.9</v>
      </c>
      <c r="CZ136" vm="9499">
        <f ca="1"/>
        <v>7285.95</v>
      </c>
      <c r="DA136" vm="9500">
        <f ca="1"/>
        <v>7254.85</v>
      </c>
      <c r="DB136" vm="9501">
        <f ca="1"/>
        <v>7267.75</v>
      </c>
      <c r="DC136" vm="9502">
        <f ca="1"/>
        <v>7310.9</v>
      </c>
      <c r="DD136" vm="9503">
        <f ca="1"/>
        <v>7301.7</v>
      </c>
      <c r="DE136" vm="9504">
        <f ca="1"/>
        <v>7228</v>
      </c>
      <c r="DF136" vm="9505">
        <f ca="1"/>
        <v>7227.15</v>
      </c>
      <c r="DG136" vm="9506">
        <f ca="1"/>
        <v>7210.7</v>
      </c>
      <c r="DH136" vm="9507">
        <f ca="1"/>
        <v>7281.9</v>
      </c>
      <c r="DI136" vm="9508">
        <f ca="1"/>
        <v>7257.2</v>
      </c>
      <c r="DJ136" vm="9509">
        <f ca="1"/>
        <v>7302.75</v>
      </c>
      <c r="DK136" vm="9510">
        <f ca="1"/>
        <v>7299.4</v>
      </c>
      <c r="DL136" vm="9511">
        <f ca="1"/>
        <v>7359.4</v>
      </c>
      <c r="DM136" vm="9512">
        <f ca="1"/>
        <v>7315.1</v>
      </c>
      <c r="DN136" vm="9513">
        <f ca="1"/>
        <v>7355.3</v>
      </c>
      <c r="DO136" vm="9514">
        <f ca="1"/>
        <v>7443.75</v>
      </c>
      <c r="DP136" vm="9515">
        <f ca="1"/>
        <v>7477.05</v>
      </c>
      <c r="DQ136" vm="9516">
        <f ca="1"/>
        <v>7445.35</v>
      </c>
      <c r="DR136" vm="9517">
        <f ca="1"/>
        <v>7608.9</v>
      </c>
      <c r="DS136" vm="9518">
        <f ca="1"/>
        <v>7704.05</v>
      </c>
      <c r="DT136" vm="9519">
        <f ca="1"/>
        <v>7564.4</v>
      </c>
      <c r="DU136" vm="9520">
        <f ca="1"/>
        <v>7336.45</v>
      </c>
      <c r="DV136" vm="9521">
        <f ca="1"/>
        <v>7545.25</v>
      </c>
      <c r="DW136" vm="9522">
        <f ca="1"/>
        <v>7463.5</v>
      </c>
      <c r="DX136" vm="9523">
        <f ca="1"/>
        <v>7601.6</v>
      </c>
      <c r="DY136" vm="9524">
        <f ca="1"/>
        <v>7639.25</v>
      </c>
      <c r="DZ136" vm="9525">
        <f ca="1"/>
        <v>7625.2</v>
      </c>
      <c r="EA136" vm="9526">
        <f ca="1"/>
        <v>7483.4</v>
      </c>
      <c r="EB136" vm="9527">
        <f ca="1"/>
        <v>7496.9</v>
      </c>
      <c r="EC136" vm="9528">
        <f ca="1"/>
        <v>7617</v>
      </c>
      <c r="ED136" vm="9529">
        <f ca="1"/>
        <v>7831.6</v>
      </c>
      <c r="EE136" vm="9530">
        <f ca="1"/>
        <v>8171.15</v>
      </c>
      <c r="EF136" vm="9531">
        <f ca="1"/>
        <v>8242.9</v>
      </c>
      <c r="EG136" vm="9532">
        <f ca="1"/>
        <v>8050.9</v>
      </c>
      <c r="EH136" vm="9533">
        <f ca="1"/>
        <v>8055.05</v>
      </c>
      <c r="EI136" vm="9534">
        <f ca="1"/>
        <v>8139.05</v>
      </c>
      <c r="EJ136" vm="9535">
        <f ca="1"/>
        <v>8086.8</v>
      </c>
      <c r="EK136" vm="9536">
        <f ca="1"/>
        <v>8194.75</v>
      </c>
      <c r="EL136" vm="9537">
        <f ca="1"/>
        <v>8459.15</v>
      </c>
      <c r="EM136" vm="9538">
        <f ca="1"/>
        <v>8306.6</v>
      </c>
      <c r="EN136" vm="9539">
        <f ca="1"/>
        <v>8284.7000000000007</v>
      </c>
      <c r="EO136" vm="9540">
        <f ca="1"/>
        <v>8423.25</v>
      </c>
      <c r="EP136" vm="9541">
        <f ca="1"/>
        <v>8389.7000000000007</v>
      </c>
      <c r="EQ136" vm="9542">
        <f ca="1"/>
        <v>8380.35</v>
      </c>
      <c r="ER136" vm="9543">
        <f ca="1"/>
        <v>8334.5499999999993</v>
      </c>
      <c r="ES136" vm="9544">
        <f ca="1"/>
        <v>8306.2000000000007</v>
      </c>
      <c r="ET136" vm="9545">
        <f ca="1"/>
        <v>8388.5499999999993</v>
      </c>
      <c r="EU136" vm="9546">
        <f ca="1"/>
        <v>8252.7999999999993</v>
      </c>
      <c r="EV136" vm="9540">
        <f ca="1"/>
        <v>8423.25</v>
      </c>
      <c r="EW136" vm="9547">
        <f ca="1"/>
        <v>8402.7999999999993</v>
      </c>
      <c r="EX136" vm="9548">
        <f ca="1"/>
        <v>8392.1</v>
      </c>
      <c r="EY136" vm="9549">
        <f ca="1"/>
        <v>8454.5499999999993</v>
      </c>
      <c r="EZ136" vm="9550">
        <f ca="1"/>
        <v>8365.4500000000007</v>
      </c>
      <c r="FA136" vm="9551">
        <f ca="1"/>
        <v>8365.85</v>
      </c>
      <c r="FB136" vm="9552">
        <f ca="1"/>
        <v>8446.25</v>
      </c>
      <c r="FC136" vm="9553">
        <f ca="1"/>
        <v>8901.9</v>
      </c>
      <c r="FD136" vm="9554">
        <f ca="1"/>
        <v>8858.75</v>
      </c>
      <c r="FE136" vm="9555">
        <f ca="1"/>
        <v>8985.65</v>
      </c>
      <c r="FF136" vm="9556">
        <f ca="1"/>
        <v>9053.6</v>
      </c>
      <c r="FG136" vm="9557">
        <f ca="1"/>
        <v>9087.35</v>
      </c>
      <c r="FH136" vm="9558">
        <f ca="1"/>
        <v>8900.75</v>
      </c>
      <c r="FI136" vm="9559">
        <f ca="1"/>
        <v>8608.35</v>
      </c>
      <c r="FJ136" vm="9560">
        <f ca="1"/>
        <v>8770.4500000000007</v>
      </c>
      <c r="FK136" vm="9561">
        <f ca="1"/>
        <v>8870.65</v>
      </c>
      <c r="FL136" vm="9562">
        <f ca="1"/>
        <v>8860.2999999999993</v>
      </c>
      <c r="FM136" vm="9563">
        <f ca="1"/>
        <v>8801.5</v>
      </c>
      <c r="FN136" vm="9564">
        <f ca="1"/>
        <v>8757.9500000000007</v>
      </c>
      <c r="FO136" vm="9565">
        <f ca="1"/>
        <v>8753.4500000000007</v>
      </c>
      <c r="FP136" vm="9566">
        <f ca="1"/>
        <v>8744.2000000000007</v>
      </c>
      <c r="FQ136" vm="9567">
        <f ca="1"/>
        <v>8711.4500000000007</v>
      </c>
      <c r="FR136" vm="9568">
        <f ca="1"/>
        <v>8607.5499999999993</v>
      </c>
      <c r="FS136" vm="9569">
        <f ca="1"/>
        <v>8639.65</v>
      </c>
      <c r="FT136" vm="9570">
        <f ca="1"/>
        <v>8645.85</v>
      </c>
      <c r="FU136" vm="9571">
        <f ca="1"/>
        <v>8584.15</v>
      </c>
      <c r="FV136" vm="9572">
        <f ca="1"/>
        <v>8643.6</v>
      </c>
      <c r="FW136" vm="9573">
        <f ca="1"/>
        <v>8755.4500000000007</v>
      </c>
      <c r="FX136" vm="9574">
        <f ca="1"/>
        <v>8720.7999999999993</v>
      </c>
      <c r="FY136" vm="9575">
        <f ca="1"/>
        <v>8737.25</v>
      </c>
      <c r="FZ136" vm="9576">
        <f ca="1"/>
        <v>8716.65</v>
      </c>
      <c r="GA136" vm="9577">
        <f ca="1"/>
        <v>8604.5499999999993</v>
      </c>
      <c r="GB136" vm="9578">
        <f ca="1"/>
        <v>8597.7999999999993</v>
      </c>
      <c r="GC136" vm="9579">
        <f ca="1"/>
        <v>8310.7000000000007</v>
      </c>
      <c r="GD136" vm="9580">
        <f ca="1"/>
        <v>8307.2999999999993</v>
      </c>
      <c r="GE136" vm="9581">
        <f ca="1"/>
        <v>8290.25</v>
      </c>
      <c r="GF136" vm="9582">
        <f ca="1"/>
        <v>8195.7000000000007</v>
      </c>
      <c r="GG136" vm="9583">
        <f ca="1"/>
        <v>7768.45</v>
      </c>
      <c r="GH136" vm="9584">
        <f ca="1"/>
        <v>7667.15</v>
      </c>
      <c r="GI136" vm="9585">
        <f ca="1"/>
        <v>7694</v>
      </c>
      <c r="GJ136" vm="9586">
        <f ca="1"/>
        <v>7594.8</v>
      </c>
      <c r="GK136" vm="9587">
        <f ca="1"/>
        <v>7605.15</v>
      </c>
      <c r="GL136" vm="9588">
        <f ca="1"/>
        <v>7640.9</v>
      </c>
      <c r="GM136" vm="9589">
        <f ca="1"/>
        <v>7641</v>
      </c>
      <c r="GN136" vm="9590">
        <f ca="1"/>
        <v>7601</v>
      </c>
      <c r="GO136" vm="9591">
        <f ca="1"/>
        <v>7721.8</v>
      </c>
      <c r="GP136" vm="9592">
        <f ca="1"/>
        <v>7790.15</v>
      </c>
      <c r="GQ136" vm="9593">
        <f ca="1"/>
        <v>7726.4</v>
      </c>
      <c r="GR136" vm="9594">
        <f ca="1"/>
        <v>7629.35</v>
      </c>
      <c r="GS136" vm="9595">
        <f ca="1"/>
        <v>7498.6</v>
      </c>
      <c r="GT136" vm="9596">
        <f ca="1"/>
        <v>7443.3</v>
      </c>
      <c r="GU136" vm="9597">
        <f ca="1"/>
        <v>7429.55</v>
      </c>
      <c r="GV136" vm="9598">
        <f ca="1"/>
        <v>7470.2</v>
      </c>
      <c r="GW136" vm="9599">
        <f ca="1"/>
        <v>7513.45</v>
      </c>
      <c r="GX136" vm="9600">
        <f ca="1"/>
        <v>7708.65</v>
      </c>
      <c r="GY136" vm="9601">
        <f ca="1"/>
        <v>7776.3</v>
      </c>
      <c r="GZ136" vm="9602">
        <f ca="1"/>
        <v>7746.2</v>
      </c>
      <c r="HA136" vm="9603">
        <f ca="1"/>
        <v>7791.05</v>
      </c>
      <c r="HB136" vm="9604">
        <f ca="1"/>
        <v>7812.3</v>
      </c>
      <c r="HC136" vm="9605">
        <f ca="1"/>
        <v>7706.9</v>
      </c>
      <c r="HD136" vm="9606">
        <f ca="1"/>
        <v>7640.6</v>
      </c>
      <c r="HE136" vm="9607">
        <f ca="1"/>
        <v>7593.65</v>
      </c>
      <c r="HF136" vm="9608">
        <f ca="1"/>
        <v>7811.05</v>
      </c>
      <c r="HG136" vm="9609">
        <f ca="1"/>
        <v>7745.25</v>
      </c>
      <c r="HH136" vm="9610">
        <f ca="1"/>
        <v>7792.65</v>
      </c>
      <c r="HI136" vm="9611">
        <f ca="1"/>
        <v>7692.9</v>
      </c>
      <c r="HJ136" vm="9612">
        <f ca="1"/>
        <v>7662.45</v>
      </c>
      <c r="HK136" vm="9613">
        <f ca="1"/>
        <v>7602.3</v>
      </c>
      <c r="HL136" vm="9614">
        <f ca="1"/>
        <v>7686.75</v>
      </c>
      <c r="HM136" vm="9615">
        <f ca="1"/>
        <v>7702.95</v>
      </c>
      <c r="HN136" vm="9616">
        <f ca="1"/>
        <v>7573.9</v>
      </c>
      <c r="HO136" vm="9617">
        <f ca="1"/>
        <v>7392.8</v>
      </c>
      <c r="HP136" vm="9618">
        <f ca="1"/>
        <v>7730.6</v>
      </c>
      <c r="HQ136" vm="9619">
        <f ca="1"/>
        <v>7707</v>
      </c>
      <c r="HR136" vm="9620">
        <f ca="1"/>
        <v>7702.7</v>
      </c>
      <c r="HS136" vm="9621">
        <f ca="1"/>
        <v>7635.85</v>
      </c>
      <c r="HT136" vm="9622">
        <f ca="1"/>
        <v>7556.5</v>
      </c>
      <c r="HU136" vm="9623">
        <f ca="1"/>
        <v>7704.75</v>
      </c>
      <c r="HV136" vm="9624">
        <f ca="1"/>
        <v>7665</v>
      </c>
      <c r="HW136" vm="9625">
        <f ca="1"/>
        <v>7693.75</v>
      </c>
      <c r="HX136" vm="9626">
        <f ca="1"/>
        <v>7674.8</v>
      </c>
      <c r="HY136" vm="9627">
        <f ca="1"/>
        <v>7785.15</v>
      </c>
      <c r="HZ136" vm="9628">
        <f ca="1"/>
        <v>7745.3</v>
      </c>
      <c r="IA136" vm="9629">
        <f ca="1"/>
        <v>7701.75</v>
      </c>
      <c r="IB136" vm="9630">
        <f ca="1"/>
        <v>7997.9</v>
      </c>
      <c r="IC136" vm="9631">
        <f ca="1"/>
        <v>8027.5</v>
      </c>
      <c r="ID136" vm="9632">
        <f ca="1"/>
        <v>8041.55</v>
      </c>
      <c r="IE136" vm="9633">
        <f ca="1"/>
        <v>7922.45</v>
      </c>
      <c r="IF136" vm="9634">
        <f ca="1"/>
        <v>7900.05</v>
      </c>
      <c r="IG136" vm="9635">
        <f ca="1"/>
        <v>7846.75</v>
      </c>
      <c r="IH136" vm="9636">
        <f ca="1"/>
        <v>7753.75</v>
      </c>
      <c r="II136" vm="9637">
        <f ca="1"/>
        <v>7525.75</v>
      </c>
      <c r="IJ136" vm="9638">
        <f ca="1"/>
        <v>7530</v>
      </c>
      <c r="IK136" vm="9639">
        <f ca="1"/>
        <v>7493.35</v>
      </c>
      <c r="IL136" vm="9640">
        <f ca="1"/>
        <v>7451</v>
      </c>
      <c r="IM136" vm="9641">
        <f ca="1"/>
        <v>7436.65</v>
      </c>
      <c r="IN136" vm="9642">
        <f ca="1"/>
        <v>7395.2</v>
      </c>
      <c r="IO136" vm="9643">
        <f ca="1"/>
        <v>7030.15</v>
      </c>
      <c r="IP136" vm="9644">
        <f ca="1"/>
        <v>7093.9</v>
      </c>
      <c r="IQ136" vm="9645">
        <f ca="1"/>
        <v>7103.7</v>
      </c>
      <c r="IR136" vm="9646">
        <f ca="1"/>
        <v>7102.6</v>
      </c>
    </row>
    <row r="137" spans="4:252" x14ac:dyDescent="0.35">
      <c r="D137" t="e" vm="44">
        <v>#VALUE!</v>
      </c>
      <c r="E137" cm="1" vm="9647">
        <f t="array" aca="1" ref="E137:IR137" ca="1">TRANSPOSE((_xlfn.STOCKHISTORY('Portfolio Tracker '!$C51,TODAY()-365,TODAY(),0,0,1)))</f>
        <v>480.25</v>
      </c>
      <c r="F137" vm="9648">
        <f ca="1"/>
        <v>483.7</v>
      </c>
      <c r="G137" vm="9649">
        <f ca="1"/>
        <v>480.8</v>
      </c>
      <c r="H137" vm="9650">
        <f ca="1"/>
        <v>477.1</v>
      </c>
      <c r="I137" vm="9651">
        <f ca="1"/>
        <v>500.5</v>
      </c>
      <c r="J137" vm="9652">
        <f ca="1"/>
        <v>503.65</v>
      </c>
      <c r="K137" vm="9653">
        <f ca="1"/>
        <v>509.5</v>
      </c>
      <c r="L137" vm="9654">
        <f ca="1"/>
        <v>511.6</v>
      </c>
      <c r="M137" vm="9655">
        <f ca="1"/>
        <v>515.95000000000005</v>
      </c>
      <c r="N137" vm="9656">
        <f ca="1"/>
        <v>530.85</v>
      </c>
      <c r="O137" vm="9657">
        <f ca="1"/>
        <v>521.15</v>
      </c>
      <c r="P137" vm="9658">
        <f ca="1"/>
        <v>515.5</v>
      </c>
      <c r="Q137" vm="1972">
        <f ca="1"/>
        <v>508.45</v>
      </c>
      <c r="R137" vm="9659">
        <f ca="1"/>
        <v>524.95000000000005</v>
      </c>
      <c r="S137" vm="9660">
        <f ca="1"/>
        <v>522.5</v>
      </c>
      <c r="T137" vm="9661">
        <f ca="1"/>
        <v>528.5</v>
      </c>
      <c r="U137" vm="1866">
        <f ca="1"/>
        <v>520.20000000000005</v>
      </c>
      <c r="V137" vm="8469">
        <f ca="1"/>
        <v>514.85</v>
      </c>
      <c r="W137" vm="5844">
        <f ca="1"/>
        <v>518.45000000000005</v>
      </c>
      <c r="X137" vm="9662">
        <f ca="1"/>
        <v>521.45000000000005</v>
      </c>
      <c r="Y137" vm="2824">
        <f ca="1"/>
        <v>518.79999999999995</v>
      </c>
      <c r="Z137" vm="9663">
        <f ca="1"/>
        <v>526.29999999999995</v>
      </c>
      <c r="AA137" vm="9664">
        <f ca="1"/>
        <v>535.20000000000005</v>
      </c>
      <c r="AB137" vm="9665">
        <f ca="1"/>
        <v>535.9</v>
      </c>
      <c r="AC137" vm="9666">
        <f ca="1"/>
        <v>546.25</v>
      </c>
      <c r="AD137" vm="9667">
        <f ca="1"/>
        <v>555.75</v>
      </c>
      <c r="AE137" vm="2843">
        <f ca="1"/>
        <v>567.95000000000005</v>
      </c>
      <c r="AF137" vm="9668">
        <f ca="1"/>
        <v>559.70000000000005</v>
      </c>
      <c r="AG137" vm="9669">
        <f ca="1"/>
        <v>562.29999999999995</v>
      </c>
      <c r="AH137" vm="9670">
        <f ca="1"/>
        <v>564.15</v>
      </c>
      <c r="AI137" vm="9671">
        <f ca="1"/>
        <v>562.20000000000005</v>
      </c>
      <c r="AJ137" vm="9672">
        <f ca="1"/>
        <v>570.29999999999995</v>
      </c>
      <c r="AK137" vm="9673">
        <f ca="1"/>
        <v>568.45000000000005</v>
      </c>
      <c r="AL137" vm="9674">
        <f ca="1"/>
        <v>569.79999999999995</v>
      </c>
      <c r="AM137" vm="9675">
        <f ca="1"/>
        <v>566.04999999999995</v>
      </c>
      <c r="AN137" vm="8502">
        <f ca="1"/>
        <v>583.25</v>
      </c>
      <c r="AO137" vm="9676">
        <f ca="1"/>
        <v>581.4</v>
      </c>
      <c r="AP137" vm="9677">
        <f ca="1"/>
        <v>569.35</v>
      </c>
      <c r="AQ137" vm="8522">
        <f ca="1"/>
        <v>559.65</v>
      </c>
      <c r="AR137" vm="9678">
        <f ca="1"/>
        <v>567.85</v>
      </c>
      <c r="AS137" vm="9679">
        <f ca="1"/>
        <v>573.1</v>
      </c>
      <c r="AT137" vm="9680">
        <f ca="1"/>
        <v>586.65</v>
      </c>
      <c r="AU137" vm="9681">
        <f ca="1"/>
        <v>595.54999999999995</v>
      </c>
      <c r="AV137" vm="9682">
        <f ca="1"/>
        <v>590.79999999999995</v>
      </c>
      <c r="AW137" vm="9683">
        <f ca="1"/>
        <v>591.45000000000005</v>
      </c>
      <c r="AX137" vm="8539">
        <f ca="1"/>
        <v>588.25</v>
      </c>
      <c r="AY137" vm="9684">
        <f ca="1"/>
        <v>600.79999999999995</v>
      </c>
      <c r="AZ137" vm="8583">
        <f ca="1"/>
        <v>618.20000000000005</v>
      </c>
      <c r="BA137" vm="9685">
        <f ca="1"/>
        <v>618.65</v>
      </c>
      <c r="BB137" vm="9686">
        <f ca="1"/>
        <v>628.5</v>
      </c>
      <c r="BC137" vm="9687">
        <f ca="1"/>
        <v>621.45000000000005</v>
      </c>
      <c r="BD137" vm="9688">
        <f ca="1"/>
        <v>620.65</v>
      </c>
      <c r="BE137" vm="9689">
        <f ca="1"/>
        <v>624.9</v>
      </c>
      <c r="BF137" vm="9690">
        <f ca="1"/>
        <v>618.5</v>
      </c>
      <c r="BG137" vm="9691">
        <f ca="1"/>
        <v>612.1</v>
      </c>
      <c r="BH137" vm="9692">
        <f ca="1"/>
        <v>620.6</v>
      </c>
      <c r="BI137" vm="9693">
        <f ca="1"/>
        <v>621.65</v>
      </c>
      <c r="BJ137" vm="9694">
        <f ca="1"/>
        <v>625.75</v>
      </c>
      <c r="BK137" vm="8584">
        <f ca="1"/>
        <v>629.25</v>
      </c>
      <c r="BL137" vm="9695">
        <f ca="1"/>
        <v>639.45000000000005</v>
      </c>
      <c r="BM137" vm="9696">
        <f ca="1"/>
        <v>641.1</v>
      </c>
      <c r="BN137" vm="9697">
        <f ca="1"/>
        <v>643.70000000000005</v>
      </c>
      <c r="BO137" vm="9698">
        <f ca="1"/>
        <v>635.29999999999995</v>
      </c>
      <c r="BP137" vm="9699">
        <f ca="1"/>
        <v>644.29999999999995</v>
      </c>
      <c r="BQ137" vm="5208">
        <f ca="1"/>
        <v>643.65</v>
      </c>
      <c r="BR137" vm="9700">
        <f ca="1"/>
        <v>622.65</v>
      </c>
      <c r="BS137" vm="9701">
        <f ca="1"/>
        <v>618.95000000000005</v>
      </c>
      <c r="BT137" vm="9702">
        <f ca="1"/>
        <v>615</v>
      </c>
      <c r="BU137" vm="9703">
        <f ca="1"/>
        <v>609.5</v>
      </c>
      <c r="BV137" vm="9704">
        <f ca="1"/>
        <v>607.29999999999995</v>
      </c>
      <c r="BW137" vm="9705">
        <f ca="1"/>
        <v>622.54999999999995</v>
      </c>
      <c r="BX137" vm="9706">
        <f ca="1"/>
        <v>618.25</v>
      </c>
      <c r="BY137" vm="9707">
        <f ca="1"/>
        <v>611.79999999999995</v>
      </c>
      <c r="BZ137" vm="9708">
        <f ca="1"/>
        <v>607.35</v>
      </c>
      <c r="CA137" vm="9709">
        <f ca="1"/>
        <v>618.75</v>
      </c>
      <c r="CB137" vm="9710">
        <f ca="1"/>
        <v>613.75</v>
      </c>
      <c r="CC137" vm="9711">
        <f ca="1"/>
        <v>615.79999999999995</v>
      </c>
      <c r="CD137" vm="9712">
        <f ca="1"/>
        <v>620.5</v>
      </c>
      <c r="CE137" vm="9713">
        <f ca="1"/>
        <v>620.20000000000005</v>
      </c>
      <c r="CF137" vm="8594">
        <f ca="1"/>
        <v>613.9</v>
      </c>
      <c r="CG137" vm="9714">
        <f ca="1"/>
        <v>610.95000000000005</v>
      </c>
      <c r="CH137" vm="9715">
        <f ca="1"/>
        <v>605.1</v>
      </c>
      <c r="CI137" vm="9716">
        <f ca="1"/>
        <v>602.4</v>
      </c>
      <c r="CJ137" vm="9717">
        <f ca="1"/>
        <v>607.15</v>
      </c>
      <c r="CK137" vm="9718">
        <f ca="1"/>
        <v>605.54999999999995</v>
      </c>
      <c r="CL137" vm="9719">
        <f ca="1"/>
        <v>601</v>
      </c>
      <c r="CM137" vm="9720">
        <f ca="1"/>
        <v>611.20000000000005</v>
      </c>
      <c r="CN137" vm="9721">
        <f ca="1"/>
        <v>609</v>
      </c>
      <c r="CO137" vm="9722">
        <f ca="1"/>
        <v>611.15</v>
      </c>
      <c r="CP137" vm="9723">
        <f ca="1"/>
        <v>610.25</v>
      </c>
      <c r="CQ137" vm="9724">
        <f ca="1"/>
        <v>614.9</v>
      </c>
      <c r="CR137" vm="9725">
        <f ca="1"/>
        <v>627.25</v>
      </c>
      <c r="CS137" vm="9726">
        <f ca="1"/>
        <v>634.85</v>
      </c>
      <c r="CT137" vm="9727">
        <f ca="1"/>
        <v>620.79999999999995</v>
      </c>
      <c r="CU137" vm="9728">
        <f ca="1"/>
        <v>625.9</v>
      </c>
      <c r="CV137" vm="9729">
        <f ca="1"/>
        <v>624.6</v>
      </c>
      <c r="CW137" vm="9730">
        <f ca="1"/>
        <v>634.25</v>
      </c>
      <c r="CX137" vm="5243">
        <f ca="1"/>
        <v>640.65</v>
      </c>
      <c r="CY137" vm="9731">
        <f ca="1"/>
        <v>638.5</v>
      </c>
      <c r="CZ137" vm="9732">
        <f ca="1"/>
        <v>627.04999999999995</v>
      </c>
      <c r="DA137" vm="9733">
        <f ca="1"/>
        <v>620.45000000000005</v>
      </c>
      <c r="DB137" vm="9734">
        <f ca="1"/>
        <v>618.70000000000005</v>
      </c>
      <c r="DC137" vm="9735">
        <f ca="1"/>
        <v>619.79999999999995</v>
      </c>
      <c r="DD137" vm="9736">
        <f ca="1"/>
        <v>620.15</v>
      </c>
      <c r="DE137" vm="9737">
        <f ca="1"/>
        <v>614.1</v>
      </c>
      <c r="DF137" vm="9738">
        <f ca="1"/>
        <v>630.20000000000005</v>
      </c>
      <c r="DG137" vm="9733">
        <f ca="1"/>
        <v>620.45000000000005</v>
      </c>
      <c r="DH137" vm="9739">
        <f ca="1"/>
        <v>613.6</v>
      </c>
      <c r="DI137" vm="9740">
        <f ca="1"/>
        <v>619.6</v>
      </c>
      <c r="DJ137" vm="9741">
        <f ca="1"/>
        <v>622.45000000000005</v>
      </c>
      <c r="DK137" vm="9742">
        <f ca="1"/>
        <v>617.35</v>
      </c>
      <c r="DL137" vm="9743">
        <f ca="1"/>
        <v>630.54999999999995</v>
      </c>
      <c r="DM137" vm="7560">
        <f ca="1"/>
        <v>634</v>
      </c>
      <c r="DN137" vm="2857">
        <f ca="1"/>
        <v>636.95000000000005</v>
      </c>
      <c r="DO137" vm="9744">
        <f ca="1"/>
        <v>667.1</v>
      </c>
      <c r="DP137" vm="5299">
        <f ca="1"/>
        <v>666.2</v>
      </c>
      <c r="DQ137" vm="9745">
        <f ca="1"/>
        <v>655.7</v>
      </c>
      <c r="DR137" vm="9746">
        <f ca="1"/>
        <v>668.5</v>
      </c>
      <c r="DS137" vm="9747">
        <f ca="1"/>
        <v>668.8</v>
      </c>
      <c r="DT137" vm="9748">
        <f ca="1"/>
        <v>663.2</v>
      </c>
      <c r="DU137" vm="9749">
        <f ca="1"/>
        <v>647.35</v>
      </c>
      <c r="DV137" vm="8615">
        <f ca="1"/>
        <v>637.85</v>
      </c>
      <c r="DW137" vm="9750">
        <f ca="1"/>
        <v>626.54999999999995</v>
      </c>
      <c r="DX137" vm="9751">
        <f ca="1"/>
        <v>641.04999999999995</v>
      </c>
      <c r="DY137" vm="9686">
        <f ca="1"/>
        <v>628.5</v>
      </c>
      <c r="DZ137" vm="9752">
        <f ca="1"/>
        <v>628.65</v>
      </c>
      <c r="EA137" vm="5188">
        <f ca="1"/>
        <v>627.70000000000005</v>
      </c>
      <c r="EB137" vm="9753">
        <f ca="1"/>
        <v>636.45000000000005</v>
      </c>
      <c r="EC137" vm="9754">
        <f ca="1"/>
        <v>647.5</v>
      </c>
      <c r="ED137" vm="9755">
        <f ca="1"/>
        <v>646.04999999999995</v>
      </c>
      <c r="EE137" vm="9756">
        <f ca="1"/>
        <v>645</v>
      </c>
      <c r="EF137" vm="9757">
        <f ca="1"/>
        <v>642.54999999999995</v>
      </c>
      <c r="EG137" vm="9758">
        <f ca="1"/>
        <v>649.35</v>
      </c>
      <c r="EH137" vm="9759">
        <f ca="1"/>
        <v>651.04999999999995</v>
      </c>
      <c r="EI137" vm="5247">
        <f ca="1"/>
        <v>653.54999999999995</v>
      </c>
      <c r="EJ137" vm="9760">
        <f ca="1"/>
        <v>653.25</v>
      </c>
      <c r="EK137" vm="9761">
        <f ca="1"/>
        <v>671.55</v>
      </c>
      <c r="EL137" vm="9762">
        <f ca="1"/>
        <v>680.4</v>
      </c>
      <c r="EM137" vm="5281">
        <f ca="1"/>
        <v>681.55</v>
      </c>
      <c r="EN137" vm="9763">
        <f ca="1"/>
        <v>674.3</v>
      </c>
      <c r="EO137" vm="9764">
        <f ca="1"/>
        <v>681.7</v>
      </c>
      <c r="EP137" vm="9765">
        <f ca="1"/>
        <v>681.2</v>
      </c>
      <c r="EQ137" vm="9766">
        <f ca="1"/>
        <v>679.95</v>
      </c>
      <c r="ER137" vm="9767">
        <f ca="1"/>
        <v>673.7</v>
      </c>
      <c r="ES137" vm="9768">
        <f ca="1"/>
        <v>697.5</v>
      </c>
      <c r="ET137" vm="9769">
        <f ca="1"/>
        <v>712.35</v>
      </c>
      <c r="EU137" vm="9770">
        <f ca="1"/>
        <v>706.4</v>
      </c>
      <c r="EV137" vm="9771">
        <f ca="1"/>
        <v>705.45</v>
      </c>
      <c r="EW137" vm="9772">
        <f ca="1"/>
        <v>705.6</v>
      </c>
      <c r="EX137" vm="5319">
        <f ca="1"/>
        <v>708.95</v>
      </c>
      <c r="EY137" vm="9773">
        <f ca="1"/>
        <v>722.45</v>
      </c>
      <c r="EZ137" vm="9774">
        <f ca="1"/>
        <v>721.95</v>
      </c>
      <c r="FA137" vm="9775">
        <f ca="1"/>
        <v>714.55</v>
      </c>
      <c r="FB137" vm="9776">
        <f ca="1"/>
        <v>720.8</v>
      </c>
      <c r="FC137" vm="9777">
        <f ca="1"/>
        <v>715.4</v>
      </c>
      <c r="FD137" vm="9778">
        <f ca="1"/>
        <v>720.3</v>
      </c>
      <c r="FE137" vm="9779">
        <f ca="1"/>
        <v>719.75</v>
      </c>
      <c r="FF137" vm="9780">
        <f ca="1"/>
        <v>732.4</v>
      </c>
      <c r="FG137" vm="9781">
        <f ca="1"/>
        <v>730.8</v>
      </c>
      <c r="FH137" vm="9782">
        <f ca="1"/>
        <v>728.95</v>
      </c>
      <c r="FI137" vm="9783">
        <f ca="1"/>
        <v>705.25</v>
      </c>
      <c r="FJ137" vm="9784">
        <f ca="1"/>
        <v>708.85</v>
      </c>
      <c r="FK137" vm="9785">
        <f ca="1"/>
        <v>724.7</v>
      </c>
      <c r="FL137" vm="9786">
        <f ca="1"/>
        <v>719.55</v>
      </c>
      <c r="FM137" vm="9787">
        <f ca="1"/>
        <v>740.9</v>
      </c>
      <c r="FN137" vm="9788">
        <f ca="1"/>
        <v>753.9</v>
      </c>
      <c r="FO137" vm="9789">
        <f ca="1"/>
        <v>779.95</v>
      </c>
      <c r="FP137" vm="9790">
        <f ca="1"/>
        <v>790.6</v>
      </c>
      <c r="FQ137" vm="9791">
        <f ca="1"/>
        <v>784.4</v>
      </c>
      <c r="FR137" vm="9792">
        <f ca="1"/>
        <v>781.45</v>
      </c>
      <c r="FS137" vm="9793">
        <f ca="1"/>
        <v>795.75</v>
      </c>
      <c r="FT137" vm="9794">
        <f ca="1"/>
        <v>790.95</v>
      </c>
      <c r="FU137" vm="9795">
        <f ca="1"/>
        <v>789.1</v>
      </c>
      <c r="FV137" vm="9796">
        <f ca="1"/>
        <v>799.8</v>
      </c>
      <c r="FW137" vm="9797">
        <f ca="1"/>
        <v>808.45</v>
      </c>
      <c r="FX137" vm="9798">
        <f ca="1"/>
        <v>815.65</v>
      </c>
      <c r="FY137" vm="9799">
        <f ca="1"/>
        <v>816.45</v>
      </c>
      <c r="FZ137" vm="8030">
        <f ca="1"/>
        <v>812.45</v>
      </c>
      <c r="GA137" vm="3469">
        <f ca="1"/>
        <v>818.85</v>
      </c>
      <c r="GB137" vm="9800">
        <f ca="1"/>
        <v>805.55</v>
      </c>
      <c r="GC137" vm="2878">
        <f ca="1"/>
        <v>819.05</v>
      </c>
      <c r="GD137" vm="9801">
        <f ca="1"/>
        <v>823.55</v>
      </c>
      <c r="GE137" vm="3181">
        <f ca="1"/>
        <v>818.9</v>
      </c>
      <c r="GF137" vm="9802">
        <f ca="1"/>
        <v>800.45</v>
      </c>
      <c r="GG137" vm="9803">
        <f ca="1"/>
        <v>810.9</v>
      </c>
      <c r="GH137" vm="9804">
        <f ca="1"/>
        <v>811.85</v>
      </c>
      <c r="GI137" vm="9805">
        <f ca="1"/>
        <v>841</v>
      </c>
      <c r="GJ137" vm="9237">
        <f ca="1"/>
        <v>858.85</v>
      </c>
      <c r="GK137" vm="9806">
        <f ca="1"/>
        <v>884.2</v>
      </c>
      <c r="GL137" vm="3269">
        <f ca="1"/>
        <v>878.5</v>
      </c>
      <c r="GM137" vm="7990">
        <f ca="1"/>
        <v>878.75</v>
      </c>
      <c r="GN137" vm="9807">
        <f ca="1"/>
        <v>926.8</v>
      </c>
      <c r="GO137" vm="9808">
        <f ca="1"/>
        <v>939.55</v>
      </c>
      <c r="GP137" vm="8989">
        <f ca="1"/>
        <v>933.8</v>
      </c>
      <c r="GQ137" vm="7913">
        <f ca="1"/>
        <v>924.3</v>
      </c>
      <c r="GR137" vm="3342">
        <f ca="1"/>
        <v>915</v>
      </c>
      <c r="GS137" vm="3347">
        <f ca="1"/>
        <v>911.6</v>
      </c>
      <c r="GT137" vm="8919">
        <f ca="1"/>
        <v>906.9</v>
      </c>
      <c r="GU137" vm="9809">
        <f ca="1"/>
        <v>918.3</v>
      </c>
      <c r="GV137" vm="8918">
        <f ca="1"/>
        <v>920.55</v>
      </c>
      <c r="GW137" vm="149">
        <f ca="1"/>
        <v>938.6</v>
      </c>
      <c r="GX137" vm="9810">
        <f ca="1"/>
        <v>932.6</v>
      </c>
      <c r="GY137" vm="9811">
        <f ca="1"/>
        <v>926.35</v>
      </c>
      <c r="GZ137" vm="9812">
        <f ca="1"/>
        <v>921.05</v>
      </c>
      <c r="HA137" vm="9813">
        <f ca="1"/>
        <v>932.3</v>
      </c>
      <c r="HB137" vm="2979">
        <f ca="1"/>
        <v>937.4</v>
      </c>
      <c r="HC137" vm="9814">
        <f ca="1"/>
        <v>936.95</v>
      </c>
      <c r="HD137" vm="9815">
        <f ca="1"/>
        <v>962.7</v>
      </c>
      <c r="HE137" vm="9816">
        <f ca="1"/>
        <v>958.05</v>
      </c>
      <c r="HF137" vm="9817">
        <f ca="1"/>
        <v>950.2</v>
      </c>
      <c r="HG137" vm="9818">
        <f ca="1"/>
        <v>977.4</v>
      </c>
      <c r="HH137" vm="9819">
        <f ca="1"/>
        <v>988.35</v>
      </c>
      <c r="HI137" vm="9015">
        <f ca="1"/>
        <v>987.2</v>
      </c>
      <c r="HJ137" vm="9820">
        <f ca="1"/>
        <v>1021.9</v>
      </c>
      <c r="HK137" vm="9821">
        <f ca="1"/>
        <v>1017.65</v>
      </c>
      <c r="HL137" vm="9822">
        <f ca="1"/>
        <v>1039.3</v>
      </c>
      <c r="HM137" vm="9823">
        <f ca="1"/>
        <v>1028</v>
      </c>
      <c r="HN137" vm="9824">
        <f ca="1"/>
        <v>1016.5</v>
      </c>
      <c r="HO137" vm="9825">
        <f ca="1"/>
        <v>973.2</v>
      </c>
      <c r="HP137" vm="8975">
        <f ca="1"/>
        <v>967.75</v>
      </c>
      <c r="HQ137" vm="9826">
        <f ca="1"/>
        <v>945.85</v>
      </c>
      <c r="HR137" vm="9827">
        <f ca="1"/>
        <v>972.45</v>
      </c>
      <c r="HS137" vm="9828">
        <f ca="1"/>
        <v>957.75</v>
      </c>
      <c r="HT137" vm="9829">
        <f ca="1"/>
        <v>940.45</v>
      </c>
      <c r="HU137" vm="9830">
        <f ca="1"/>
        <v>964.9</v>
      </c>
      <c r="HV137" vm="9831">
        <f ca="1"/>
        <v>979.8</v>
      </c>
      <c r="HW137" vm="9832">
        <f ca="1"/>
        <v>986.2</v>
      </c>
      <c r="HX137" vm="9833">
        <f ca="1"/>
        <v>978.65</v>
      </c>
      <c r="HY137" vm="9330">
        <f ca="1"/>
        <v>992.8</v>
      </c>
      <c r="HZ137" vm="9043">
        <f ca="1"/>
        <v>992.25</v>
      </c>
      <c r="IA137" vm="9064">
        <f ca="1"/>
        <v>1004.65</v>
      </c>
      <c r="IB137" vm="9834">
        <f ca="1"/>
        <v>1009.15</v>
      </c>
      <c r="IC137" vm="9835">
        <f ca="1"/>
        <v>1011.6</v>
      </c>
      <c r="ID137" vm="8972">
        <f ca="1"/>
        <v>1007.1</v>
      </c>
      <c r="IE137" vm="9836">
        <f ca="1"/>
        <v>1013.2</v>
      </c>
      <c r="IF137" vm="9837">
        <f ca="1"/>
        <v>1008.5</v>
      </c>
      <c r="IG137" vm="9838">
        <f ca="1"/>
        <v>1013.5</v>
      </c>
      <c r="IH137" vm="9839">
        <f ca="1"/>
        <v>1018.5</v>
      </c>
      <c r="II137" vm="8326">
        <f ca="1"/>
        <v>998.8</v>
      </c>
      <c r="IJ137" vm="9330">
        <f ca="1"/>
        <v>992.8</v>
      </c>
      <c r="IK137" vm="9840">
        <f ca="1"/>
        <v>971.35</v>
      </c>
      <c r="IL137" vm="9841">
        <f ca="1"/>
        <v>963.2</v>
      </c>
      <c r="IM137" vm="9842">
        <f ca="1"/>
        <v>973.55</v>
      </c>
      <c r="IN137" vm="9843">
        <f ca="1"/>
        <v>986.75</v>
      </c>
      <c r="IO137" vm="1386">
        <f ca="1"/>
        <v>991.65</v>
      </c>
      <c r="IP137" vm="9844">
        <f ca="1"/>
        <v>1001.25</v>
      </c>
      <c r="IQ137" vm="9845">
        <f ca="1"/>
        <v>999.5</v>
      </c>
      <c r="IR137" vm="8829">
        <f ca="1"/>
        <v>1000.6</v>
      </c>
    </row>
    <row r="138" spans="4:252" x14ac:dyDescent="0.35">
      <c r="D138" t="e" vm="45">
        <v>#VALUE!</v>
      </c>
      <c r="E138" cm="1" vm="9846">
        <f t="array" aca="1" ref="E138:IR138" ca="1">TRANSPOSE((_xlfn.STOCKHISTORY('Portfolio Tracker '!$C52,TODAY()-365,TODAY(),0,0,1)))</f>
        <v>201.75</v>
      </c>
      <c r="F138" vm="9847">
        <f ca="1"/>
        <v>203.8</v>
      </c>
      <c r="G138" vm="4688">
        <f ca="1"/>
        <v>203.85</v>
      </c>
      <c r="H138" vm="9848">
        <f ca="1"/>
        <v>200.15</v>
      </c>
      <c r="I138" vm="636">
        <f ca="1"/>
        <v>202.7</v>
      </c>
      <c r="J138" vm="9849">
        <f ca="1"/>
        <v>203.3</v>
      </c>
      <c r="K138" vm="4757">
        <f ca="1"/>
        <v>204.15</v>
      </c>
      <c r="L138" vm="9850">
        <f ca="1"/>
        <v>206.3</v>
      </c>
      <c r="M138" vm="9851">
        <f ca="1"/>
        <v>207.05</v>
      </c>
      <c r="N138" vm="9852">
        <f ca="1"/>
        <v>208.15</v>
      </c>
      <c r="O138" vm="9853">
        <f ca="1"/>
        <v>211.35</v>
      </c>
      <c r="P138" vm="9854">
        <f ca="1"/>
        <v>207.75</v>
      </c>
      <c r="Q138" vm="9855">
        <f ca="1"/>
        <v>204.6</v>
      </c>
      <c r="R138" vm="9856">
        <f ca="1"/>
        <v>205.85</v>
      </c>
      <c r="S138" vm="9857">
        <f ca="1"/>
        <v>206.2</v>
      </c>
      <c r="T138" vm="9858">
        <f ca="1"/>
        <v>206.9</v>
      </c>
      <c r="U138" vm="9859">
        <f ca="1"/>
        <v>207.15</v>
      </c>
      <c r="V138" vm="4728">
        <f ca="1"/>
        <v>210.8</v>
      </c>
      <c r="W138" vm="9860">
        <f ca="1"/>
        <v>212.2</v>
      </c>
      <c r="X138" vm="4714">
        <f ca="1"/>
        <v>217</v>
      </c>
      <c r="Y138" vm="9861">
        <f ca="1"/>
        <v>216.9</v>
      </c>
      <c r="Z138" vm="9862">
        <f ca="1"/>
        <v>213.55</v>
      </c>
      <c r="AA138" vm="9863">
        <f ca="1"/>
        <v>215.3</v>
      </c>
      <c r="AB138" vm="4681">
        <f ca="1"/>
        <v>215.65</v>
      </c>
      <c r="AC138" vm="5621">
        <f ca="1"/>
        <v>219.05</v>
      </c>
      <c r="AD138" vm="9864">
        <f ca="1"/>
        <v>216.75</v>
      </c>
      <c r="AE138" vm="4712">
        <f ca="1"/>
        <v>218.45</v>
      </c>
      <c r="AF138" vm="9865">
        <f ca="1"/>
        <v>220.65</v>
      </c>
      <c r="AG138" vm="7718">
        <f ca="1"/>
        <v>221.2</v>
      </c>
      <c r="AH138" vm="5612">
        <f ca="1"/>
        <v>220.95</v>
      </c>
      <c r="AI138" vm="4707">
        <f ca="1"/>
        <v>221.8</v>
      </c>
      <c r="AJ138" vm="5627">
        <f ca="1"/>
        <v>224.15</v>
      </c>
      <c r="AK138" vm="9866">
        <f ca="1"/>
        <v>220.6</v>
      </c>
      <c r="AL138" vm="9867">
        <f ca="1"/>
        <v>222.25</v>
      </c>
      <c r="AM138" vm="9868">
        <f ca="1"/>
        <v>223.15</v>
      </c>
      <c r="AN138" vm="9869">
        <f ca="1"/>
        <v>224.95</v>
      </c>
      <c r="AO138" vm="4694">
        <f ca="1"/>
        <v>224.3</v>
      </c>
      <c r="AP138" vm="9870">
        <f ca="1"/>
        <v>221.1</v>
      </c>
      <c r="AQ138" vm="9871">
        <f ca="1"/>
        <v>218.3</v>
      </c>
      <c r="AR138" vm="7728">
        <f ca="1"/>
        <v>218.6</v>
      </c>
      <c r="AS138" vm="9872">
        <f ca="1"/>
        <v>219.25</v>
      </c>
      <c r="AT138" vm="9873">
        <f ca="1"/>
        <v>218.05</v>
      </c>
      <c r="AU138" vm="9874">
        <f ca="1"/>
        <v>221.85</v>
      </c>
      <c r="AV138" vm="5632">
        <f ca="1"/>
        <v>221.9</v>
      </c>
      <c r="AW138" vm="9865">
        <f ca="1"/>
        <v>220.65</v>
      </c>
      <c r="AX138" vm="9875">
        <f ca="1"/>
        <v>221.7</v>
      </c>
      <c r="AY138" vm="9876">
        <f ca="1"/>
        <v>229.6</v>
      </c>
      <c r="AZ138" vm="7719">
        <f ca="1"/>
        <v>228</v>
      </c>
      <c r="BA138" vm="9877">
        <f ca="1"/>
        <v>225</v>
      </c>
      <c r="BB138" vm="5638">
        <f ca="1"/>
        <v>225.5</v>
      </c>
      <c r="BC138" vm="9878">
        <f ca="1"/>
        <v>226.3</v>
      </c>
      <c r="BD138" vm="9874">
        <f ca="1"/>
        <v>221.85</v>
      </c>
      <c r="BE138" vm="9879">
        <f ca="1"/>
        <v>221.05</v>
      </c>
      <c r="BF138" vm="9880">
        <f ca="1"/>
        <v>223.5</v>
      </c>
      <c r="BG138" vm="9881">
        <f ca="1"/>
        <v>221.5</v>
      </c>
      <c r="BH138" vm="9882">
        <f ca="1"/>
        <v>219.5</v>
      </c>
      <c r="BI138" vm="9883">
        <f ca="1"/>
        <v>218.15</v>
      </c>
      <c r="BJ138" vm="9884">
        <f ca="1"/>
        <v>217.4</v>
      </c>
      <c r="BK138" vm="5620">
        <f ca="1"/>
        <v>217.35</v>
      </c>
      <c r="BL138" vm="9885">
        <f ca="1"/>
        <v>219.45</v>
      </c>
      <c r="BM138" vm="9881">
        <f ca="1"/>
        <v>221.5</v>
      </c>
      <c r="BN138" vm="4761">
        <f ca="1"/>
        <v>220.9</v>
      </c>
      <c r="BO138" vm="9886">
        <f ca="1"/>
        <v>234.65</v>
      </c>
      <c r="BP138" vm="9887">
        <f ca="1"/>
        <v>236.7</v>
      </c>
      <c r="BQ138" vm="4699">
        <f ca="1"/>
        <v>244.4</v>
      </c>
      <c r="BR138" vm="9888">
        <f ca="1"/>
        <v>235.75</v>
      </c>
      <c r="BS138" vm="9889">
        <f ca="1"/>
        <v>235.45</v>
      </c>
      <c r="BT138" vm="9890">
        <f ca="1"/>
        <v>235.65</v>
      </c>
      <c r="BU138" vm="4698">
        <f ca="1"/>
        <v>232.8</v>
      </c>
      <c r="BV138" vm="9891">
        <f ca="1"/>
        <v>233.9</v>
      </c>
      <c r="BW138" vm="9892">
        <f ca="1"/>
        <v>234.9</v>
      </c>
      <c r="BX138" vm="9893">
        <f ca="1"/>
        <v>237.15</v>
      </c>
      <c r="BY138" vm="9894">
        <f ca="1"/>
        <v>236.2</v>
      </c>
      <c r="BZ138" vm="9895">
        <f ca="1"/>
        <v>231.15</v>
      </c>
      <c r="CA138" vm="9896">
        <f ca="1"/>
        <v>234.95</v>
      </c>
      <c r="CB138" vm="9897">
        <f ca="1"/>
        <v>232.5</v>
      </c>
      <c r="CC138" vm="5639">
        <f ca="1"/>
        <v>230.1</v>
      </c>
      <c r="CD138" vm="9898">
        <f ca="1"/>
        <v>239.35</v>
      </c>
      <c r="CE138" vm="9899">
        <f ca="1"/>
        <v>243.5</v>
      </c>
      <c r="CF138" vm="5643">
        <f ca="1"/>
        <v>245.6</v>
      </c>
      <c r="CG138" vm="9900">
        <f ca="1"/>
        <v>249.75</v>
      </c>
      <c r="CH138" vm="5643">
        <f ca="1"/>
        <v>245.6</v>
      </c>
      <c r="CI138" vm="9901">
        <f ca="1"/>
        <v>244.95</v>
      </c>
      <c r="CJ138" vm="9902">
        <f ca="1"/>
        <v>246.9</v>
      </c>
      <c r="CK138" vm="9903">
        <f ca="1"/>
        <v>247.35</v>
      </c>
      <c r="CL138" vm="9904">
        <f ca="1"/>
        <v>245.1</v>
      </c>
      <c r="CM138" vm="9905">
        <f ca="1"/>
        <v>255.35</v>
      </c>
      <c r="CN138" vm="9906">
        <f ca="1"/>
        <v>259.14999999999998</v>
      </c>
      <c r="CO138" vm="9907">
        <f ca="1"/>
        <v>258.45</v>
      </c>
      <c r="CP138" vm="9908">
        <f ca="1"/>
        <v>257.5</v>
      </c>
      <c r="CQ138" vm="9909">
        <f ca="1"/>
        <v>263.7</v>
      </c>
      <c r="CR138" vm="9910">
        <f ca="1"/>
        <v>268.85000000000002</v>
      </c>
      <c r="CS138" vm="5684">
        <f ca="1"/>
        <v>271.89999999999998</v>
      </c>
      <c r="CT138" vm="9911">
        <f ca="1"/>
        <v>262.7</v>
      </c>
      <c r="CU138" vm="9912">
        <f ca="1"/>
        <v>265</v>
      </c>
      <c r="CV138" vm="9913">
        <f ca="1"/>
        <v>265.10000000000002</v>
      </c>
      <c r="CW138" vm="9914">
        <f ca="1"/>
        <v>263.95</v>
      </c>
      <c r="CX138" vm="9915">
        <f ca="1"/>
        <v>265.55</v>
      </c>
      <c r="CY138" vm="9916">
        <f ca="1"/>
        <v>262</v>
      </c>
      <c r="CZ138" vm="9917">
        <f ca="1"/>
        <v>256.64999999999998</v>
      </c>
      <c r="DA138" vm="9918">
        <f ca="1"/>
        <v>257.10000000000002</v>
      </c>
      <c r="DB138" vm="9919">
        <f ca="1"/>
        <v>256.89999999999998</v>
      </c>
      <c r="DC138" vm="9920">
        <f ca="1"/>
        <v>259.85000000000002</v>
      </c>
      <c r="DD138" vm="9921">
        <f ca="1"/>
        <v>259.75</v>
      </c>
      <c r="DE138" vm="9922">
        <f ca="1"/>
        <v>258.05</v>
      </c>
      <c r="DF138" vm="9923">
        <f ca="1"/>
        <v>262.3</v>
      </c>
      <c r="DG138" vm="9914">
        <f ca="1"/>
        <v>263.95</v>
      </c>
      <c r="DH138" vm="9917">
        <f ca="1"/>
        <v>256.64999999999998</v>
      </c>
      <c r="DI138" vm="9924">
        <f ca="1"/>
        <v>257.8</v>
      </c>
      <c r="DJ138" vm="9925">
        <f ca="1"/>
        <v>258.75</v>
      </c>
      <c r="DK138" vm="9926">
        <f ca="1"/>
        <v>250</v>
      </c>
      <c r="DL138" vm="9927">
        <f ca="1"/>
        <v>253.9</v>
      </c>
      <c r="DM138" vm="7745">
        <f ca="1"/>
        <v>253.95</v>
      </c>
      <c r="DN138" vm="9928">
        <f ca="1"/>
        <v>255.15</v>
      </c>
      <c r="DO138" vm="7746">
        <f ca="1"/>
        <v>254.1</v>
      </c>
      <c r="DP138" vm="9929">
        <f ca="1"/>
        <v>254.8</v>
      </c>
      <c r="DQ138" vm="9919">
        <f ca="1"/>
        <v>256.89999999999998</v>
      </c>
      <c r="DR138" vm="9930">
        <f ca="1"/>
        <v>253.05</v>
      </c>
      <c r="DS138" vm="9931">
        <f ca="1"/>
        <v>252</v>
      </c>
      <c r="DT138" vm="9932">
        <f ca="1"/>
        <v>247.4</v>
      </c>
      <c r="DU138" vm="9933">
        <f ca="1"/>
        <v>238.25</v>
      </c>
      <c r="DV138" vm="9887">
        <f ca="1"/>
        <v>236.7</v>
      </c>
      <c r="DW138" vm="4771">
        <f ca="1"/>
        <v>234.4</v>
      </c>
      <c r="DX138" vm="9934">
        <f ca="1"/>
        <v>238.15</v>
      </c>
      <c r="DY138" vm="9935">
        <f ca="1"/>
        <v>239.1</v>
      </c>
      <c r="DZ138" vm="9898">
        <f ca="1"/>
        <v>239.35</v>
      </c>
      <c r="EA138" vm="9936">
        <f ca="1"/>
        <v>236.9</v>
      </c>
      <c r="EB138" vm="9937">
        <f ca="1"/>
        <v>244.8</v>
      </c>
      <c r="EC138" vm="9938">
        <f ca="1"/>
        <v>244.6</v>
      </c>
      <c r="ED138" vm="3573">
        <f ca="1"/>
        <v>249.55</v>
      </c>
      <c r="EE138" vm="9939">
        <f ca="1"/>
        <v>249.8</v>
      </c>
      <c r="EF138" vm="9940">
        <f ca="1"/>
        <v>254.95</v>
      </c>
      <c r="EG138" vm="7748">
        <f ca="1"/>
        <v>248</v>
      </c>
      <c r="EH138" vm="9941">
        <f ca="1"/>
        <v>251.4</v>
      </c>
      <c r="EI138" vm="9942">
        <f ca="1"/>
        <v>253.15</v>
      </c>
      <c r="EJ138" vm="9943">
        <f ca="1"/>
        <v>257.05</v>
      </c>
      <c r="EK138" vm="9944">
        <f ca="1"/>
        <v>259.2</v>
      </c>
      <c r="EL138" vm="9945">
        <f ca="1"/>
        <v>262.45</v>
      </c>
      <c r="EM138" vm="9946">
        <f ca="1"/>
        <v>262.64999999999998</v>
      </c>
      <c r="EN138" vm="9947">
        <f ca="1"/>
        <v>260.85000000000002</v>
      </c>
      <c r="EO138" vm="9946">
        <f ca="1"/>
        <v>262.64999999999998</v>
      </c>
      <c r="EP138" vm="9948">
        <f ca="1"/>
        <v>262.10000000000002</v>
      </c>
      <c r="EQ138" vm="9949">
        <f ca="1"/>
        <v>260.75</v>
      </c>
      <c r="ER138" vm="9950">
        <f ca="1"/>
        <v>258.14999999999998</v>
      </c>
      <c r="ES138" vm="9951">
        <f ca="1"/>
        <v>270.8</v>
      </c>
      <c r="ET138" vm="9952">
        <f ca="1"/>
        <v>273.39999999999998</v>
      </c>
      <c r="EU138" vm="9953">
        <f ca="1"/>
        <v>267.89999999999998</v>
      </c>
      <c r="EV138" vm="9954">
        <f ca="1"/>
        <v>276</v>
      </c>
      <c r="EW138" vm="7751">
        <f ca="1"/>
        <v>281.55</v>
      </c>
      <c r="EX138" vm="9955">
        <f ca="1"/>
        <v>281.5</v>
      </c>
      <c r="EY138" vm="9956">
        <f ca="1"/>
        <v>294.14999999999998</v>
      </c>
      <c r="EZ138" vm="9957">
        <f ca="1"/>
        <v>325.8</v>
      </c>
      <c r="FA138" vm="9958">
        <f ca="1"/>
        <v>323.55</v>
      </c>
      <c r="FB138" vm="9959">
        <f ca="1"/>
        <v>333.65</v>
      </c>
      <c r="FC138" vm="9960">
        <f ca="1"/>
        <v>330.8</v>
      </c>
      <c r="FD138" vm="9961">
        <f ca="1"/>
        <v>338.15</v>
      </c>
      <c r="FE138" vm="9962">
        <f ca="1"/>
        <v>335.4</v>
      </c>
      <c r="FF138" vm="9963">
        <f ca="1"/>
        <v>333.2</v>
      </c>
      <c r="FG138" vm="9964">
        <f ca="1"/>
        <v>337.05</v>
      </c>
      <c r="FH138" vm="9965">
        <f ca="1"/>
        <v>335.9</v>
      </c>
      <c r="FI138" vm="9966">
        <f ca="1"/>
        <v>320.14999999999998</v>
      </c>
      <c r="FJ138" vm="9967">
        <f ca="1"/>
        <v>328.55</v>
      </c>
      <c r="FK138" vm="9968">
        <f ca="1"/>
        <v>326.64999999999998</v>
      </c>
      <c r="FL138" vm="9969">
        <f ca="1"/>
        <v>325.39999999999998</v>
      </c>
      <c r="FM138" vm="3607">
        <f ca="1"/>
        <v>324.85000000000002</v>
      </c>
      <c r="FN138" vm="9970">
        <f ca="1"/>
        <v>329.8</v>
      </c>
      <c r="FO138" vm="9971">
        <f ca="1"/>
        <v>332.15</v>
      </c>
      <c r="FP138" vm="9972">
        <f ca="1"/>
        <v>330.3</v>
      </c>
      <c r="FQ138" vm="9973">
        <f ca="1"/>
        <v>329.85</v>
      </c>
      <c r="FR138" vm="9974">
        <f ca="1"/>
        <v>326.7</v>
      </c>
      <c r="FS138" vm="9975">
        <f ca="1"/>
        <v>337.85</v>
      </c>
      <c r="FT138" vm="9976">
        <f ca="1"/>
        <v>340.75</v>
      </c>
      <c r="FU138" vm="9977">
        <f ca="1"/>
        <v>338.95</v>
      </c>
      <c r="FV138" vm="9978">
        <f ca="1"/>
        <v>340.2</v>
      </c>
      <c r="FW138" vm="9979">
        <f ca="1"/>
        <v>346.45</v>
      </c>
      <c r="FX138" vm="9980">
        <f ca="1"/>
        <v>357.3</v>
      </c>
      <c r="FY138" vm="9981">
        <f ca="1"/>
        <v>357.75</v>
      </c>
      <c r="FZ138" vm="6261">
        <f ca="1"/>
        <v>358.9</v>
      </c>
      <c r="GA138" vm="9982">
        <f ca="1"/>
        <v>353.45</v>
      </c>
      <c r="GB138" vm="9983">
        <f ca="1"/>
        <v>348.8</v>
      </c>
      <c r="GC138" vm="9984">
        <f ca="1"/>
        <v>345.55</v>
      </c>
      <c r="GD138" vm="6198">
        <f ca="1"/>
        <v>348.65</v>
      </c>
      <c r="GE138" vm="9985">
        <f ca="1"/>
        <v>345.85</v>
      </c>
      <c r="GF138" vm="9986">
        <f ca="1"/>
        <v>346.2</v>
      </c>
      <c r="GG138" vm="5712">
        <f ca="1"/>
        <v>356.95</v>
      </c>
      <c r="GH138" vm="9987">
        <f ca="1"/>
        <v>365.1</v>
      </c>
      <c r="GI138" vm="9988">
        <f ca="1"/>
        <v>381.9</v>
      </c>
      <c r="GJ138" vm="9989">
        <f ca="1"/>
        <v>383.25</v>
      </c>
      <c r="GK138" vm="9990">
        <f ca="1"/>
        <v>389.75</v>
      </c>
      <c r="GL138" vm="9991">
        <f ca="1"/>
        <v>388.85</v>
      </c>
      <c r="GM138" vm="7801">
        <f ca="1"/>
        <v>389.8</v>
      </c>
      <c r="GN138" vm="9992">
        <f ca="1"/>
        <v>394</v>
      </c>
      <c r="GO138" vm="9993">
        <f ca="1"/>
        <v>392.95</v>
      </c>
      <c r="GP138" vm="9994">
        <f ca="1"/>
        <v>395.15</v>
      </c>
      <c r="GQ138" vm="6230">
        <f ca="1"/>
        <v>407.4</v>
      </c>
      <c r="GR138" vm="9995">
        <f ca="1"/>
        <v>392.1</v>
      </c>
      <c r="GS138" vm="9996">
        <f ca="1"/>
        <v>361.7</v>
      </c>
      <c r="GT138" vm="9997">
        <f ca="1"/>
        <v>365.05</v>
      </c>
      <c r="GU138" vm="6274">
        <f ca="1"/>
        <v>373.7</v>
      </c>
      <c r="GV138" vm="9998">
        <f ca="1"/>
        <v>378.85</v>
      </c>
      <c r="GW138" vm="9999">
        <f ca="1"/>
        <v>376.3</v>
      </c>
      <c r="GX138" vm="5727">
        <f ca="1"/>
        <v>380.5</v>
      </c>
      <c r="GY138" vm="10000">
        <f ca="1"/>
        <v>378.95</v>
      </c>
      <c r="GZ138" vm="7476">
        <f ca="1"/>
        <v>375.45</v>
      </c>
      <c r="HA138" vm="10001">
        <f ca="1"/>
        <v>377.9</v>
      </c>
      <c r="HB138" vm="5720">
        <f ca="1"/>
        <v>378.4</v>
      </c>
      <c r="HC138" vm="5720">
        <f ca="1"/>
        <v>378.4</v>
      </c>
      <c r="HD138" vm="10002">
        <f ca="1"/>
        <v>375.55</v>
      </c>
      <c r="HE138" vm="10003">
        <f ca="1"/>
        <v>365.75</v>
      </c>
      <c r="HF138" vm="10004">
        <f ca="1"/>
        <v>371.75</v>
      </c>
      <c r="HG138" vm="10005">
        <f ca="1"/>
        <v>377.4</v>
      </c>
      <c r="HH138" vm="10006">
        <f ca="1"/>
        <v>379.15</v>
      </c>
      <c r="HI138" vm="6323">
        <f ca="1"/>
        <v>391.75</v>
      </c>
      <c r="HJ138" vm="10007">
        <f ca="1"/>
        <v>396.15</v>
      </c>
      <c r="HK138" vm="10008">
        <f ca="1"/>
        <v>394.95</v>
      </c>
      <c r="HL138" vm="10009">
        <f ca="1"/>
        <v>425.25</v>
      </c>
      <c r="HM138" vm="10010">
        <f ca="1"/>
        <v>413.15</v>
      </c>
      <c r="HN138" vm="10011">
        <f ca="1"/>
        <v>396.1</v>
      </c>
      <c r="HO138" vm="4849">
        <f ca="1"/>
        <v>371.95</v>
      </c>
      <c r="HP138" vm="10012">
        <f ca="1"/>
        <v>384.45</v>
      </c>
      <c r="HQ138" vm="10013">
        <f ca="1"/>
        <v>380.75</v>
      </c>
      <c r="HR138" vm="7473">
        <f ca="1"/>
        <v>392.75</v>
      </c>
      <c r="HS138" vm="9989">
        <f ca="1"/>
        <v>383.25</v>
      </c>
      <c r="HT138" vm="10014">
        <f ca="1"/>
        <v>379.9</v>
      </c>
      <c r="HU138" vm="10015">
        <f ca="1"/>
        <v>392.15</v>
      </c>
      <c r="HV138" vm="6237">
        <f ca="1"/>
        <v>390.7</v>
      </c>
      <c r="HW138" vm="10016">
        <f ca="1"/>
        <v>390.1</v>
      </c>
      <c r="HX138" vm="10017">
        <f ca="1"/>
        <v>388.4</v>
      </c>
      <c r="HY138" vm="10018">
        <f ca="1"/>
        <v>394.2</v>
      </c>
      <c r="HZ138" vm="10019">
        <f ca="1"/>
        <v>406.95</v>
      </c>
      <c r="IA138" vm="10020">
        <f ca="1"/>
        <v>408.8</v>
      </c>
      <c r="IB138" vm="10021">
        <f ca="1"/>
        <v>412.25</v>
      </c>
      <c r="IC138" vm="10022">
        <f ca="1"/>
        <v>414.1</v>
      </c>
      <c r="ID138" vm="10023">
        <f ca="1"/>
        <v>414.6</v>
      </c>
      <c r="IE138" vm="10024">
        <f ca="1"/>
        <v>416.35</v>
      </c>
      <c r="IF138" vm="10025">
        <f ca="1"/>
        <v>429.9</v>
      </c>
      <c r="IG138" vm="10026">
        <f ca="1"/>
        <v>431.95</v>
      </c>
      <c r="IH138" vm="5391">
        <f ca="1"/>
        <v>436.95</v>
      </c>
      <c r="II138" vm="10027">
        <f ca="1"/>
        <v>431.6</v>
      </c>
      <c r="IJ138" vm="10028">
        <f ca="1"/>
        <v>430.4</v>
      </c>
      <c r="IK138" vm="10029">
        <f ca="1"/>
        <v>429.75</v>
      </c>
      <c r="IL138" vm="5480">
        <f ca="1"/>
        <v>428.1</v>
      </c>
      <c r="IM138" vm="10030">
        <f ca="1"/>
        <v>427.95</v>
      </c>
      <c r="IN138" vm="10031">
        <f ca="1"/>
        <v>429.65</v>
      </c>
      <c r="IO138" vm="10032">
        <f ca="1"/>
        <v>428.3</v>
      </c>
      <c r="IP138" vm="5367">
        <f ca="1"/>
        <v>431.45</v>
      </c>
      <c r="IQ138" vm="10033">
        <f ca="1"/>
        <v>436.9</v>
      </c>
      <c r="IR138" vm="5913">
        <f ca="1"/>
        <v>448</v>
      </c>
    </row>
    <row r="139" spans="4:252" x14ac:dyDescent="0.35">
      <c r="D139" t="e" vm="46">
        <v>#VALUE!</v>
      </c>
      <c r="E139" cm="1" vm="4889">
        <f t="array" aca="1" ref="E139:IR139" ca="1">TRANSPOSE((_xlfn.STOCKHISTORY('Portfolio Tracker '!$C53,TODAY()-365,TODAY(),0,0,1)))</f>
        <v>110.3</v>
      </c>
      <c r="F139" vm="10034">
        <f ca="1"/>
        <v>109.7</v>
      </c>
      <c r="G139" vm="10035">
        <f ca="1"/>
        <v>111.05</v>
      </c>
      <c r="H139" vm="10036">
        <f ca="1"/>
        <v>108.65</v>
      </c>
      <c r="I139" vm="10037">
        <f ca="1"/>
        <v>109.55</v>
      </c>
      <c r="J139" vm="10037">
        <f ca="1"/>
        <v>109.55</v>
      </c>
      <c r="K139" vm="10038">
        <f ca="1"/>
        <v>109.25</v>
      </c>
      <c r="L139" vm="10039">
        <f ca="1"/>
        <v>108.55</v>
      </c>
      <c r="M139" vm="10040">
        <f ca="1"/>
        <v>106.75</v>
      </c>
      <c r="N139" vm="10041">
        <f ca="1"/>
        <v>107.7</v>
      </c>
      <c r="O139" vm="10042">
        <f ca="1"/>
        <v>107.4</v>
      </c>
      <c r="P139" vm="10043">
        <f ca="1"/>
        <v>106</v>
      </c>
      <c r="Q139" vm="10044">
        <f ca="1"/>
        <v>105.2</v>
      </c>
      <c r="R139" vm="10045">
        <f ca="1"/>
        <v>104.65</v>
      </c>
      <c r="S139" vm="10046">
        <f ca="1"/>
        <v>105</v>
      </c>
      <c r="T139" vm="4875">
        <f ca="1"/>
        <v>105.6</v>
      </c>
      <c r="U139" vm="10044">
        <f ca="1"/>
        <v>105.2</v>
      </c>
      <c r="V139" vm="4353">
        <f ca="1"/>
        <v>104.85</v>
      </c>
      <c r="W139" vm="3495">
        <f ca="1"/>
        <v>106.4</v>
      </c>
      <c r="X139" vm="5023">
        <f ca="1"/>
        <v>108.45</v>
      </c>
      <c r="Y139" vm="4340">
        <f ca="1"/>
        <v>107.05</v>
      </c>
      <c r="Z139" vm="4339">
        <f ca="1"/>
        <v>105.8</v>
      </c>
      <c r="AA139" vm="10047">
        <f ca="1"/>
        <v>105.95</v>
      </c>
      <c r="AB139" vm="10048">
        <f ca="1"/>
        <v>108</v>
      </c>
      <c r="AC139" vm="5022">
        <f ca="1"/>
        <v>109.4</v>
      </c>
      <c r="AD139" vm="10049">
        <f ca="1"/>
        <v>109</v>
      </c>
      <c r="AE139" vm="10050">
        <f ca="1"/>
        <v>111.5</v>
      </c>
      <c r="AF139" vm="4894">
        <f ca="1"/>
        <v>111.15</v>
      </c>
      <c r="AG139" vm="5019">
        <f ca="1"/>
        <v>108.9</v>
      </c>
      <c r="AH139" vm="10051">
        <f ca="1"/>
        <v>109.5</v>
      </c>
      <c r="AI139" vm="4894">
        <f ca="1"/>
        <v>111.15</v>
      </c>
      <c r="AJ139" vm="10052">
        <f ca="1"/>
        <v>113.8</v>
      </c>
      <c r="AK139" vm="4898">
        <f ca="1"/>
        <v>113.75</v>
      </c>
      <c r="AL139" vm="10053">
        <f ca="1"/>
        <v>114.25</v>
      </c>
      <c r="AM139" vm="10054">
        <f ca="1"/>
        <v>114.1</v>
      </c>
      <c r="AN139" vm="10053">
        <f ca="1"/>
        <v>114.25</v>
      </c>
      <c r="AO139" vm="10055">
        <f ca="1"/>
        <v>113.9</v>
      </c>
      <c r="AP139" vm="10056">
        <f ca="1"/>
        <v>111.1</v>
      </c>
      <c r="AQ139" vm="5025">
        <f ca="1"/>
        <v>109.6</v>
      </c>
      <c r="AR139" vm="10057">
        <f ca="1"/>
        <v>109.85</v>
      </c>
      <c r="AS139" vm="5021">
        <f ca="1"/>
        <v>110.75</v>
      </c>
      <c r="AT139" vm="10058">
        <f ca="1"/>
        <v>111.55</v>
      </c>
      <c r="AU139" vm="3482">
        <f ca="1"/>
        <v>112</v>
      </c>
      <c r="AV139" vm="10059">
        <f ca="1"/>
        <v>113.1</v>
      </c>
      <c r="AW139" vm="10060">
        <f ca="1"/>
        <v>112.4</v>
      </c>
      <c r="AX139" vm="10061">
        <f ca="1"/>
        <v>112.95</v>
      </c>
      <c r="AY139" vm="10062">
        <f ca="1"/>
        <v>112.65</v>
      </c>
      <c r="AZ139" vm="10063">
        <f ca="1"/>
        <v>111.6</v>
      </c>
      <c r="BA139" vm="5000">
        <f ca="1"/>
        <v>115.3</v>
      </c>
      <c r="BB139" vm="4350">
        <f ca="1"/>
        <v>115.15</v>
      </c>
      <c r="BC139" vm="10064">
        <f ca="1"/>
        <v>114.7</v>
      </c>
      <c r="BD139" vm="10065">
        <f ca="1"/>
        <v>114.85</v>
      </c>
      <c r="BE139" vm="10066">
        <f ca="1"/>
        <v>117.15</v>
      </c>
      <c r="BF139" vm="5002">
        <f ca="1"/>
        <v>117.75</v>
      </c>
      <c r="BG139" vm="5004">
        <f ca="1"/>
        <v>116.6</v>
      </c>
      <c r="BH139" vm="10067">
        <f ca="1"/>
        <v>116.7</v>
      </c>
      <c r="BI139" vm="4971">
        <f ca="1"/>
        <v>116.95</v>
      </c>
      <c r="BJ139" vm="5004">
        <f ca="1"/>
        <v>116.6</v>
      </c>
      <c r="BK139" vm="10068">
        <f ca="1"/>
        <v>115.5</v>
      </c>
      <c r="BL139" vm="10069">
        <f ca="1"/>
        <v>119.25</v>
      </c>
      <c r="BM139" vm="7648">
        <f ca="1"/>
        <v>119.95</v>
      </c>
      <c r="BN139" vm="7651">
        <f ca="1"/>
        <v>119.8</v>
      </c>
      <c r="BO139" vm="10070">
        <f ca="1"/>
        <v>120.6</v>
      </c>
      <c r="BP139" vm="10071">
        <f ca="1"/>
        <v>123.15</v>
      </c>
      <c r="BQ139" vm="4982">
        <f ca="1"/>
        <v>123.2</v>
      </c>
      <c r="BR139" vm="10072">
        <f ca="1"/>
        <v>118.95</v>
      </c>
      <c r="BS139" vm="4970">
        <f ca="1"/>
        <v>118.2</v>
      </c>
      <c r="BT139" vm="4975">
        <f ca="1"/>
        <v>119</v>
      </c>
      <c r="BU139" vm="4909">
        <f ca="1"/>
        <v>118.85</v>
      </c>
      <c r="BV139" vm="4955">
        <f ca="1"/>
        <v>118.15</v>
      </c>
      <c r="BW139" vm="4904">
        <f ca="1"/>
        <v>120.2</v>
      </c>
      <c r="BX139" vm="10073">
        <f ca="1"/>
        <v>120</v>
      </c>
      <c r="BY139" vm="10074">
        <f ca="1"/>
        <v>120.3</v>
      </c>
      <c r="BZ139" vm="4955">
        <f ca="1"/>
        <v>118.15</v>
      </c>
      <c r="CA139" vm="10075">
        <f ca="1"/>
        <v>115.95</v>
      </c>
      <c r="CB139" vm="5007">
        <f ca="1"/>
        <v>116.05</v>
      </c>
      <c r="CC139" vm="10076">
        <f ca="1"/>
        <v>115.8</v>
      </c>
      <c r="CD139" vm="10077">
        <f ca="1"/>
        <v>116.9</v>
      </c>
      <c r="CE139" vm="4973">
        <f ca="1"/>
        <v>117.55</v>
      </c>
      <c r="CF139" vm="10072">
        <f ca="1"/>
        <v>118.95</v>
      </c>
      <c r="CG139" vm="4912">
        <f ca="1"/>
        <v>118.25</v>
      </c>
      <c r="CH139" vm="10077">
        <f ca="1"/>
        <v>116.9</v>
      </c>
      <c r="CI139" vm="5016">
        <f ca="1"/>
        <v>117.6</v>
      </c>
      <c r="CJ139" vm="10078">
        <f ca="1"/>
        <v>119.55</v>
      </c>
      <c r="CK139" vm="10079">
        <f ca="1"/>
        <v>122.1</v>
      </c>
      <c r="CL139" vm="4649">
        <f ca="1"/>
        <v>122.9</v>
      </c>
      <c r="CM139" vm="10080">
        <f ca="1"/>
        <v>127.05</v>
      </c>
      <c r="CN139" vm="4654">
        <f ca="1"/>
        <v>131.75</v>
      </c>
      <c r="CO139" vm="10081">
        <f ca="1"/>
        <v>131.69999999999999</v>
      </c>
      <c r="CP139" vm="10082">
        <f ca="1"/>
        <v>129.6</v>
      </c>
      <c r="CQ139" vm="10083">
        <f ca="1"/>
        <v>130.15</v>
      </c>
      <c r="CR139" vm="10084">
        <f ca="1"/>
        <v>129.5</v>
      </c>
      <c r="CS139" vm="7657">
        <f ca="1"/>
        <v>131.15</v>
      </c>
      <c r="CT139" vm="10085">
        <f ca="1"/>
        <v>129</v>
      </c>
      <c r="CU139" vm="4930">
        <f ca="1"/>
        <v>129.55000000000001</v>
      </c>
      <c r="CV139" vm="10081">
        <f ca="1"/>
        <v>131.69999999999999</v>
      </c>
      <c r="CW139" vm="10086">
        <f ca="1"/>
        <v>131.94999999999999</v>
      </c>
      <c r="CX139" vm="10087">
        <f ca="1"/>
        <v>130.44999999999999</v>
      </c>
      <c r="CY139" vm="10088">
        <f ca="1"/>
        <v>128.30000000000001</v>
      </c>
      <c r="CZ139" vm="10089">
        <f ca="1"/>
        <v>127.8</v>
      </c>
      <c r="DA139" vm="4650">
        <f ca="1"/>
        <v>126.75</v>
      </c>
      <c r="DB139" vm="10090">
        <f ca="1"/>
        <v>127.4</v>
      </c>
      <c r="DC139" vm="10091">
        <f ca="1"/>
        <v>128.9</v>
      </c>
      <c r="DD139" vm="7666">
        <f ca="1"/>
        <v>128.15</v>
      </c>
      <c r="DE139" vm="4936">
        <f ca="1"/>
        <v>126.8</v>
      </c>
      <c r="DF139" vm="10091">
        <f ca="1"/>
        <v>128.9</v>
      </c>
      <c r="DG139" vm="10092">
        <f ca="1"/>
        <v>128</v>
      </c>
      <c r="DH139" vm="10093">
        <f ca="1"/>
        <v>125.3</v>
      </c>
      <c r="DI139" vm="10094">
        <f ca="1"/>
        <v>125.25</v>
      </c>
      <c r="DJ139" vm="10095">
        <f ca="1"/>
        <v>125.9</v>
      </c>
      <c r="DK139" vm="4998">
        <f ca="1"/>
        <v>123.85</v>
      </c>
      <c r="DL139" vm="10093">
        <f ca="1"/>
        <v>125.3</v>
      </c>
      <c r="DM139" vm="4992">
        <f ca="1"/>
        <v>124.95</v>
      </c>
      <c r="DN139" vm="10095">
        <f ca="1"/>
        <v>125.9</v>
      </c>
      <c r="DO139" vm="10096">
        <f ca="1"/>
        <v>125.05</v>
      </c>
      <c r="DP139" vm="10097">
        <f ca="1"/>
        <v>127</v>
      </c>
      <c r="DQ139" vm="10090">
        <f ca="1"/>
        <v>127.4</v>
      </c>
      <c r="DR139" vm="10098">
        <f ca="1"/>
        <v>127.1</v>
      </c>
      <c r="DS139" vm="10099">
        <f ca="1"/>
        <v>126</v>
      </c>
      <c r="DT139" vm="4917">
        <f ca="1"/>
        <v>123.1</v>
      </c>
      <c r="DU139" vm="10073">
        <f ca="1"/>
        <v>120</v>
      </c>
      <c r="DV139" vm="7641">
        <f ca="1"/>
        <v>121.35</v>
      </c>
      <c r="DW139" vm="7644">
        <f ca="1"/>
        <v>119.9</v>
      </c>
      <c r="DX139" vm="7644">
        <f ca="1"/>
        <v>119.9</v>
      </c>
      <c r="DY139" vm="4915">
        <f ca="1"/>
        <v>119.15</v>
      </c>
      <c r="DZ139" vm="4903">
        <f ca="1"/>
        <v>118.75</v>
      </c>
      <c r="EA139" vm="5004">
        <f ca="1"/>
        <v>116.6</v>
      </c>
      <c r="EB139" vm="5015">
        <f ca="1"/>
        <v>118.1</v>
      </c>
      <c r="EC139" vm="10100">
        <f ca="1"/>
        <v>117.3</v>
      </c>
      <c r="ED139" vm="10101">
        <f ca="1"/>
        <v>119.4</v>
      </c>
      <c r="EE139" vm="10102">
        <f ca="1"/>
        <v>119.65</v>
      </c>
      <c r="EF139" vm="4914">
        <f ca="1"/>
        <v>119.05</v>
      </c>
      <c r="EG139" vm="10102">
        <f ca="1"/>
        <v>119.65</v>
      </c>
      <c r="EH139" vm="10103">
        <f ca="1"/>
        <v>120.05</v>
      </c>
      <c r="EI139" vm="10104">
        <f ca="1"/>
        <v>120.85</v>
      </c>
      <c r="EJ139" vm="4994">
        <f ca="1"/>
        <v>121</v>
      </c>
      <c r="EK139" vm="4943">
        <f ca="1"/>
        <v>124.05</v>
      </c>
      <c r="EL139" vm="10105">
        <f ca="1"/>
        <v>124.7</v>
      </c>
      <c r="EM139" vm="4996">
        <f ca="1"/>
        <v>125.2</v>
      </c>
      <c r="EN139" vm="4988">
        <f ca="1"/>
        <v>124.35</v>
      </c>
      <c r="EO139" vm="10106">
        <f ca="1"/>
        <v>126.25</v>
      </c>
      <c r="EP139" vm="10107">
        <f ca="1"/>
        <v>126.1</v>
      </c>
      <c r="EQ139" vm="10108">
        <f ca="1"/>
        <v>126.7</v>
      </c>
      <c r="ER139" vm="4947">
        <f ca="1"/>
        <v>125.95</v>
      </c>
      <c r="ES139" vm="10109">
        <f ca="1"/>
        <v>126.85</v>
      </c>
      <c r="ET139" vm="7653">
        <f ca="1"/>
        <v>127.75</v>
      </c>
      <c r="EU139" vm="4942">
        <f ca="1"/>
        <v>127.9</v>
      </c>
      <c r="EV139" vm="7672">
        <f ca="1"/>
        <v>130</v>
      </c>
      <c r="EW139" vm="10110">
        <f ca="1"/>
        <v>131</v>
      </c>
      <c r="EX139" vm="10111">
        <f ca="1"/>
        <v>131.6</v>
      </c>
      <c r="EY139" vm="10112">
        <f ca="1"/>
        <v>131.85</v>
      </c>
      <c r="EZ139" vm="7672">
        <f ca="1"/>
        <v>130</v>
      </c>
      <c r="FA139" vm="10113">
        <f ca="1"/>
        <v>129.19999999999999</v>
      </c>
      <c r="FB139" vm="10114">
        <f ca="1"/>
        <v>130.05000000000001</v>
      </c>
      <c r="FC139" vm="10115">
        <f ca="1"/>
        <v>130.1</v>
      </c>
      <c r="FD139" vm="7674">
        <f ca="1"/>
        <v>131.4</v>
      </c>
      <c r="FE139" vm="7659">
        <f ca="1"/>
        <v>132</v>
      </c>
      <c r="FF139" vm="10116">
        <f ca="1"/>
        <v>136.44999999999999</v>
      </c>
      <c r="FG139" vm="10117">
        <f ca="1"/>
        <v>136.6</v>
      </c>
      <c r="FH139" vm="10118">
        <f ca="1"/>
        <v>135.4</v>
      </c>
      <c r="FI139" vm="10119">
        <f ca="1"/>
        <v>129.75</v>
      </c>
      <c r="FJ139" vm="10110">
        <f ca="1"/>
        <v>131</v>
      </c>
      <c r="FK139" vm="7675">
        <f ca="1"/>
        <v>133.55000000000001</v>
      </c>
      <c r="FL139" vm="10120">
        <f ca="1"/>
        <v>135.19999999999999</v>
      </c>
      <c r="FM139" vm="3505">
        <f ca="1"/>
        <v>137.19999999999999</v>
      </c>
      <c r="FN139" vm="10121">
        <f ca="1"/>
        <v>138.15</v>
      </c>
      <c r="FO139" vm="10122">
        <f ca="1"/>
        <v>139.6</v>
      </c>
      <c r="FP139" vm="10123">
        <f ca="1"/>
        <v>139.85</v>
      </c>
      <c r="FQ139" vm="10122">
        <f ca="1"/>
        <v>139.6</v>
      </c>
      <c r="FR139" vm="10124">
        <f ca="1"/>
        <v>135.35</v>
      </c>
      <c r="FS139" vm="10125">
        <f ca="1"/>
        <v>134.25</v>
      </c>
      <c r="FT139" vm="4652">
        <f ca="1"/>
        <v>133.65</v>
      </c>
      <c r="FU139" vm="7659">
        <f ca="1"/>
        <v>132</v>
      </c>
      <c r="FV139" vm="4652">
        <f ca="1"/>
        <v>133.65</v>
      </c>
      <c r="FW139" vm="10126">
        <f ca="1"/>
        <v>134.1</v>
      </c>
      <c r="FX139" vm="10127">
        <f ca="1"/>
        <v>134.9</v>
      </c>
      <c r="FY139" vm="10128">
        <f ca="1"/>
        <v>135.30000000000001</v>
      </c>
      <c r="FZ139" vm="10127">
        <f ca="1"/>
        <v>134.9</v>
      </c>
      <c r="GA139" vm="10129">
        <f ca="1"/>
        <v>137.25</v>
      </c>
      <c r="GB139" vm="10130">
        <f ca="1"/>
        <v>131.65</v>
      </c>
      <c r="GC139" vm="10110">
        <f ca="1"/>
        <v>131</v>
      </c>
      <c r="GD139" vm="10125">
        <f ca="1"/>
        <v>134.25</v>
      </c>
      <c r="GE139" vm="10131">
        <f ca="1"/>
        <v>133.94999999999999</v>
      </c>
      <c r="GF139" vm="10115">
        <f ca="1"/>
        <v>130.1</v>
      </c>
      <c r="GG139" vm="10132">
        <f ca="1"/>
        <v>135.15</v>
      </c>
      <c r="GH139" vm="7654">
        <f ca="1"/>
        <v>133.75</v>
      </c>
      <c r="GI139" vm="10133">
        <f ca="1"/>
        <v>135</v>
      </c>
      <c r="GJ139" vm="10134">
        <f ca="1"/>
        <v>134.69999999999999</v>
      </c>
      <c r="GK139" vm="10135">
        <f ca="1"/>
        <v>135.94999999999999</v>
      </c>
      <c r="GL139" vm="10136">
        <f ca="1"/>
        <v>134.80000000000001</v>
      </c>
      <c r="GM139" vm="7678">
        <f ca="1"/>
        <v>138.69999999999999</v>
      </c>
      <c r="GN139" vm="10137">
        <f ca="1"/>
        <v>141.55000000000001</v>
      </c>
      <c r="GO139" vm="10138">
        <f ca="1"/>
        <v>144.65</v>
      </c>
      <c r="GP139" vm="10139">
        <f ca="1"/>
        <v>144.4</v>
      </c>
      <c r="GQ139" vm="10140">
        <f ca="1"/>
        <v>143.65</v>
      </c>
      <c r="GR139" vm="10141">
        <f ca="1"/>
        <v>141.30000000000001</v>
      </c>
      <c r="GS139" vm="10142">
        <f ca="1"/>
        <v>137.4</v>
      </c>
      <c r="GT139" vm="10143">
        <f ca="1"/>
        <v>137.85</v>
      </c>
      <c r="GU139" vm="10144">
        <f ca="1"/>
        <v>141.19999999999999</v>
      </c>
      <c r="GV139" vm="10144">
        <f ca="1"/>
        <v>141.19999999999999</v>
      </c>
      <c r="GW139" vm="10145">
        <f ca="1"/>
        <v>142.30000000000001</v>
      </c>
      <c r="GX139" vm="10146">
        <f ca="1"/>
        <v>141.94999999999999</v>
      </c>
      <c r="GY139" vm="7679">
        <f ca="1"/>
        <v>141.05000000000001</v>
      </c>
      <c r="GZ139" vm="10147">
        <f ca="1"/>
        <v>143.9</v>
      </c>
      <c r="HA139" vm="10148">
        <f ca="1"/>
        <v>145.9</v>
      </c>
      <c r="HB139" vm="10149">
        <f ca="1"/>
        <v>145.44999999999999</v>
      </c>
      <c r="HC139" vm="10150">
        <f ca="1"/>
        <v>142.65</v>
      </c>
      <c r="HD139" vm="10151">
        <f ca="1"/>
        <v>144.19999999999999</v>
      </c>
      <c r="HE139" vm="10152">
        <f ca="1"/>
        <v>140.75</v>
      </c>
      <c r="HF139" vm="10153">
        <f ca="1"/>
        <v>140.85</v>
      </c>
      <c r="HG139" vm="10154">
        <f ca="1"/>
        <v>149.94999999999999</v>
      </c>
      <c r="HH139" vm="3523">
        <f ca="1"/>
        <v>155.25</v>
      </c>
      <c r="HI139" vm="10155">
        <f ca="1"/>
        <v>153.1</v>
      </c>
      <c r="HJ139" vm="10156">
        <f ca="1"/>
        <v>151.85</v>
      </c>
      <c r="HK139" vm="10157">
        <f ca="1"/>
        <v>151.6</v>
      </c>
      <c r="HL139" vm="10158">
        <f ca="1"/>
        <v>157.25</v>
      </c>
      <c r="HM139" vm="10159">
        <f ca="1"/>
        <v>153.44999999999999</v>
      </c>
      <c r="HN139" vm="10160">
        <f ca="1"/>
        <v>152.5</v>
      </c>
      <c r="HO139" vm="10140">
        <f ca="1"/>
        <v>143.65</v>
      </c>
      <c r="HP139" vm="10161">
        <f ca="1"/>
        <v>142.44999999999999</v>
      </c>
      <c r="HQ139" vm="10162">
        <f ca="1"/>
        <v>141.69999999999999</v>
      </c>
      <c r="HR139" vm="10163">
        <f ca="1"/>
        <v>149.69999999999999</v>
      </c>
      <c r="HS139" vm="10164">
        <f ca="1"/>
        <v>148.75</v>
      </c>
      <c r="HT139" vm="10165">
        <f ca="1"/>
        <v>145.65</v>
      </c>
      <c r="HU139" vm="10166">
        <f ca="1"/>
        <v>150.1</v>
      </c>
      <c r="HV139" vm="10167">
        <f ca="1"/>
        <v>151.80000000000001</v>
      </c>
      <c r="HW139" vm="10168">
        <f ca="1"/>
        <v>152.4</v>
      </c>
      <c r="HX139" vm="10169">
        <f ca="1"/>
        <v>152.69999999999999</v>
      </c>
      <c r="HY139" vm="10170">
        <f ca="1"/>
        <v>155.85</v>
      </c>
      <c r="HZ139" vm="10171">
        <f ca="1"/>
        <v>163.15</v>
      </c>
      <c r="IA139" vm="10172">
        <f ca="1"/>
        <v>164.65</v>
      </c>
      <c r="IB139" vm="10173">
        <f ca="1"/>
        <v>163.65</v>
      </c>
      <c r="IC139" vm="10174">
        <f ca="1"/>
        <v>163.4</v>
      </c>
      <c r="ID139" vm="10175">
        <f ca="1"/>
        <v>163.35</v>
      </c>
      <c r="IE139" vm="10176">
        <f ca="1"/>
        <v>165.2</v>
      </c>
      <c r="IF139" vm="10177">
        <f ca="1"/>
        <v>166</v>
      </c>
      <c r="IG139" vm="439">
        <f ca="1"/>
        <v>165.05</v>
      </c>
      <c r="IH139" vm="590">
        <f ca="1"/>
        <v>163.5</v>
      </c>
      <c r="II139" vm="10178">
        <f ca="1"/>
        <v>160.85</v>
      </c>
      <c r="IJ139" vm="10179">
        <f ca="1"/>
        <v>160.05000000000001</v>
      </c>
      <c r="IK139" vm="10179">
        <f ca="1"/>
        <v>160.05000000000001</v>
      </c>
      <c r="IL139" vm="10180">
        <f ca="1"/>
        <v>162.1</v>
      </c>
      <c r="IM139" vm="10181">
        <f ca="1"/>
        <v>161.85</v>
      </c>
      <c r="IN139" vm="10182">
        <f ca="1"/>
        <v>161.15</v>
      </c>
      <c r="IO139" vm="10183">
        <f ca="1"/>
        <v>165.55</v>
      </c>
      <c r="IP139" vm="10184">
        <f ca="1"/>
        <v>167.7</v>
      </c>
      <c r="IQ139" vm="591">
        <f ca="1"/>
        <v>165.8</v>
      </c>
      <c r="IR139" vm="10185">
        <f ca="1"/>
        <v>167.4</v>
      </c>
    </row>
    <row r="140" spans="4:252" x14ac:dyDescent="0.35">
      <c r="D140" t="e" vm="47">
        <v>#VALUE!</v>
      </c>
      <c r="E140" cm="1" vm="10186">
        <f t="array" aca="1" ref="E140:IR140" ca="1">TRANSPOSE((_xlfn.STOCKHISTORY('Portfolio Tracker '!$C54,TODAY()-365,TODAY(),0,0,1)))</f>
        <v>3219.4</v>
      </c>
      <c r="F140" vm="10187">
        <f ca="1"/>
        <v>3179.9</v>
      </c>
      <c r="G140" vm="10188">
        <f ca="1"/>
        <v>3220.7</v>
      </c>
      <c r="H140" vm="10189">
        <f ca="1"/>
        <v>3230.7</v>
      </c>
      <c r="I140" vm="10190">
        <f ca="1"/>
        <v>3250.6</v>
      </c>
      <c r="J140" vm="10191">
        <f ca="1"/>
        <v>3283.25</v>
      </c>
      <c r="K140" vm="10192">
        <f ca="1"/>
        <v>3286.8</v>
      </c>
      <c r="L140" vm="10193">
        <f ca="1"/>
        <v>3282.15</v>
      </c>
      <c r="M140" vm="10194">
        <f ca="1"/>
        <v>3274.3</v>
      </c>
      <c r="N140" vm="10195">
        <f ca="1"/>
        <v>3255.05</v>
      </c>
      <c r="O140" vm="10196">
        <f ca="1"/>
        <v>3258.15</v>
      </c>
      <c r="P140" vm="10197">
        <f ca="1"/>
        <v>3208.7</v>
      </c>
      <c r="Q140" vm="10198">
        <f ca="1"/>
        <v>3199.85</v>
      </c>
      <c r="R140" vm="10199">
        <f ca="1"/>
        <v>3222.85</v>
      </c>
      <c r="S140" vm="10200">
        <f ca="1"/>
        <v>3298.7</v>
      </c>
      <c r="T140" vm="10201">
        <f ca="1"/>
        <v>3297.05</v>
      </c>
      <c r="U140" vm="10202">
        <f ca="1"/>
        <v>3303.35</v>
      </c>
      <c r="V140" vm="10203">
        <f ca="1"/>
        <v>3293.5</v>
      </c>
      <c r="W140" vm="10204">
        <f ca="1"/>
        <v>3328.9</v>
      </c>
      <c r="X140" vm="10205">
        <f ca="1"/>
        <v>3320.35</v>
      </c>
      <c r="Y140" vm="10206">
        <f ca="1"/>
        <v>3316.2</v>
      </c>
      <c r="Z140" vm="10207">
        <f ca="1"/>
        <v>3289.5</v>
      </c>
      <c r="AA140" vm="10208">
        <f ca="1"/>
        <v>3324</v>
      </c>
      <c r="AB140" vm="10209">
        <f ca="1"/>
        <v>3305.6</v>
      </c>
      <c r="AC140" vm="10210">
        <f ca="1"/>
        <v>3288.9</v>
      </c>
      <c r="AD140" vm="10211">
        <f ca="1"/>
        <v>3232.3</v>
      </c>
      <c r="AE140" vm="10212">
        <f ca="1"/>
        <v>3274.9</v>
      </c>
      <c r="AF140" vm="10213">
        <f ca="1"/>
        <v>3236.45</v>
      </c>
      <c r="AG140" vm="10214">
        <f ca="1"/>
        <v>3209.3</v>
      </c>
      <c r="AH140" vm="10215">
        <f ca="1"/>
        <v>3246.9</v>
      </c>
      <c r="AI140" vm="10216">
        <f ca="1"/>
        <v>3243.7</v>
      </c>
      <c r="AJ140" vm="10217">
        <f ca="1"/>
        <v>3251.05</v>
      </c>
      <c r="AK140" vm="10218">
        <f ca="1"/>
        <v>3216.3</v>
      </c>
      <c r="AL140" vm="10219">
        <f ca="1"/>
        <v>3174.9</v>
      </c>
      <c r="AM140" vm="10220">
        <f ca="1"/>
        <v>3210.4</v>
      </c>
      <c r="AN140" vm="10221">
        <f ca="1"/>
        <v>3227.7</v>
      </c>
      <c r="AO140" vm="10222">
        <f ca="1"/>
        <v>3258.2</v>
      </c>
      <c r="AP140" vm="10223">
        <f ca="1"/>
        <v>3238.5</v>
      </c>
      <c r="AQ140" vm="10224">
        <f ca="1"/>
        <v>3216.35</v>
      </c>
      <c r="AR140" vm="10225">
        <f ca="1"/>
        <v>3189.65</v>
      </c>
      <c r="AS140" vm="10226">
        <f ca="1"/>
        <v>3197.35</v>
      </c>
      <c r="AT140" vm="10227">
        <f ca="1"/>
        <v>3215.45</v>
      </c>
      <c r="AU140" vm="10228">
        <f ca="1"/>
        <v>3302.25</v>
      </c>
      <c r="AV140" vm="10229">
        <f ca="1"/>
        <v>3272.3</v>
      </c>
      <c r="AW140" vm="10230">
        <f ca="1"/>
        <v>3308.85</v>
      </c>
      <c r="AX140" vm="10231">
        <f ca="1"/>
        <v>3319.95</v>
      </c>
      <c r="AY140" vm="10232">
        <f ca="1"/>
        <v>3322.9</v>
      </c>
      <c r="AZ140" vm="10233">
        <f ca="1"/>
        <v>3329.25</v>
      </c>
      <c r="BA140" vm="10234">
        <f ca="1"/>
        <v>3271.95</v>
      </c>
      <c r="BB140" vm="10235">
        <f ca="1"/>
        <v>3272.4</v>
      </c>
      <c r="BC140" vm="10236">
        <f ca="1"/>
        <v>3259.9</v>
      </c>
      <c r="BD140" vm="10237">
        <f ca="1"/>
        <v>3340.55</v>
      </c>
      <c r="BE140" vm="941">
        <f ca="1"/>
        <v>3514.65</v>
      </c>
      <c r="BF140" vm="10238">
        <f ca="1"/>
        <v>3491.7</v>
      </c>
      <c r="BG140" vm="10239">
        <f ca="1"/>
        <v>3496.85</v>
      </c>
      <c r="BH140" vm="10240">
        <f ca="1"/>
        <v>3470.05</v>
      </c>
      <c r="BI140" vm="10241">
        <f ca="1"/>
        <v>3463.3</v>
      </c>
      <c r="BJ140" vm="10242">
        <f ca="1"/>
        <v>3368.3</v>
      </c>
      <c r="BK140" vm="10243">
        <f ca="1"/>
        <v>3394.75</v>
      </c>
      <c r="BL140" vm="10244">
        <f ca="1"/>
        <v>3399.15</v>
      </c>
      <c r="BM140" vm="10245">
        <f ca="1"/>
        <v>3388.3</v>
      </c>
      <c r="BN140" vm="10246">
        <f ca="1"/>
        <v>3396.9</v>
      </c>
      <c r="BO140" vm="10247">
        <f ca="1"/>
        <v>3355.4</v>
      </c>
      <c r="BP140" vm="10248">
        <f ca="1"/>
        <v>3421.45</v>
      </c>
      <c r="BQ140" vm="10249">
        <f ca="1"/>
        <v>3452.05</v>
      </c>
      <c r="BR140" vm="10250">
        <f ca="1"/>
        <v>3440.65</v>
      </c>
      <c r="BS140" vm="10251">
        <f ca="1"/>
        <v>3399.95</v>
      </c>
      <c r="BT140" vm="10252">
        <f ca="1"/>
        <v>3443.55</v>
      </c>
      <c r="BU140" vm="10253">
        <f ca="1"/>
        <v>3484.05</v>
      </c>
      <c r="BV140" vm="10254">
        <f ca="1"/>
        <v>3470.6</v>
      </c>
      <c r="BW140" vm="10255">
        <f ca="1"/>
        <v>3462.5</v>
      </c>
      <c r="BX140" vm="10256">
        <f ca="1"/>
        <v>3442.1</v>
      </c>
      <c r="BY140" vm="10257">
        <f ca="1"/>
        <v>3448.8</v>
      </c>
      <c r="BZ140" vm="10258">
        <f ca="1"/>
        <v>3449.85</v>
      </c>
      <c r="CA140" vm="10259">
        <f ca="1"/>
        <v>3458.4</v>
      </c>
      <c r="CB140" vm="10260">
        <f ca="1"/>
        <v>3435.75</v>
      </c>
      <c r="CC140" vm="10261">
        <f ca="1"/>
        <v>3367.1</v>
      </c>
      <c r="CD140" vm="10262">
        <f ca="1"/>
        <v>3401.65</v>
      </c>
      <c r="CE140" vm="10263">
        <f ca="1"/>
        <v>3382.15</v>
      </c>
      <c r="CF140" vm="10264">
        <f ca="1"/>
        <v>3398.25</v>
      </c>
      <c r="CG140" vm="10265">
        <f ca="1"/>
        <v>3387.75</v>
      </c>
      <c r="CH140" vm="10266">
        <f ca="1"/>
        <v>3381.3</v>
      </c>
      <c r="CI140" vm="10267">
        <f ca="1"/>
        <v>3375.55</v>
      </c>
      <c r="CJ140" vm="10268">
        <f ca="1"/>
        <v>3376.15</v>
      </c>
      <c r="CK140" vm="10269">
        <f ca="1"/>
        <v>3390.95</v>
      </c>
      <c r="CL140" vm="10270">
        <f ca="1"/>
        <v>3356.8</v>
      </c>
      <c r="CM140" vm="10271">
        <f ca="1"/>
        <v>3379.2</v>
      </c>
      <c r="CN140" vm="10272">
        <f ca="1"/>
        <v>3418.5</v>
      </c>
      <c r="CO140" vm="10273">
        <f ca="1"/>
        <v>3429.35</v>
      </c>
      <c r="CP140" vm="10274">
        <f ca="1"/>
        <v>3429.9</v>
      </c>
      <c r="CQ140" vm="10275">
        <f ca="1"/>
        <v>3455.25</v>
      </c>
      <c r="CR140" vm="10276">
        <f ca="1"/>
        <v>3441.9</v>
      </c>
      <c r="CS140" vm="10277">
        <f ca="1"/>
        <v>3480.65</v>
      </c>
      <c r="CT140" vm="10278">
        <f ca="1"/>
        <v>3580.8</v>
      </c>
      <c r="CU140" vm="10279">
        <f ca="1"/>
        <v>3567.85</v>
      </c>
      <c r="CV140" vm="10280">
        <f ca="1"/>
        <v>3560.05</v>
      </c>
      <c r="CW140" vm="10281">
        <f ca="1"/>
        <v>3598.3</v>
      </c>
      <c r="CX140" vm="10282">
        <f ca="1"/>
        <v>3606.15</v>
      </c>
      <c r="CY140" vm="10283">
        <f ca="1"/>
        <v>3606.05</v>
      </c>
      <c r="CZ140" vm="10284">
        <f ca="1"/>
        <v>3585.3</v>
      </c>
      <c r="DA140" vm="10285">
        <f ca="1"/>
        <v>3603.65</v>
      </c>
      <c r="DB140" vm="10286">
        <f ca="1"/>
        <v>3577.15</v>
      </c>
      <c r="DC140" vm="10287">
        <f ca="1"/>
        <v>3585.7</v>
      </c>
      <c r="DD140" vm="10288">
        <f ca="1"/>
        <v>3589.3</v>
      </c>
      <c r="DE140" vm="10289">
        <f ca="1"/>
        <v>3536.75</v>
      </c>
      <c r="DF140" vm="10290">
        <f ca="1"/>
        <v>3528.6</v>
      </c>
      <c r="DG140" vm="10291">
        <f ca="1"/>
        <v>3513.85</v>
      </c>
      <c r="DH140" vm="10292">
        <f ca="1"/>
        <v>3537.75</v>
      </c>
      <c r="DI140" vm="10293">
        <f ca="1"/>
        <v>3589.35</v>
      </c>
      <c r="DJ140" vm="10294">
        <f ca="1"/>
        <v>3621.4</v>
      </c>
      <c r="DK140" vm="10295">
        <f ca="1"/>
        <v>3638.35</v>
      </c>
      <c r="DL140" vm="10296">
        <f ca="1"/>
        <v>3628.9</v>
      </c>
      <c r="DM140" vm="10297">
        <f ca="1"/>
        <v>3609.9</v>
      </c>
      <c r="DN140" vm="10298">
        <f ca="1"/>
        <v>3542.55</v>
      </c>
      <c r="DO140" vm="10299">
        <f ca="1"/>
        <v>3570.85</v>
      </c>
      <c r="DP140" vm="10300">
        <f ca="1"/>
        <v>3524.05</v>
      </c>
      <c r="DQ140" vm="10301">
        <f ca="1"/>
        <v>3507.05</v>
      </c>
      <c r="DR140" vm="10302">
        <f ca="1"/>
        <v>3487.25</v>
      </c>
      <c r="DS140" vm="10303">
        <f ca="1"/>
        <v>3455.65</v>
      </c>
      <c r="DT140" vm="10304">
        <f ca="1"/>
        <v>3494.55</v>
      </c>
      <c r="DU140" vm="10305">
        <f ca="1"/>
        <v>3410.15</v>
      </c>
      <c r="DV140" vm="10306">
        <f ca="1"/>
        <v>3390.1</v>
      </c>
      <c r="DW140" vm="10307">
        <f ca="1"/>
        <v>3336.75</v>
      </c>
      <c r="DX140" vm="10308">
        <f ca="1"/>
        <v>3350.95</v>
      </c>
      <c r="DY140" vm="10309">
        <f ca="1"/>
        <v>3378.55</v>
      </c>
      <c r="DZ140" vm="10310">
        <f ca="1"/>
        <v>3368.75</v>
      </c>
      <c r="EA140" vm="10311">
        <f ca="1"/>
        <v>3330.65</v>
      </c>
      <c r="EB140" vm="10312">
        <f ca="1"/>
        <v>3360.1</v>
      </c>
      <c r="EC140" vm="10313">
        <f ca="1"/>
        <v>3350.9</v>
      </c>
      <c r="ED140" vm="10314">
        <f ca="1"/>
        <v>3380.25</v>
      </c>
      <c r="EE140" vm="10315">
        <f ca="1"/>
        <v>3370.45</v>
      </c>
      <c r="EF140" vm="10316">
        <f ca="1"/>
        <v>3381.55</v>
      </c>
      <c r="EG140" vm="10317">
        <f ca="1"/>
        <v>3347.45</v>
      </c>
      <c r="EH140" vm="10318">
        <f ca="1"/>
        <v>3333.45</v>
      </c>
      <c r="EI140" vm="10319">
        <f ca="1"/>
        <v>3357.3</v>
      </c>
      <c r="EJ140" vm="10320">
        <f ca="1"/>
        <v>3331.55</v>
      </c>
      <c r="EK140" vm="10321">
        <f ca="1"/>
        <v>3404.3</v>
      </c>
      <c r="EL140" vm="10322">
        <f ca="1"/>
        <v>3497.85</v>
      </c>
      <c r="EM140" vm="10323">
        <f ca="1"/>
        <v>3502.45</v>
      </c>
      <c r="EN140" vm="10324">
        <f ca="1"/>
        <v>3519.6</v>
      </c>
      <c r="EO140" vm="10325">
        <f ca="1"/>
        <v>3510.2</v>
      </c>
      <c r="EP140" vm="10326">
        <f ca="1"/>
        <v>3530.15</v>
      </c>
      <c r="EQ140" vm="10327">
        <f ca="1"/>
        <v>3508.25</v>
      </c>
      <c r="ER140" vm="10328">
        <f ca="1"/>
        <v>3457.1</v>
      </c>
      <c r="ES140" vm="10329">
        <f ca="1"/>
        <v>3470.15</v>
      </c>
      <c r="ET140" vm="10330">
        <f ca="1"/>
        <v>3513.75</v>
      </c>
      <c r="EU140" vm="10331">
        <f ca="1"/>
        <v>3487.6</v>
      </c>
      <c r="EV140" vm="10332">
        <f ca="1"/>
        <v>3511.65</v>
      </c>
      <c r="EW140" vm="10333">
        <f ca="1"/>
        <v>3512.45</v>
      </c>
      <c r="EX140" vm="2595">
        <f ca="1"/>
        <v>3531.6</v>
      </c>
      <c r="EY140" vm="10334">
        <f ca="1"/>
        <v>3604.1</v>
      </c>
      <c r="EZ140" vm="10335">
        <f ca="1"/>
        <v>3614.9</v>
      </c>
      <c r="FA140" vm="10336">
        <f ca="1"/>
        <v>3626.7</v>
      </c>
      <c r="FB140" vm="10337">
        <f ca="1"/>
        <v>3642.9</v>
      </c>
      <c r="FC140" vm="10338">
        <f ca="1"/>
        <v>3672.1</v>
      </c>
      <c r="FD140" vm="10339">
        <f ca="1"/>
        <v>3593.55</v>
      </c>
      <c r="FE140" vm="10340">
        <f ca="1"/>
        <v>3667.25</v>
      </c>
      <c r="FF140" vm="10341">
        <f ca="1"/>
        <v>3861</v>
      </c>
      <c r="FG140" vm="10342">
        <f ca="1"/>
        <v>3859.2</v>
      </c>
      <c r="FH140" vm="10343">
        <f ca="1"/>
        <v>3816.2</v>
      </c>
      <c r="FI140" vm="10344">
        <f ca="1"/>
        <v>3780.05</v>
      </c>
      <c r="FJ140" vm="10345">
        <f ca="1"/>
        <v>3787.5</v>
      </c>
      <c r="FK140" vm="10346">
        <f ca="1"/>
        <v>3824</v>
      </c>
      <c r="FL140" vm="10347">
        <f ca="1"/>
        <v>3795.55</v>
      </c>
      <c r="FM140" vm="10348">
        <f ca="1"/>
        <v>3811.2</v>
      </c>
      <c r="FN140" vm="10349">
        <f ca="1"/>
        <v>3799.9</v>
      </c>
      <c r="FO140" vm="10350">
        <f ca="1"/>
        <v>3793.4</v>
      </c>
      <c r="FP140" vm="10351">
        <f ca="1"/>
        <v>3811.1</v>
      </c>
      <c r="FQ140" vm="10352">
        <f ca="1"/>
        <v>3783.2</v>
      </c>
      <c r="FR140" vm="10353">
        <f ca="1"/>
        <v>3691.75</v>
      </c>
      <c r="FS140" vm="10354">
        <f ca="1"/>
        <v>3666.8</v>
      </c>
      <c r="FT140" vm="10355">
        <f ca="1"/>
        <v>3737.9</v>
      </c>
      <c r="FU140" vm="10356">
        <f ca="1"/>
        <v>3678.3</v>
      </c>
      <c r="FV140" vm="10357">
        <f ca="1"/>
        <v>3689.9</v>
      </c>
      <c r="FW140" vm="10358">
        <f ca="1"/>
        <v>3713.05</v>
      </c>
      <c r="FX140" vm="10359">
        <f ca="1"/>
        <v>3735.55</v>
      </c>
      <c r="FY140" vm="10360">
        <f ca="1"/>
        <v>3882.8</v>
      </c>
      <c r="FZ140" vm="10361">
        <f ca="1"/>
        <v>3903.8</v>
      </c>
      <c r="GA140" vm="10362">
        <f ca="1"/>
        <v>3861.3</v>
      </c>
      <c r="GB140" vm="10363">
        <f ca="1"/>
        <v>3884.6</v>
      </c>
      <c r="GC140" vm="10364">
        <f ca="1"/>
        <v>3902.6</v>
      </c>
      <c r="GD140" vm="10365">
        <f ca="1"/>
        <v>3943.05</v>
      </c>
      <c r="GE140" vm="10366">
        <f ca="1"/>
        <v>3860.65</v>
      </c>
      <c r="GF140" vm="2746">
        <f ca="1"/>
        <v>3858.25</v>
      </c>
      <c r="GG140" vm="10367">
        <f ca="1"/>
        <v>3841.8</v>
      </c>
      <c r="GH140" vm="10368">
        <f ca="1"/>
        <v>3810.3</v>
      </c>
      <c r="GI140" vm="7115">
        <f ca="1"/>
        <v>3801</v>
      </c>
      <c r="GJ140" vm="10369">
        <f ca="1"/>
        <v>3800.55</v>
      </c>
      <c r="GK140" vm="10370">
        <f ca="1"/>
        <v>3815.95</v>
      </c>
      <c r="GL140" vm="10371">
        <f ca="1"/>
        <v>3854.15</v>
      </c>
      <c r="GM140" vm="10372">
        <f ca="1"/>
        <v>3966.3</v>
      </c>
      <c r="GN140" vm="10373">
        <f ca="1"/>
        <v>3973.3</v>
      </c>
      <c r="GO140" vm="10374">
        <f ca="1"/>
        <v>4136</v>
      </c>
      <c r="GP140" vm="10375">
        <f ca="1"/>
        <v>4083.4</v>
      </c>
      <c r="GQ140" vm="10376">
        <f ca="1"/>
        <v>4134.1000000000004</v>
      </c>
      <c r="GR140" vm="10377">
        <f ca="1"/>
        <v>4133.7</v>
      </c>
      <c r="GS140" vm="10378">
        <f ca="1"/>
        <v>4120.7</v>
      </c>
      <c r="GT140" vm="10379">
        <f ca="1"/>
        <v>4149.5</v>
      </c>
      <c r="GU140" vm="10380">
        <f ca="1"/>
        <v>4100.1000000000004</v>
      </c>
      <c r="GV140" vm="10381">
        <f ca="1"/>
        <v>4103.2</v>
      </c>
      <c r="GW140" vm="10382">
        <f ca="1"/>
        <v>4128.3</v>
      </c>
      <c r="GX140" vm="10383">
        <f ca="1"/>
        <v>4103.8</v>
      </c>
      <c r="GY140" vm="10384">
        <f ca="1"/>
        <v>4030.65</v>
      </c>
      <c r="GZ140" vm="10385">
        <f ca="1"/>
        <v>3991.5</v>
      </c>
      <c r="HA140" vm="10386">
        <f ca="1"/>
        <v>4087.1</v>
      </c>
      <c r="HB140" vm="10387">
        <f ca="1"/>
        <v>4052.1</v>
      </c>
      <c r="HC140" vm="10388">
        <f ca="1"/>
        <v>4001.05</v>
      </c>
      <c r="HD140" vm="10389">
        <f ca="1"/>
        <v>4104.3999999999996</v>
      </c>
      <c r="HE140" vm="10390">
        <f ca="1"/>
        <v>4118.95</v>
      </c>
      <c r="HF140" vm="10391">
        <f ca="1"/>
        <v>4095.1</v>
      </c>
      <c r="HG140" vm="10392">
        <f ca="1"/>
        <v>4094.35</v>
      </c>
      <c r="HH140" vm="10393">
        <f ca="1"/>
        <v>4107.1000000000004</v>
      </c>
      <c r="HI140" vm="10394">
        <f ca="1"/>
        <v>4080.7</v>
      </c>
      <c r="HJ140" vm="10395">
        <f ca="1"/>
        <v>4012.1</v>
      </c>
      <c r="HK140" vm="10396">
        <f ca="1"/>
        <v>4064.3</v>
      </c>
      <c r="HL140" vm="10397">
        <f ca="1"/>
        <v>4108.6000000000004</v>
      </c>
      <c r="HM140" vm="10398">
        <f ca="1"/>
        <v>4122.3500000000004</v>
      </c>
      <c r="HN140" vm="10399">
        <f ca="1"/>
        <v>4192.25</v>
      </c>
      <c r="HO140" vm="10400">
        <f ca="1"/>
        <v>4149</v>
      </c>
      <c r="HP140" vm="10401">
        <f ca="1"/>
        <v>4207.6000000000004</v>
      </c>
      <c r="HQ140" vm="10402">
        <f ca="1"/>
        <v>4219.25</v>
      </c>
      <c r="HR140" vm="10403">
        <f ca="1"/>
        <v>4152.5</v>
      </c>
      <c r="HS140" vm="10404">
        <f ca="1"/>
        <v>3977.3</v>
      </c>
      <c r="HT140" vm="10405">
        <f ca="1"/>
        <v>3970.9</v>
      </c>
      <c r="HU140" vm="10406">
        <f ca="1"/>
        <v>3972.95</v>
      </c>
      <c r="HV140" vm="10407">
        <f ca="1"/>
        <v>3910.9</v>
      </c>
      <c r="HW140" vm="10408">
        <f ca="1"/>
        <v>3877.5</v>
      </c>
      <c r="HX140" vm="10409">
        <f ca="1"/>
        <v>3840.9</v>
      </c>
      <c r="HY140" vm="10410">
        <f ca="1"/>
        <v>3876.3</v>
      </c>
      <c r="HZ140" vm="10411">
        <f ca="1"/>
        <v>3916.75</v>
      </c>
      <c r="IA140" vm="10412">
        <f ca="1"/>
        <v>3883.8</v>
      </c>
      <c r="IB140" vm="10413">
        <f ca="1"/>
        <v>3947.3</v>
      </c>
      <c r="IC140" vm="10414">
        <f ca="1"/>
        <v>4003.3</v>
      </c>
      <c r="ID140" vm="10415">
        <f ca="1"/>
        <v>3979.25</v>
      </c>
      <c r="IE140" vm="10416">
        <f ca="1"/>
        <v>3972.55</v>
      </c>
      <c r="IF140" vm="10417">
        <f ca="1"/>
        <v>3946.55</v>
      </c>
      <c r="IG140" vm="10418">
        <f ca="1"/>
        <v>3984.65</v>
      </c>
      <c r="IH140" vm="10419">
        <f ca="1"/>
        <v>4001.4</v>
      </c>
      <c r="II140" vm="10420">
        <f ca="1"/>
        <v>3941.2</v>
      </c>
      <c r="IJ140" vm="10421">
        <f ca="1"/>
        <v>3872.8</v>
      </c>
      <c r="IK140" vm="10422">
        <f ca="1"/>
        <v>3862</v>
      </c>
      <c r="IL140" vm="10423">
        <f ca="1"/>
        <v>3826.2</v>
      </c>
      <c r="IM140" vm="10424">
        <f ca="1"/>
        <v>3864.6</v>
      </c>
      <c r="IN140" vm="10425">
        <f ca="1"/>
        <v>3874.7</v>
      </c>
      <c r="IO140" vm="10426">
        <f ca="1"/>
        <v>3831.05</v>
      </c>
      <c r="IP140" vm="2774">
        <f ca="1"/>
        <v>3852.2</v>
      </c>
      <c r="IQ140" vm="2744">
        <f ca="1"/>
        <v>3821.35</v>
      </c>
      <c r="IR140" vm="10427">
        <f ca="1"/>
        <v>3870.2</v>
      </c>
    </row>
    <row r="141" spans="4:252" x14ac:dyDescent="0.35">
      <c r="D141" t="e" vm="48">
        <v>#VALUE!</v>
      </c>
      <c r="E141" cm="1" vm="596">
        <f t="array" aca="1" ref="E141:IR141" ca="1">TRANSPOSE((_xlfn.STOCKHISTORY('Portfolio Tracker '!$C55,TODAY()-365,TODAY(),0,0,1)))</f>
        <v>180.35</v>
      </c>
      <c r="F141" vm="7696">
        <f ca="1"/>
        <v>171.05</v>
      </c>
      <c r="G141" vm="462">
        <f ca="1"/>
        <v>178</v>
      </c>
      <c r="H141" vm="601">
        <f ca="1"/>
        <v>180.05</v>
      </c>
      <c r="I141" vm="10428">
        <f ca="1"/>
        <v>175.2</v>
      </c>
      <c r="J141" vm="10429">
        <f ca="1"/>
        <v>181.35</v>
      </c>
      <c r="K141" vm="459">
        <f ca="1"/>
        <v>177.65</v>
      </c>
      <c r="L141" vm="473">
        <f ca="1"/>
        <v>193.75</v>
      </c>
      <c r="M141" vm="10430">
        <f ca="1"/>
        <v>201.1</v>
      </c>
      <c r="N141" vm="10431">
        <f ca="1"/>
        <v>194.6</v>
      </c>
      <c r="O141" vm="10432">
        <f ca="1"/>
        <v>192.6</v>
      </c>
      <c r="P141" vm="10433">
        <f ca="1"/>
        <v>193.6</v>
      </c>
      <c r="Q141" vm="10434">
        <f ca="1"/>
        <v>193.9</v>
      </c>
      <c r="R141" vm="10435">
        <f ca="1"/>
        <v>195.45</v>
      </c>
      <c r="S141" vm="4678">
        <f ca="1"/>
        <v>200</v>
      </c>
      <c r="T141" vm="10436">
        <f ca="1"/>
        <v>199.6</v>
      </c>
      <c r="U141" vm="4683">
        <f ca="1"/>
        <v>204.35</v>
      </c>
      <c r="V141" vm="10437">
        <f ca="1"/>
        <v>207.4</v>
      </c>
      <c r="W141" vm="636">
        <f ca="1"/>
        <v>202.7</v>
      </c>
      <c r="X141" vm="10438">
        <f ca="1"/>
        <v>200.45</v>
      </c>
      <c r="Y141" vm="473">
        <f ca="1"/>
        <v>193.75</v>
      </c>
      <c r="Z141" vm="4675">
        <f ca="1"/>
        <v>207</v>
      </c>
      <c r="AA141" vm="10439">
        <f ca="1"/>
        <v>216.25</v>
      </c>
      <c r="AB141" vm="4711">
        <f ca="1"/>
        <v>222.5</v>
      </c>
      <c r="AC141" vm="5598">
        <f ca="1"/>
        <v>227.65</v>
      </c>
      <c r="AD141" vm="3545">
        <f ca="1"/>
        <v>222.45</v>
      </c>
      <c r="AE141" vm="10440">
        <f ca="1"/>
        <v>223.65</v>
      </c>
      <c r="AF141" vm="5602">
        <f ca="1"/>
        <v>227.35</v>
      </c>
      <c r="AG141" vm="10441">
        <f ca="1"/>
        <v>217.6</v>
      </c>
      <c r="AH141" vm="9884">
        <f ca="1"/>
        <v>217.4</v>
      </c>
      <c r="AI141" vm="10442">
        <f ca="1"/>
        <v>217.5</v>
      </c>
      <c r="AJ141" vm="4715">
        <f ca="1"/>
        <v>217.65</v>
      </c>
      <c r="AK141" vm="9864">
        <f ca="1"/>
        <v>216.75</v>
      </c>
      <c r="AL141" vm="10443">
        <f ca="1"/>
        <v>213.85</v>
      </c>
      <c r="AM141" vm="10444">
        <f ca="1"/>
        <v>216.65</v>
      </c>
      <c r="AN141" vm="4748">
        <f ca="1"/>
        <v>214.45</v>
      </c>
      <c r="AO141" vm="10445">
        <f ca="1"/>
        <v>210.1</v>
      </c>
      <c r="AP141" vm="10446">
        <f ca="1"/>
        <v>217.55</v>
      </c>
      <c r="AQ141" vm="5656">
        <f ca="1"/>
        <v>232.95</v>
      </c>
      <c r="AR141" vm="10447">
        <f ca="1"/>
        <v>220.75</v>
      </c>
      <c r="AS141" vm="10448">
        <f ca="1"/>
        <v>225.95</v>
      </c>
      <c r="AT141" vm="10449">
        <f ca="1"/>
        <v>223.2</v>
      </c>
      <c r="AU141" vm="10450">
        <f ca="1"/>
        <v>247.1</v>
      </c>
      <c r="AV141" vm="7705">
        <f ca="1"/>
        <v>241.8</v>
      </c>
      <c r="AW141" vm="10451">
        <f ca="1"/>
        <v>241.45</v>
      </c>
      <c r="AX141" vm="10452">
        <f ca="1"/>
        <v>236.35</v>
      </c>
      <c r="AY141" vm="9889">
        <f ca="1"/>
        <v>235.45</v>
      </c>
      <c r="AZ141" vm="10453">
        <f ca="1"/>
        <v>235.9</v>
      </c>
      <c r="BA141" vm="5672">
        <f ca="1"/>
        <v>239.85</v>
      </c>
      <c r="BB141" vm="10454">
        <f ca="1"/>
        <v>243.55</v>
      </c>
      <c r="BC141" vm="10455">
        <f ca="1"/>
        <v>252.3</v>
      </c>
      <c r="BD141" vm="10456">
        <f ca="1"/>
        <v>249.3</v>
      </c>
      <c r="BE141" vm="10457">
        <f ca="1"/>
        <v>249.05</v>
      </c>
      <c r="BF141" vm="10458">
        <f ca="1"/>
        <v>244.7</v>
      </c>
      <c r="BG141" vm="10459">
        <f ca="1"/>
        <v>245.25</v>
      </c>
      <c r="BH141" vm="10460">
        <f ca="1"/>
        <v>249.2</v>
      </c>
      <c r="BI141" vm="7742">
        <f ca="1"/>
        <v>248.35</v>
      </c>
      <c r="BJ141" vm="10461">
        <f ca="1"/>
        <v>253.7</v>
      </c>
      <c r="BK141" vm="10462">
        <f ca="1"/>
        <v>253.1</v>
      </c>
      <c r="BL141" vm="10463">
        <f ca="1"/>
        <v>255.4</v>
      </c>
      <c r="BM141" vm="10464">
        <f ca="1"/>
        <v>259.8</v>
      </c>
      <c r="BN141" vm="10465">
        <f ca="1"/>
        <v>259.05</v>
      </c>
      <c r="BO141" vm="10466">
        <f ca="1"/>
        <v>259.39999999999998</v>
      </c>
      <c r="BP141" vm="10467">
        <f ca="1"/>
        <v>260.7</v>
      </c>
      <c r="BQ141" vm="10468">
        <f ca="1"/>
        <v>262.55</v>
      </c>
      <c r="BR141" vm="10469">
        <f ca="1"/>
        <v>261.60000000000002</v>
      </c>
      <c r="BS141" vm="10470">
        <f ca="1"/>
        <v>262.39999999999998</v>
      </c>
      <c r="BT141" vm="10471">
        <f ca="1"/>
        <v>261.7</v>
      </c>
      <c r="BU141" vm="10472">
        <f ca="1"/>
        <v>255.7</v>
      </c>
      <c r="BV141" vm="10473">
        <f ca="1"/>
        <v>254.7</v>
      </c>
      <c r="BW141" vm="9940">
        <f ca="1"/>
        <v>254.95</v>
      </c>
      <c r="BX141" vm="10474">
        <f ca="1"/>
        <v>251.05</v>
      </c>
      <c r="BY141" vm="10475">
        <f ca="1"/>
        <v>249.1</v>
      </c>
      <c r="BZ141" vm="10476">
        <f ca="1"/>
        <v>244.85</v>
      </c>
      <c r="CA141" vm="9899">
        <f ca="1"/>
        <v>243.5</v>
      </c>
      <c r="CB141" vm="10477">
        <f ca="1"/>
        <v>246.7</v>
      </c>
      <c r="CC141" vm="10478">
        <f ca="1"/>
        <v>254.35</v>
      </c>
      <c r="CD141" vm="10479">
        <f ca="1"/>
        <v>260.3</v>
      </c>
      <c r="CE141" vm="10480">
        <f ca="1"/>
        <v>257.3</v>
      </c>
      <c r="CF141" vm="10481">
        <f ca="1"/>
        <v>254.3</v>
      </c>
      <c r="CG141" vm="10482">
        <f ca="1"/>
        <v>253.6</v>
      </c>
      <c r="CH141" vm="10483">
        <f ca="1"/>
        <v>261.39999999999998</v>
      </c>
      <c r="CI141" vm="10484">
        <f ca="1"/>
        <v>260.60000000000002</v>
      </c>
      <c r="CJ141" vm="10485">
        <f ca="1"/>
        <v>261.8</v>
      </c>
      <c r="CK141" vm="9921">
        <f ca="1"/>
        <v>259.75</v>
      </c>
      <c r="CL141" vm="9912">
        <f ca="1"/>
        <v>265</v>
      </c>
      <c r="CM141" vm="10486">
        <f ca="1"/>
        <v>264.25</v>
      </c>
      <c r="CN141" vm="10487">
        <f ca="1"/>
        <v>267.95</v>
      </c>
      <c r="CO141" vm="10488">
        <f ca="1"/>
        <v>283.75</v>
      </c>
      <c r="CP141" vm="3580">
        <f ca="1"/>
        <v>277.8</v>
      </c>
      <c r="CQ141" vm="10489">
        <f ca="1"/>
        <v>276.45</v>
      </c>
      <c r="CR141" vm="10490">
        <f ca="1"/>
        <v>275.64999999999998</v>
      </c>
      <c r="CS141" vm="10491">
        <f ca="1"/>
        <v>273.60000000000002</v>
      </c>
      <c r="CT141" vm="10492">
        <f ca="1"/>
        <v>263.5</v>
      </c>
      <c r="CU141" vm="10480">
        <f ca="1"/>
        <v>257.3</v>
      </c>
      <c r="CV141" vm="10493">
        <f ca="1"/>
        <v>252.65</v>
      </c>
      <c r="CW141" vm="9930">
        <f ca="1"/>
        <v>253.05</v>
      </c>
      <c r="CX141" vm="5586">
        <f ca="1"/>
        <v>245.15</v>
      </c>
      <c r="CY141" vm="10494">
        <f ca="1"/>
        <v>243.3</v>
      </c>
      <c r="CZ141" vm="10495">
        <f ca="1"/>
        <v>243.85</v>
      </c>
      <c r="DA141" vm="10496">
        <f ca="1"/>
        <v>247.65</v>
      </c>
      <c r="DB141" vm="5643">
        <f ca="1"/>
        <v>245.6</v>
      </c>
      <c r="DC141" vm="10497">
        <f ca="1"/>
        <v>250.5</v>
      </c>
      <c r="DD141" vm="10498">
        <f ca="1"/>
        <v>252.35</v>
      </c>
      <c r="DE141" vm="10463">
        <f ca="1"/>
        <v>255.4</v>
      </c>
      <c r="DF141" vm="10499">
        <f ca="1"/>
        <v>257.89999999999998</v>
      </c>
      <c r="DG141" vm="10500">
        <f ca="1"/>
        <v>264.55</v>
      </c>
      <c r="DH141" vm="3550">
        <f ca="1"/>
        <v>260.05</v>
      </c>
      <c r="DI141" vm="10501">
        <f ca="1"/>
        <v>252.2</v>
      </c>
      <c r="DJ141" vm="10502">
        <f ca="1"/>
        <v>254.9</v>
      </c>
      <c r="DK141" vm="10503">
        <f ca="1"/>
        <v>254.85</v>
      </c>
      <c r="DL141" vm="9925">
        <f ca="1"/>
        <v>258.75</v>
      </c>
      <c r="DM141" vm="10504">
        <f ca="1"/>
        <v>264.89999999999998</v>
      </c>
      <c r="DN141" vm="10505">
        <f ca="1"/>
        <v>254.55</v>
      </c>
      <c r="DO141" vm="10506">
        <f ca="1"/>
        <v>249.85</v>
      </c>
      <c r="DP141" vm="10507">
        <f ca="1"/>
        <v>250.85</v>
      </c>
      <c r="DQ141" vm="10461">
        <f ca="1"/>
        <v>253.7</v>
      </c>
      <c r="DR141" vm="10508">
        <f ca="1"/>
        <v>252.1</v>
      </c>
      <c r="DS141" vm="10509">
        <f ca="1"/>
        <v>252.6</v>
      </c>
      <c r="DT141" vm="5676">
        <f ca="1"/>
        <v>253.8</v>
      </c>
      <c r="DU141" vm="10510">
        <f ca="1"/>
        <v>242.45</v>
      </c>
      <c r="DV141" vm="10511">
        <f ca="1"/>
        <v>230.95</v>
      </c>
      <c r="DW141" vm="10512">
        <f ca="1"/>
        <v>236</v>
      </c>
      <c r="DX141" vm="10513">
        <f ca="1"/>
        <v>244.3</v>
      </c>
      <c r="DY141" vm="5668">
        <f ca="1"/>
        <v>243.25</v>
      </c>
      <c r="DZ141" vm="10514">
        <f ca="1"/>
        <v>242.2</v>
      </c>
      <c r="EA141" vm="10515">
        <f ca="1"/>
        <v>242.75</v>
      </c>
      <c r="EB141" vm="10514">
        <f ca="1"/>
        <v>242.2</v>
      </c>
      <c r="EC141" vm="5661">
        <f ca="1"/>
        <v>243.65</v>
      </c>
      <c r="ED141" vm="10516">
        <f ca="1"/>
        <v>249.4</v>
      </c>
      <c r="EE141" vm="10517">
        <f ca="1"/>
        <v>257.95</v>
      </c>
      <c r="EF141" vm="10464">
        <f ca="1"/>
        <v>259.8</v>
      </c>
      <c r="EG141" vm="10518">
        <f ca="1"/>
        <v>272.25</v>
      </c>
      <c r="EH141" vm="10519">
        <f ca="1"/>
        <v>263.35000000000002</v>
      </c>
      <c r="EI141" vm="3562">
        <f ca="1"/>
        <v>271.8</v>
      </c>
      <c r="EJ141" vm="10520">
        <f ca="1"/>
        <v>271.55</v>
      </c>
      <c r="EK141" vm="10521">
        <f ca="1"/>
        <v>279.3</v>
      </c>
      <c r="EL141" vm="10522">
        <f ca="1"/>
        <v>275.60000000000002</v>
      </c>
      <c r="EM141" vm="10523">
        <f ca="1"/>
        <v>267.60000000000002</v>
      </c>
      <c r="EN141" vm="10524">
        <f ca="1"/>
        <v>276.7</v>
      </c>
      <c r="EO141" vm="10525">
        <f ca="1"/>
        <v>278.64999999999998</v>
      </c>
      <c r="EP141" vm="10526">
        <f ca="1"/>
        <v>280.89999999999998</v>
      </c>
      <c r="EQ141" vm="10527">
        <f ca="1"/>
        <v>283.05</v>
      </c>
      <c r="ER141" vm="10528">
        <f ca="1"/>
        <v>278.14999999999998</v>
      </c>
      <c r="ES141" vm="10529">
        <f ca="1"/>
        <v>281.05</v>
      </c>
      <c r="ET141" vm="10527">
        <f ca="1"/>
        <v>283.05</v>
      </c>
      <c r="EU141" vm="3595">
        <f ca="1"/>
        <v>277.05</v>
      </c>
      <c r="EV141" vm="10530">
        <f ca="1"/>
        <v>276.5</v>
      </c>
      <c r="EW141" vm="10531">
        <f ca="1"/>
        <v>277.5</v>
      </c>
      <c r="EX141" vm="10532">
        <f ca="1"/>
        <v>271.7</v>
      </c>
      <c r="EY141" vm="5679">
        <f ca="1"/>
        <v>268.5</v>
      </c>
      <c r="EZ141" vm="10533">
        <f ca="1"/>
        <v>265.35000000000002</v>
      </c>
      <c r="FA141" vm="10534">
        <f ca="1"/>
        <v>269.5</v>
      </c>
      <c r="FB141" vm="10535">
        <f ca="1"/>
        <v>267.8</v>
      </c>
      <c r="FC141" vm="10536">
        <f ca="1"/>
        <v>268.8</v>
      </c>
      <c r="FD141" vm="10528">
        <f ca="1"/>
        <v>278.14999999999998</v>
      </c>
      <c r="FE141" vm="10537">
        <f ca="1"/>
        <v>295.10000000000002</v>
      </c>
      <c r="FF141" vm="10538">
        <f ca="1"/>
        <v>290.7</v>
      </c>
      <c r="FG141" vm="4790">
        <f ca="1"/>
        <v>287.7</v>
      </c>
      <c r="FH141" vm="10539">
        <f ca="1"/>
        <v>288.89999999999998</v>
      </c>
      <c r="FI141" vm="10540">
        <f ca="1"/>
        <v>271.5</v>
      </c>
      <c r="FJ141" vm="10541">
        <f ca="1"/>
        <v>267.85000000000002</v>
      </c>
      <c r="FK141" vm="10542">
        <f ca="1"/>
        <v>267.55</v>
      </c>
      <c r="FL141" vm="10543">
        <f ca="1"/>
        <v>266</v>
      </c>
      <c r="FM141" vm="3557">
        <f ca="1"/>
        <v>262.2</v>
      </c>
      <c r="FN141" vm="10544">
        <f ca="1"/>
        <v>261.64999999999998</v>
      </c>
      <c r="FO141" vm="3550">
        <f ca="1"/>
        <v>260.05</v>
      </c>
      <c r="FP141" vm="10545">
        <f ca="1"/>
        <v>266.60000000000002</v>
      </c>
      <c r="FQ141" vm="3578">
        <f ca="1"/>
        <v>266.89999999999998</v>
      </c>
      <c r="FR141" vm="10546">
        <f ca="1"/>
        <v>267.64999999999998</v>
      </c>
      <c r="FS141" vm="10547">
        <f ca="1"/>
        <v>275.95</v>
      </c>
      <c r="FT141" vm="10548">
        <f ca="1"/>
        <v>283.35000000000002</v>
      </c>
      <c r="FU141" vm="10549">
        <f ca="1"/>
        <v>278.75</v>
      </c>
      <c r="FV141" vm="10550">
        <f ca="1"/>
        <v>282.55</v>
      </c>
      <c r="FW141" vm="10551">
        <f ca="1"/>
        <v>284.39999999999998</v>
      </c>
      <c r="FX141" vm="10552">
        <f ca="1"/>
        <v>286.39999999999998</v>
      </c>
      <c r="FY141" vm="10553">
        <f ca="1"/>
        <v>283.45</v>
      </c>
      <c r="FZ141" vm="10554">
        <f ca="1"/>
        <v>279.60000000000002</v>
      </c>
      <c r="GA141" vm="10555">
        <f ca="1"/>
        <v>274.89999999999998</v>
      </c>
      <c r="GB141" vm="10556">
        <f ca="1"/>
        <v>266.7</v>
      </c>
      <c r="GC141" vm="10557">
        <f ca="1"/>
        <v>270.05</v>
      </c>
      <c r="GD141" vm="10558">
        <f ca="1"/>
        <v>277.89999999999998</v>
      </c>
      <c r="GE141" vm="10559">
        <f ca="1"/>
        <v>273.89999999999998</v>
      </c>
      <c r="GF141" vm="10560">
        <f ca="1"/>
        <v>272.45</v>
      </c>
      <c r="GG141" vm="10561">
        <f ca="1"/>
        <v>275.7</v>
      </c>
      <c r="GH141" vm="10562">
        <f ca="1"/>
        <v>271.39999999999998</v>
      </c>
      <c r="GI141" vm="10563">
        <f ca="1"/>
        <v>278.3</v>
      </c>
      <c r="GJ141" vm="10564">
        <f ca="1"/>
        <v>291.85000000000002</v>
      </c>
      <c r="GK141" vm="10565">
        <f ca="1"/>
        <v>302.39999999999998</v>
      </c>
      <c r="GL141" vm="10566">
        <f ca="1"/>
        <v>299.89999999999998</v>
      </c>
      <c r="GM141" vm="3592">
        <f ca="1"/>
        <v>288.64999999999998</v>
      </c>
      <c r="GN141" vm="10567">
        <f ca="1"/>
        <v>284.45</v>
      </c>
      <c r="GO141" vm="10568">
        <f ca="1"/>
        <v>291.7</v>
      </c>
      <c r="GP141" vm="10569">
        <f ca="1"/>
        <v>291.10000000000002</v>
      </c>
      <c r="GQ141" vm="10570">
        <f ca="1"/>
        <v>290.85000000000002</v>
      </c>
      <c r="GR141" vm="10571">
        <f ca="1"/>
        <v>283.14999999999998</v>
      </c>
      <c r="GS141" vm="10572">
        <f ca="1"/>
        <v>268.05</v>
      </c>
      <c r="GT141" vm="10573">
        <f ca="1"/>
        <v>284.95</v>
      </c>
      <c r="GU141" vm="10574">
        <f ca="1"/>
        <v>279.2</v>
      </c>
      <c r="GV141" vm="10575">
        <f ca="1"/>
        <v>277.35000000000002</v>
      </c>
      <c r="GW141" vm="10576">
        <f ca="1"/>
        <v>274.45</v>
      </c>
      <c r="GX141" vm="4773">
        <f ca="1"/>
        <v>273.8</v>
      </c>
      <c r="GY141" vm="9952">
        <f ca="1"/>
        <v>273.39999999999998</v>
      </c>
      <c r="GZ141" vm="10577">
        <f ca="1"/>
        <v>272.05</v>
      </c>
      <c r="HA141" vm="10578">
        <f ca="1"/>
        <v>268</v>
      </c>
      <c r="HB141" vm="10579">
        <f ca="1"/>
        <v>285.10000000000002</v>
      </c>
      <c r="HC141" vm="10580">
        <f ca="1"/>
        <v>301.25</v>
      </c>
      <c r="HD141" vm="10581">
        <f ca="1"/>
        <v>293.35000000000002</v>
      </c>
      <c r="HE141" vm="10582">
        <f ca="1"/>
        <v>293.7</v>
      </c>
      <c r="HF141" vm="10583">
        <f ca="1"/>
        <v>298.3</v>
      </c>
      <c r="HG141" vm="10581">
        <f ca="1"/>
        <v>293.35000000000002</v>
      </c>
      <c r="HH141" vm="10584">
        <f ca="1"/>
        <v>295.39999999999998</v>
      </c>
      <c r="HI141" vm="10585">
        <f ca="1"/>
        <v>329</v>
      </c>
      <c r="HJ141" vm="10586">
        <f ca="1"/>
        <v>317.85000000000002</v>
      </c>
      <c r="HK141" vm="3603">
        <f ca="1"/>
        <v>303.85000000000002</v>
      </c>
      <c r="HL141" vm="10587">
        <f ca="1"/>
        <v>304.95</v>
      </c>
      <c r="HM141" vm="10570">
        <f ca="1"/>
        <v>290.85000000000002</v>
      </c>
      <c r="HN141" vm="7756">
        <f ca="1"/>
        <v>282</v>
      </c>
      <c r="HO141" vm="10588">
        <f ca="1"/>
        <v>264.75</v>
      </c>
      <c r="HP141" vm="10589">
        <f ca="1"/>
        <v>270.60000000000002</v>
      </c>
      <c r="HQ141" vm="10590">
        <f ca="1"/>
        <v>266.10000000000002</v>
      </c>
      <c r="HR141" vm="10578">
        <f ca="1"/>
        <v>268</v>
      </c>
      <c r="HS141" vm="10591">
        <f ca="1"/>
        <v>267.14999999999998</v>
      </c>
      <c r="HT141" vm="10523">
        <f ca="1"/>
        <v>267.60000000000002</v>
      </c>
      <c r="HU141" vm="10592">
        <f ca="1"/>
        <v>272.35000000000002</v>
      </c>
      <c r="HV141" vm="10593">
        <f ca="1"/>
        <v>272.3</v>
      </c>
      <c r="HW141" vm="10594">
        <f ca="1"/>
        <v>281.2</v>
      </c>
      <c r="HX141" vm="10595">
        <f ca="1"/>
        <v>304.75</v>
      </c>
      <c r="HY141" vm="10596">
        <f ca="1"/>
        <v>296.7</v>
      </c>
      <c r="HZ141" vm="10597">
        <f ca="1"/>
        <v>306.89999999999998</v>
      </c>
      <c r="IA141" vm="10598">
        <f ca="1"/>
        <v>306.45</v>
      </c>
      <c r="IB141" vm="10599">
        <f ca="1"/>
        <v>306</v>
      </c>
      <c r="IC141" vm="10600">
        <f ca="1"/>
        <v>305</v>
      </c>
      <c r="ID141" vm="10601">
        <f ca="1"/>
        <v>302.75</v>
      </c>
      <c r="IE141" vm="10602">
        <f ca="1"/>
        <v>295.7</v>
      </c>
      <c r="IF141" vm="10603">
        <f ca="1"/>
        <v>291.5</v>
      </c>
      <c r="IG141" vm="7773">
        <f ca="1"/>
        <v>293.45</v>
      </c>
      <c r="IH141" vm="7758">
        <f ca="1"/>
        <v>289.60000000000002</v>
      </c>
      <c r="II141" vm="10604">
        <f ca="1"/>
        <v>289.95</v>
      </c>
      <c r="IJ141" vm="10605">
        <f ca="1"/>
        <v>290.25</v>
      </c>
      <c r="IK141" vm="10606">
        <f ca="1"/>
        <v>292.05</v>
      </c>
      <c r="IL141" vm="3582">
        <f ca="1"/>
        <v>290.95</v>
      </c>
      <c r="IM141" vm="10607">
        <f ca="1"/>
        <v>326.8</v>
      </c>
      <c r="IN141" vm="10608">
        <f ca="1"/>
        <v>340.15</v>
      </c>
      <c r="IO141" vm="10609">
        <f ca="1"/>
        <v>342.85</v>
      </c>
      <c r="IP141" vm="10610">
        <f ca="1"/>
        <v>345.1</v>
      </c>
      <c r="IQ141" vm="10611">
        <f ca="1"/>
        <v>350.05</v>
      </c>
      <c r="IR141" vm="10612">
        <f ca="1"/>
        <v>348.2</v>
      </c>
    </row>
    <row r="142" spans="4:252" x14ac:dyDescent="0.35">
      <c r="D142" t="e" vm="49">
        <v>#VALUE!</v>
      </c>
      <c r="E142" cm="1" vm="10613">
        <f t="array" aca="1" ref="E142:IR142" ca="1">TRANSPOSE((_xlfn.STOCKHISTORY('Portfolio Tracker '!$C56,TODAY()-365,TODAY(),0,0,1)))</f>
        <v>2663.85</v>
      </c>
      <c r="F142" vm="10614">
        <f ca="1"/>
        <v>2654.05</v>
      </c>
      <c r="G142" vm="10615">
        <f ca="1"/>
        <v>2670.4</v>
      </c>
      <c r="H142" vm="1315">
        <f ca="1"/>
        <v>2732.9</v>
      </c>
      <c r="I142" vm="10616">
        <f ca="1"/>
        <v>2751.25</v>
      </c>
      <c r="J142" vm="10617">
        <f ca="1"/>
        <v>2748.4</v>
      </c>
      <c r="K142" vm="10618">
        <f ca="1"/>
        <v>2745.45</v>
      </c>
      <c r="L142" vm="10619">
        <f ca="1"/>
        <v>2757.85</v>
      </c>
      <c r="M142" vm="10620">
        <f ca="1"/>
        <v>2773.2</v>
      </c>
      <c r="N142" vm="10621">
        <f ca="1"/>
        <v>2779.55</v>
      </c>
      <c r="O142" vm="10622">
        <f ca="1"/>
        <v>2790.25</v>
      </c>
      <c r="P142" vm="10623">
        <f ca="1"/>
        <v>2762.4</v>
      </c>
      <c r="Q142" vm="10624">
        <f ca="1"/>
        <v>2721.85</v>
      </c>
      <c r="R142" vm="10625">
        <f ca="1"/>
        <v>2701.65</v>
      </c>
      <c r="S142" vm="10626">
        <f ca="1"/>
        <v>2712.55</v>
      </c>
      <c r="T142" vm="10627">
        <f ca="1"/>
        <v>2683.45</v>
      </c>
      <c r="U142" vm="10628">
        <f ca="1"/>
        <v>2707.25</v>
      </c>
      <c r="V142" vm="10629">
        <f ca="1"/>
        <v>2707.95</v>
      </c>
      <c r="W142" vm="10630">
        <f ca="1"/>
        <v>2742.15</v>
      </c>
      <c r="X142" vm="10631">
        <f ca="1"/>
        <v>2812.25</v>
      </c>
      <c r="Y142" vm="10632">
        <f ca="1"/>
        <v>2802.5</v>
      </c>
      <c r="Z142" vm="10633">
        <f ca="1"/>
        <v>2823.25</v>
      </c>
      <c r="AA142" vm="10634">
        <f ca="1"/>
        <v>2827.25</v>
      </c>
      <c r="AB142" vm="10635">
        <f ca="1"/>
        <v>2861.65</v>
      </c>
      <c r="AC142" vm="10636">
        <f ca="1"/>
        <v>2855.7</v>
      </c>
      <c r="AD142" vm="10637">
        <f ca="1"/>
        <v>2881.45</v>
      </c>
      <c r="AE142" vm="10638">
        <f ca="1"/>
        <v>2906.95</v>
      </c>
      <c r="AF142" vm="10639">
        <f ca="1"/>
        <v>2877</v>
      </c>
      <c r="AG142" vm="10640">
        <f ca="1"/>
        <v>2876.25</v>
      </c>
      <c r="AH142" vm="10641">
        <f ca="1"/>
        <v>2852.6</v>
      </c>
      <c r="AI142" vm="10642">
        <f ca="1"/>
        <v>2912.5</v>
      </c>
      <c r="AJ142" vm="10643">
        <f ca="1"/>
        <v>2907.05</v>
      </c>
      <c r="AK142" vm="10644">
        <f ca="1"/>
        <v>2908</v>
      </c>
      <c r="AL142" vm="10645">
        <f ca="1"/>
        <v>2954.3</v>
      </c>
      <c r="AM142" vm="10646">
        <f ca="1"/>
        <v>2968.6</v>
      </c>
      <c r="AN142" vm="10647">
        <f ca="1"/>
        <v>2974</v>
      </c>
      <c r="AO142" vm="10648">
        <f ca="1"/>
        <v>2971.1</v>
      </c>
      <c r="AP142" vm="10649">
        <f ca="1"/>
        <v>2970.25</v>
      </c>
      <c r="AQ142" vm="10650">
        <f ca="1"/>
        <v>2939.15</v>
      </c>
      <c r="AR142" vm="10651">
        <f ca="1"/>
        <v>2972.6</v>
      </c>
      <c r="AS142" vm="10652">
        <f ca="1"/>
        <v>2975.7</v>
      </c>
      <c r="AT142" vm="10653">
        <f ca="1"/>
        <v>3028.1</v>
      </c>
      <c r="AU142" vm="10654">
        <f ca="1"/>
        <v>3047.65</v>
      </c>
      <c r="AV142" vm="10655">
        <f ca="1"/>
        <v>3038.3</v>
      </c>
      <c r="AW142" vm="10656">
        <f ca="1"/>
        <v>3074.65</v>
      </c>
      <c r="AX142" vm="10657">
        <f ca="1"/>
        <v>3099.85</v>
      </c>
      <c r="AY142" vm="10658">
        <f ca="1"/>
        <v>3106.4</v>
      </c>
      <c r="AZ142" vm="10659">
        <f ca="1"/>
        <v>3144</v>
      </c>
      <c r="BA142" vm="10660">
        <f ca="1"/>
        <v>3045.55</v>
      </c>
      <c r="BB142" vm="10661">
        <f ca="1"/>
        <v>3087.6</v>
      </c>
      <c r="BC142" vm="10662">
        <f ca="1"/>
        <v>3096.5</v>
      </c>
      <c r="BD142" vm="10663">
        <f ca="1"/>
        <v>3084.75</v>
      </c>
      <c r="BE142" vm="10664">
        <f ca="1"/>
        <v>3055.55</v>
      </c>
      <c r="BF142" vm="10665">
        <f ca="1"/>
        <v>3033.45</v>
      </c>
      <c r="BG142" vm="10666">
        <f ca="1"/>
        <v>2996.45</v>
      </c>
      <c r="BH142" vm="10667">
        <f ca="1"/>
        <v>2995.65</v>
      </c>
      <c r="BI142" vm="10668">
        <f ca="1"/>
        <v>2989.3</v>
      </c>
      <c r="BJ142" vm="10669">
        <f ca="1"/>
        <v>2976.3</v>
      </c>
      <c r="BK142" vm="10670">
        <f ca="1"/>
        <v>2979.2</v>
      </c>
      <c r="BL142" vm="10671">
        <f ca="1"/>
        <v>3029</v>
      </c>
      <c r="BM142" vm="10672">
        <f ca="1"/>
        <v>3008.35</v>
      </c>
      <c r="BN142" vm="10673">
        <f ca="1"/>
        <v>3002.1</v>
      </c>
      <c r="BO142" vm="10674">
        <f ca="1"/>
        <v>2987</v>
      </c>
      <c r="BP142" vm="10675">
        <f ca="1"/>
        <v>3004.05</v>
      </c>
      <c r="BQ142" vm="10676">
        <f ca="1"/>
        <v>3001.9</v>
      </c>
      <c r="BR142" vm="10677">
        <f ca="1"/>
        <v>2977.15</v>
      </c>
      <c r="BS142" vm="10678">
        <f ca="1"/>
        <v>2902.1</v>
      </c>
      <c r="BT142" vm="10679">
        <f ca="1"/>
        <v>2904.4</v>
      </c>
      <c r="BU142" vm="10680">
        <f ca="1"/>
        <v>2904.6</v>
      </c>
      <c r="BV142" vm="10681">
        <f ca="1"/>
        <v>2921.25</v>
      </c>
      <c r="BW142" vm="10682">
        <f ca="1"/>
        <v>2955.9</v>
      </c>
      <c r="BX142" vm="10683">
        <f ca="1"/>
        <v>2988.55</v>
      </c>
      <c r="BY142" vm="10684">
        <f ca="1"/>
        <v>3017.25</v>
      </c>
      <c r="BZ142" vm="10685">
        <f ca="1"/>
        <v>3010.65</v>
      </c>
      <c r="CA142" vm="10686">
        <f ca="1"/>
        <v>3011.1</v>
      </c>
      <c r="CB142" vm="10687">
        <f ca="1"/>
        <v>3071.75</v>
      </c>
      <c r="CC142" vm="10688">
        <f ca="1"/>
        <v>3050.45</v>
      </c>
      <c r="CD142" vm="10689">
        <f ca="1"/>
        <v>3078.3</v>
      </c>
      <c r="CE142" vm="10690">
        <f ca="1"/>
        <v>3075.6</v>
      </c>
      <c r="CF142" vm="10691">
        <f ca="1"/>
        <v>3070</v>
      </c>
      <c r="CG142" vm="10692">
        <f ca="1"/>
        <v>3061.2</v>
      </c>
      <c r="CH142" vm="10693">
        <f ca="1"/>
        <v>3067.2</v>
      </c>
      <c r="CI142" vm="10694">
        <f ca="1"/>
        <v>3048.55</v>
      </c>
      <c r="CJ142" vm="10695">
        <f ca="1"/>
        <v>3079.4</v>
      </c>
      <c r="CK142" vm="10696">
        <f ca="1"/>
        <v>3082.2</v>
      </c>
      <c r="CL142" vm="10697">
        <f ca="1"/>
        <v>3104.45</v>
      </c>
      <c r="CM142" vm="10698">
        <f ca="1"/>
        <v>3116.8</v>
      </c>
      <c r="CN142" vm="10699">
        <f ca="1"/>
        <v>3100.3</v>
      </c>
      <c r="CO142" vm="1029">
        <f ca="1"/>
        <v>3136.15</v>
      </c>
      <c r="CP142" vm="10700">
        <f ca="1"/>
        <v>3176.05</v>
      </c>
      <c r="CQ142" vm="10701">
        <f ca="1"/>
        <v>3172.8</v>
      </c>
      <c r="CR142" vm="10702">
        <f ca="1"/>
        <v>3199.1</v>
      </c>
      <c r="CS142" vm="10703">
        <f ca="1"/>
        <v>3213.3</v>
      </c>
      <c r="CT142" vm="10704">
        <f ca="1"/>
        <v>3185.8</v>
      </c>
      <c r="CU142" vm="10705">
        <f ca="1"/>
        <v>3263.2</v>
      </c>
      <c r="CV142" vm="10706">
        <f ca="1"/>
        <v>3261.35</v>
      </c>
      <c r="CW142" vm="10707">
        <f ca="1"/>
        <v>3248.6</v>
      </c>
      <c r="CX142" vm="10708">
        <f ca="1"/>
        <v>3339.5</v>
      </c>
      <c r="CY142" vm="10709">
        <f ca="1"/>
        <v>3306.65</v>
      </c>
      <c r="CZ142" vm="10710">
        <f ca="1"/>
        <v>3304.5</v>
      </c>
      <c r="DA142" vm="10711">
        <f ca="1"/>
        <v>3274.5</v>
      </c>
      <c r="DB142" vm="10712">
        <f ca="1"/>
        <v>3283.95</v>
      </c>
      <c r="DC142" vm="10713">
        <f ca="1"/>
        <v>3262.6</v>
      </c>
      <c r="DD142" vm="10714">
        <f ca="1"/>
        <v>3214.55</v>
      </c>
      <c r="DE142" vm="10715">
        <f ca="1"/>
        <v>3157.25</v>
      </c>
      <c r="DF142" vm="1000">
        <f ca="1"/>
        <v>3148.8</v>
      </c>
      <c r="DG142" vm="10716">
        <f ca="1"/>
        <v>3196.25</v>
      </c>
      <c r="DH142" vm="10717">
        <f ca="1"/>
        <v>3166.65</v>
      </c>
      <c r="DI142" vm="10718">
        <f ca="1"/>
        <v>3216.5</v>
      </c>
      <c r="DJ142" vm="7207">
        <f ca="1"/>
        <v>3309.75</v>
      </c>
      <c r="DK142" vm="1058">
        <f ca="1"/>
        <v>3267.5</v>
      </c>
      <c r="DL142" vm="10719">
        <f ca="1"/>
        <v>3269.2</v>
      </c>
      <c r="DM142" vm="10720">
        <f ca="1"/>
        <v>3280.5</v>
      </c>
      <c r="DN142" vm="10721">
        <f ca="1"/>
        <v>3285</v>
      </c>
      <c r="DO142" vm="10722">
        <f ca="1"/>
        <v>3283.75</v>
      </c>
      <c r="DP142" vm="10723">
        <f ca="1"/>
        <v>3301.4</v>
      </c>
      <c r="DQ142" vm="10724">
        <f ca="1"/>
        <v>3308.45</v>
      </c>
      <c r="DR142" vm="10725">
        <f ca="1"/>
        <v>3282.75</v>
      </c>
      <c r="DS142" vm="10726">
        <f ca="1"/>
        <v>3284.65</v>
      </c>
      <c r="DT142" vm="10727">
        <f ca="1"/>
        <v>3266.2</v>
      </c>
      <c r="DU142" vm="10728">
        <f ca="1"/>
        <v>3219.75</v>
      </c>
      <c r="DV142" vm="10729">
        <f ca="1"/>
        <v>3187.85</v>
      </c>
      <c r="DW142" vm="10730">
        <f ca="1"/>
        <v>3100.8</v>
      </c>
      <c r="DX142" vm="10731">
        <f ca="1"/>
        <v>3120.7</v>
      </c>
      <c r="DY142" vm="10732">
        <f ca="1"/>
        <v>3116.45</v>
      </c>
      <c r="DZ142" vm="10225">
        <f ca="1"/>
        <v>3189.65</v>
      </c>
      <c r="EA142" vm="1032">
        <f ca="1"/>
        <v>3173.4</v>
      </c>
      <c r="EB142" vm="10733">
        <f ca="1"/>
        <v>3201.5</v>
      </c>
      <c r="EC142" vm="10711">
        <f ca="1"/>
        <v>3274.5</v>
      </c>
      <c r="ED142" vm="10734">
        <f ca="1"/>
        <v>3267.05</v>
      </c>
      <c r="EE142" vm="917">
        <f ca="1"/>
        <v>3270.2</v>
      </c>
      <c r="EF142" vm="10735">
        <f ca="1"/>
        <v>3311.85</v>
      </c>
      <c r="EG142" vm="10722">
        <f ca="1"/>
        <v>3283.75</v>
      </c>
      <c r="EH142" vm="10736">
        <f ca="1"/>
        <v>3256.35</v>
      </c>
      <c r="EI142" vm="10737">
        <f ca="1"/>
        <v>3280.6</v>
      </c>
      <c r="EJ142" vm="10738">
        <f ca="1"/>
        <v>3264.75</v>
      </c>
      <c r="EK142" vm="10739">
        <f ca="1"/>
        <v>3295.95</v>
      </c>
      <c r="EL142" vm="10740">
        <f ca="1"/>
        <v>3335.95</v>
      </c>
      <c r="EM142" vm="10741">
        <f ca="1"/>
        <v>3338.85</v>
      </c>
      <c r="EN142" vm="10742">
        <f ca="1"/>
        <v>3345.85</v>
      </c>
      <c r="EO142" vm="10743">
        <f ca="1"/>
        <v>3394.45</v>
      </c>
      <c r="EP142" vm="10744">
        <f ca="1"/>
        <v>3429.85</v>
      </c>
      <c r="EQ142" vm="10745">
        <f ca="1"/>
        <v>3408.4</v>
      </c>
      <c r="ER142" vm="10746">
        <f ca="1"/>
        <v>3396.95</v>
      </c>
      <c r="ES142" vm="7143">
        <f ca="1"/>
        <v>3442.4</v>
      </c>
      <c r="ET142" vm="10747">
        <f ca="1"/>
        <v>3429.3</v>
      </c>
      <c r="EU142" vm="10748">
        <f ca="1"/>
        <v>3490.6</v>
      </c>
      <c r="EV142" vm="10749">
        <f ca="1"/>
        <v>3489.5</v>
      </c>
      <c r="EW142" vm="10750">
        <f ca="1"/>
        <v>3488.4</v>
      </c>
      <c r="EX142" vm="10751">
        <f ca="1"/>
        <v>3545.3</v>
      </c>
      <c r="EY142" vm="10752">
        <f ca="1"/>
        <v>3546.9</v>
      </c>
      <c r="EZ142" vm="10753">
        <f ca="1"/>
        <v>3585.4</v>
      </c>
      <c r="FA142" vm="10754">
        <f ca="1"/>
        <v>3634.65</v>
      </c>
      <c r="FB142" vm="10755">
        <f ca="1"/>
        <v>3630.5</v>
      </c>
      <c r="FC142" vm="10756">
        <f ca="1"/>
        <v>3571.4</v>
      </c>
      <c r="FD142" vm="10757">
        <f ca="1"/>
        <v>3602.35</v>
      </c>
      <c r="FE142" vm="10758">
        <f ca="1"/>
        <v>3591.4</v>
      </c>
      <c r="FF142" vm="10759">
        <f ca="1"/>
        <v>3600.55</v>
      </c>
      <c r="FG142" vm="10760">
        <f ca="1"/>
        <v>3619.6</v>
      </c>
      <c r="FH142" vm="7103">
        <f ca="1"/>
        <v>3610.45</v>
      </c>
      <c r="FI142" vm="10761">
        <f ca="1"/>
        <v>3554.1</v>
      </c>
      <c r="FJ142" vm="10762">
        <f ca="1"/>
        <v>3580</v>
      </c>
      <c r="FK142" vm="10763">
        <f ca="1"/>
        <v>3627.35</v>
      </c>
      <c r="FL142" vm="10764">
        <f ca="1"/>
        <v>3656.7</v>
      </c>
      <c r="FM142" vm="10765">
        <f ca="1"/>
        <v>3689.25</v>
      </c>
      <c r="FN142" vm="10766">
        <f ca="1"/>
        <v>3715.1</v>
      </c>
      <c r="FO142" vm="10767">
        <f ca="1"/>
        <v>3675.45</v>
      </c>
      <c r="FP142" vm="10768">
        <f ca="1"/>
        <v>3677.15</v>
      </c>
      <c r="FQ142" vm="10769">
        <f ca="1"/>
        <v>3698.25</v>
      </c>
      <c r="FR142" vm="10770">
        <f ca="1"/>
        <v>3693.05</v>
      </c>
      <c r="FS142" vm="10771">
        <f ca="1"/>
        <v>3719.7</v>
      </c>
      <c r="FT142" vm="10772">
        <f ca="1"/>
        <v>3712.55</v>
      </c>
      <c r="FU142" vm="10773">
        <f ca="1"/>
        <v>3706.05</v>
      </c>
      <c r="FV142" vm="10774">
        <f ca="1"/>
        <v>3694</v>
      </c>
      <c r="FW142" vm="10775">
        <f ca="1"/>
        <v>3714.45</v>
      </c>
      <c r="FX142" vm="10776">
        <f ca="1"/>
        <v>3698.6</v>
      </c>
      <c r="FY142" vm="10777">
        <f ca="1"/>
        <v>3726</v>
      </c>
      <c r="FZ142" vm="10778">
        <f ca="1"/>
        <v>3758.85</v>
      </c>
      <c r="GA142" vm="10779">
        <f ca="1"/>
        <v>3820.3</v>
      </c>
      <c r="GB142" vm="10780">
        <f ca="1"/>
        <v>3830.05</v>
      </c>
      <c r="GC142" vm="10781">
        <f ca="1"/>
        <v>3734.7</v>
      </c>
      <c r="GD142" vm="10782">
        <f ca="1"/>
        <v>3810.6</v>
      </c>
      <c r="GE142" vm="10783">
        <f ca="1"/>
        <v>3784.7</v>
      </c>
      <c r="GF142" vm="10784">
        <f ca="1"/>
        <v>3739.65</v>
      </c>
      <c r="GG142" vm="10785">
        <f ca="1"/>
        <v>3767.85</v>
      </c>
      <c r="GH142" vm="10786">
        <f ca="1"/>
        <v>3770.2</v>
      </c>
      <c r="GI142" vm="10787">
        <f ca="1"/>
        <v>3866.65</v>
      </c>
      <c r="GJ142" vm="10788">
        <f ca="1"/>
        <v>3735.75</v>
      </c>
      <c r="GK142" vm="10789">
        <f ca="1"/>
        <v>3697.55</v>
      </c>
      <c r="GL142" vm="10790">
        <f ca="1"/>
        <v>3627.45</v>
      </c>
      <c r="GM142" vm="10791">
        <f ca="1"/>
        <v>3612.4</v>
      </c>
      <c r="GN142" vm="10792">
        <f ca="1"/>
        <v>3552.05</v>
      </c>
      <c r="GO142" vm="10793">
        <f ca="1"/>
        <v>3559.15</v>
      </c>
      <c r="GP142" vm="10794">
        <f ca="1"/>
        <v>3576.5</v>
      </c>
      <c r="GQ142" vm="10795">
        <f ca="1"/>
        <v>3549.1</v>
      </c>
      <c r="GR142" vm="10796">
        <f ca="1"/>
        <v>3591.6</v>
      </c>
      <c r="GS142" vm="10797">
        <f ca="1"/>
        <v>3585.25</v>
      </c>
      <c r="GT142" vm="10798">
        <f ca="1"/>
        <v>3559.95</v>
      </c>
      <c r="GU142" vm="10799">
        <f ca="1"/>
        <v>3585.55</v>
      </c>
      <c r="GV142" vm="10800">
        <f ca="1"/>
        <v>3622.05</v>
      </c>
      <c r="GW142" vm="10801">
        <f ca="1"/>
        <v>3655.4</v>
      </c>
      <c r="GX142" vm="10802">
        <f ca="1"/>
        <v>3695.05</v>
      </c>
      <c r="GY142" vm="10803">
        <f ca="1"/>
        <v>3686.7</v>
      </c>
      <c r="GZ142" vm="10804">
        <f ca="1"/>
        <v>3656.35</v>
      </c>
      <c r="HA142" vm="10805">
        <f ca="1"/>
        <v>3652.05</v>
      </c>
      <c r="HB142" vm="10806">
        <f ca="1"/>
        <v>3691.95</v>
      </c>
      <c r="HC142" vm="10807">
        <f ca="1"/>
        <v>3622.5</v>
      </c>
      <c r="HD142" vm="10808">
        <f ca="1"/>
        <v>3653.85</v>
      </c>
      <c r="HE142" vm="10809">
        <f ca="1"/>
        <v>3594.7</v>
      </c>
      <c r="HF142" vm="10810">
        <f ca="1"/>
        <v>3624.4</v>
      </c>
      <c r="HG142" vm="10811">
        <f ca="1"/>
        <v>3765.9</v>
      </c>
      <c r="HH142" vm="10812">
        <f ca="1"/>
        <v>3764.1</v>
      </c>
      <c r="HI142" vm="10813">
        <f ca="1"/>
        <v>3732.4</v>
      </c>
      <c r="HJ142" vm="10814">
        <f ca="1"/>
        <v>3750.75</v>
      </c>
      <c r="HK142" vm="2663">
        <f ca="1"/>
        <v>3810.75</v>
      </c>
      <c r="HL142" vm="10815">
        <f ca="1"/>
        <v>3786.9</v>
      </c>
      <c r="HM142" vm="10816">
        <f ca="1"/>
        <v>3750.15</v>
      </c>
      <c r="HN142" vm="10817">
        <f ca="1"/>
        <v>3748.8</v>
      </c>
      <c r="HO142" vm="10818">
        <f ca="1"/>
        <v>3625.7</v>
      </c>
      <c r="HP142" vm="10819">
        <f ca="1"/>
        <v>3640.15</v>
      </c>
      <c r="HQ142" vm="10820">
        <f ca="1"/>
        <v>3633.2</v>
      </c>
      <c r="HR142" vm="10821">
        <f ca="1"/>
        <v>3579.7</v>
      </c>
      <c r="HS142" vm="10822">
        <f ca="1"/>
        <v>3583.4</v>
      </c>
      <c r="HT142" vm="10823">
        <f ca="1"/>
        <v>3590.5</v>
      </c>
      <c r="HU142" vm="10824">
        <f ca="1"/>
        <v>3627.55</v>
      </c>
      <c r="HV142" vm="10825">
        <f ca="1"/>
        <v>3706.7</v>
      </c>
      <c r="HW142" vm="10826">
        <f ca="1"/>
        <v>3698.2</v>
      </c>
      <c r="HX142" vm="10827">
        <f ca="1"/>
        <v>3759.4</v>
      </c>
      <c r="HY142" vm="10828">
        <f ca="1"/>
        <v>3801.8</v>
      </c>
      <c r="HZ142" vm="10829">
        <f ca="1"/>
        <v>3738.4</v>
      </c>
      <c r="IA142" vm="10830">
        <f ca="1"/>
        <v>3755.95</v>
      </c>
      <c r="IB142" vm="10831">
        <f ca="1"/>
        <v>3712.5</v>
      </c>
      <c r="IC142" vm="10832">
        <f ca="1"/>
        <v>3782.75</v>
      </c>
      <c r="ID142" vm="10833">
        <f ca="1"/>
        <v>3754.45</v>
      </c>
      <c r="IE142" vm="10834">
        <f ca="1"/>
        <v>3748.9</v>
      </c>
      <c r="IF142" vm="10835">
        <f ca="1"/>
        <v>3679.35</v>
      </c>
      <c r="IG142" vm="10836">
        <f ca="1"/>
        <v>3711.2</v>
      </c>
      <c r="IH142" vm="10837">
        <f ca="1"/>
        <v>3619.3</v>
      </c>
      <c r="II142" vm="10838">
        <f ca="1"/>
        <v>3600.6</v>
      </c>
      <c r="IJ142" vm="10839">
        <f ca="1"/>
        <v>3645.9</v>
      </c>
      <c r="IK142" vm="10840">
        <f ca="1"/>
        <v>3525.1</v>
      </c>
      <c r="IL142" vm="10841">
        <f ca="1"/>
        <v>3563.05</v>
      </c>
      <c r="IM142" vm="10842">
        <f ca="1"/>
        <v>3596.75</v>
      </c>
      <c r="IN142" vm="10843">
        <f ca="1"/>
        <v>3633</v>
      </c>
      <c r="IO142" vm="10844">
        <f ca="1"/>
        <v>3609.75</v>
      </c>
      <c r="IP142" vm="10845">
        <f ca="1"/>
        <v>3571.1</v>
      </c>
      <c r="IQ142" vm="10846">
        <f ca="1"/>
        <v>3584.8</v>
      </c>
      <c r="IR142" vm="10847">
        <f ca="1"/>
        <v>3604.85</v>
      </c>
    </row>
    <row r="143" spans="4:252" x14ac:dyDescent="0.35">
      <c r="D143" t="e" vm="50">
        <v>#VALUE!</v>
      </c>
      <c r="E143" cm="1" vm="10848">
        <f t="array" aca="1" ref="E143:IR143" ca="1">TRANSPOSE((_xlfn.STOCKHISTORY('Portfolio Tracker '!$C57,TODAY()-365,TODAY(),0,0,1)))</f>
        <v>801.55</v>
      </c>
      <c r="F143" vm="10849">
        <f ca="1"/>
        <v>809.9</v>
      </c>
      <c r="G143" vm="10850">
        <f ca="1"/>
        <v>801.9</v>
      </c>
      <c r="H143" vm="10851">
        <f ca="1"/>
        <v>798.45</v>
      </c>
      <c r="I143" vm="10852">
        <f ca="1"/>
        <v>803.35</v>
      </c>
      <c r="J143" vm="10853">
        <f ca="1"/>
        <v>803.75</v>
      </c>
      <c r="K143" vm="10854">
        <f ca="1"/>
        <v>807.45</v>
      </c>
      <c r="L143" vm="10855">
        <f ca="1"/>
        <v>813.6</v>
      </c>
      <c r="M143" vm="10856">
        <f ca="1"/>
        <v>809.05</v>
      </c>
      <c r="N143" vm="10857">
        <f ca="1"/>
        <v>810.35</v>
      </c>
      <c r="O143" vm="10858">
        <f ca="1"/>
        <v>804.55</v>
      </c>
      <c r="P143" vm="10859">
        <f ca="1"/>
        <v>803</v>
      </c>
      <c r="Q143" vm="10860">
        <f ca="1"/>
        <v>797.55</v>
      </c>
      <c r="R143" vm="3139">
        <f ca="1"/>
        <v>797.25</v>
      </c>
      <c r="S143" vm="10861">
        <f ca="1"/>
        <v>809.7</v>
      </c>
      <c r="T143" vm="10862">
        <f ca="1"/>
        <v>805.8</v>
      </c>
      <c r="U143" vm="10863">
        <f ca="1"/>
        <v>803.45</v>
      </c>
      <c r="V143" vm="10864">
        <f ca="1"/>
        <v>812.25</v>
      </c>
      <c r="W143" vm="10865">
        <f ca="1"/>
        <v>814.55</v>
      </c>
      <c r="X143" vm="10866">
        <f ca="1"/>
        <v>825.75</v>
      </c>
      <c r="Y143" vm="10867">
        <f ca="1"/>
        <v>821.85</v>
      </c>
      <c r="Z143" vm="10868">
        <f ca="1"/>
        <v>821.35</v>
      </c>
      <c r="AA143" vm="10869">
        <f ca="1"/>
        <v>825.4</v>
      </c>
      <c r="AB143" vm="3181">
        <f ca="1"/>
        <v>818.9</v>
      </c>
      <c r="AC143" vm="10870">
        <f ca="1"/>
        <v>823.25</v>
      </c>
      <c r="AD143" vm="10871">
        <f ca="1"/>
        <v>803.3</v>
      </c>
      <c r="AE143" vm="10872">
        <f ca="1"/>
        <v>806.1</v>
      </c>
      <c r="AF143" vm="10873">
        <f ca="1"/>
        <v>804.95</v>
      </c>
      <c r="AG143" vm="5332">
        <f ca="1"/>
        <v>777.95</v>
      </c>
      <c r="AH143" vm="10874">
        <f ca="1"/>
        <v>790.65</v>
      </c>
      <c r="AI143" vm="10875">
        <f ca="1"/>
        <v>806.4</v>
      </c>
      <c r="AJ143" vm="10876">
        <f ca="1"/>
        <v>815.25</v>
      </c>
      <c r="AK143" vm="10877">
        <f ca="1"/>
        <v>800.9</v>
      </c>
      <c r="AL143" vm="10878">
        <f ca="1"/>
        <v>796.2</v>
      </c>
      <c r="AM143" vm="10879">
        <f ca="1"/>
        <v>790.15</v>
      </c>
      <c r="AN143" vm="10880">
        <f ca="1"/>
        <v>789.25</v>
      </c>
      <c r="AO143" vm="10881">
        <f ca="1"/>
        <v>786.9</v>
      </c>
      <c r="AP143" vm="10882">
        <f ca="1"/>
        <v>782.1</v>
      </c>
      <c r="AQ143" vm="10883">
        <f ca="1"/>
        <v>750.5</v>
      </c>
      <c r="AR143" vm="10884">
        <f ca="1"/>
        <v>757.65</v>
      </c>
      <c r="AS143" vm="10885">
        <f ca="1"/>
        <v>761.1</v>
      </c>
      <c r="AT143" vm="10886">
        <f ca="1"/>
        <v>762.7</v>
      </c>
      <c r="AU143" vm="10887">
        <f ca="1"/>
        <v>759.75</v>
      </c>
      <c r="AV143" vm="10888">
        <f ca="1"/>
        <v>762.6</v>
      </c>
      <c r="AW143" vm="10889">
        <f ca="1"/>
        <v>759.05</v>
      </c>
      <c r="AX143" vm="10890">
        <f ca="1"/>
        <v>766.65</v>
      </c>
      <c r="AY143" vm="10891">
        <f ca="1"/>
        <v>768.85</v>
      </c>
      <c r="AZ143" vm="10892">
        <f ca="1"/>
        <v>760.25</v>
      </c>
      <c r="BA143" vm="10893">
        <f ca="1"/>
        <v>758.05</v>
      </c>
      <c r="BB143" vm="10894">
        <f ca="1"/>
        <v>759.3</v>
      </c>
      <c r="BC143" vm="10895">
        <f ca="1"/>
        <v>762.35</v>
      </c>
      <c r="BD143" vm="10896">
        <f ca="1"/>
        <v>748.85</v>
      </c>
      <c r="BE143" vm="10897">
        <f ca="1"/>
        <v>754.7</v>
      </c>
      <c r="BF143" vm="10898">
        <f ca="1"/>
        <v>763.95</v>
      </c>
      <c r="BG143" vm="10899">
        <f ca="1"/>
        <v>765.75</v>
      </c>
      <c r="BH143" vm="3156">
        <f ca="1"/>
        <v>777.85</v>
      </c>
      <c r="BI143" vm="2932">
        <f ca="1"/>
        <v>777.4</v>
      </c>
      <c r="BJ143" vm="10900">
        <f ca="1"/>
        <v>764.35</v>
      </c>
      <c r="BK143" vm="10901">
        <f ca="1"/>
        <v>765.65</v>
      </c>
      <c r="BL143" vm="10902">
        <f ca="1"/>
        <v>767.15</v>
      </c>
      <c r="BM143" vm="10903">
        <f ca="1"/>
        <v>765</v>
      </c>
      <c r="BN143" vm="10904">
        <f ca="1"/>
        <v>758.55</v>
      </c>
      <c r="BO143" vm="10905">
        <f ca="1"/>
        <v>763.05</v>
      </c>
      <c r="BP143" vm="10906">
        <f ca="1"/>
        <v>780.1</v>
      </c>
      <c r="BQ143" vm="10907">
        <f ca="1"/>
        <v>797.4</v>
      </c>
      <c r="BR143" vm="10908">
        <f ca="1"/>
        <v>801.15</v>
      </c>
      <c r="BS143" vm="10909">
        <f ca="1"/>
        <v>799.55</v>
      </c>
      <c r="BT143" vm="3371">
        <f ca="1"/>
        <v>819.3</v>
      </c>
      <c r="BU143" vm="10910">
        <f ca="1"/>
        <v>826.4</v>
      </c>
      <c r="BV143" vm="10911">
        <f ca="1"/>
        <v>816.1</v>
      </c>
      <c r="BW143" vm="10912">
        <f ca="1"/>
        <v>849.45</v>
      </c>
      <c r="BX143" vm="3384">
        <f ca="1"/>
        <v>836.75</v>
      </c>
      <c r="BY143" vm="10913">
        <f ca="1"/>
        <v>828.55</v>
      </c>
      <c r="BZ143" vm="10869">
        <f ca="1"/>
        <v>825.4</v>
      </c>
      <c r="CA143" vm="10914">
        <f ca="1"/>
        <v>826.5</v>
      </c>
      <c r="CB143" vm="10866">
        <f ca="1"/>
        <v>825.75</v>
      </c>
      <c r="CC143" vm="10915">
        <f ca="1"/>
        <v>809.95</v>
      </c>
      <c r="CD143" vm="10916">
        <f ca="1"/>
        <v>808.05</v>
      </c>
      <c r="CE143" vm="10917">
        <f ca="1"/>
        <v>823</v>
      </c>
      <c r="CF143" vm="10918">
        <f ca="1"/>
        <v>836.35</v>
      </c>
      <c r="CG143" vm="10919">
        <f ca="1"/>
        <v>833.35</v>
      </c>
      <c r="CH143" vm="10920">
        <f ca="1"/>
        <v>824.9</v>
      </c>
      <c r="CI143" vm="2925">
        <f ca="1"/>
        <v>827.45</v>
      </c>
      <c r="CJ143" vm="2892">
        <f ca="1"/>
        <v>848.9</v>
      </c>
      <c r="CK143" vm="10921">
        <f ca="1"/>
        <v>855.45</v>
      </c>
      <c r="CL143" vm="10922">
        <f ca="1"/>
        <v>869.9</v>
      </c>
      <c r="CM143" vm="10923">
        <f ca="1"/>
        <v>870.05</v>
      </c>
      <c r="CN143" vm="10924">
        <f ca="1"/>
        <v>866.25</v>
      </c>
      <c r="CO143" vm="10925">
        <f ca="1"/>
        <v>866.7</v>
      </c>
      <c r="CP143" vm="7973">
        <f ca="1"/>
        <v>896.6</v>
      </c>
      <c r="CQ143" vm="10926">
        <f ca="1"/>
        <v>896.1</v>
      </c>
      <c r="CR143" vm="10927">
        <f ca="1"/>
        <v>904.95</v>
      </c>
      <c r="CS143" vm="7859">
        <f ca="1"/>
        <v>907.15</v>
      </c>
      <c r="CT143" vm="10928">
        <f ca="1"/>
        <v>875.35</v>
      </c>
      <c r="CU143" vm="10929">
        <f ca="1"/>
        <v>887.45</v>
      </c>
      <c r="CV143" vm="10930">
        <f ca="1"/>
        <v>886.65</v>
      </c>
      <c r="CW143" vm="10931">
        <f ca="1"/>
        <v>893.95</v>
      </c>
      <c r="CX143" vm="3126">
        <f ca="1"/>
        <v>882.2</v>
      </c>
      <c r="CY143" vm="10932">
        <f ca="1"/>
        <v>871.75</v>
      </c>
      <c r="CZ143" vm="3264">
        <f ca="1"/>
        <v>868.7</v>
      </c>
      <c r="DA143" vm="10933">
        <f ca="1"/>
        <v>865.55</v>
      </c>
      <c r="DB143" vm="10934">
        <f ca="1"/>
        <v>875.75</v>
      </c>
      <c r="DC143" vm="7849">
        <f ca="1"/>
        <v>861.9</v>
      </c>
      <c r="DD143" vm="3133">
        <f ca="1"/>
        <v>870.95</v>
      </c>
      <c r="DE143" vm="10935">
        <f ca="1"/>
        <v>860.85</v>
      </c>
      <c r="DF143" vm="10936">
        <f ca="1"/>
        <v>863.3</v>
      </c>
      <c r="DG143" vm="10937">
        <f ca="1"/>
        <v>874.05</v>
      </c>
      <c r="DH143" vm="10938">
        <f ca="1"/>
        <v>872.55</v>
      </c>
      <c r="DI143" vm="10939">
        <f ca="1"/>
        <v>880.1</v>
      </c>
      <c r="DJ143" vm="10940">
        <f ca="1"/>
        <v>885.1</v>
      </c>
      <c r="DK143" vm="10941">
        <f ca="1"/>
        <v>852.9</v>
      </c>
      <c r="DL143" vm="10942">
        <f ca="1"/>
        <v>855.3</v>
      </c>
      <c r="DM143" vm="3129">
        <f ca="1"/>
        <v>862.7</v>
      </c>
      <c r="DN143" vm="10943">
        <f ca="1"/>
        <v>856.95</v>
      </c>
      <c r="DO143" vm="10944">
        <f ca="1"/>
        <v>845.45</v>
      </c>
      <c r="DP143" vm="10945">
        <f ca="1"/>
        <v>852.4</v>
      </c>
      <c r="DQ143" vm="10946">
        <f ca="1"/>
        <v>850.95</v>
      </c>
      <c r="DR143" vm="10947">
        <f ca="1"/>
        <v>834.3</v>
      </c>
      <c r="DS143" vm="7988">
        <f ca="1"/>
        <v>838.85</v>
      </c>
      <c r="DT143" vm="10948">
        <f ca="1"/>
        <v>818.6</v>
      </c>
      <c r="DU143" vm="10949">
        <f ca="1"/>
        <v>821.3</v>
      </c>
      <c r="DV143" vm="3478">
        <f ca="1"/>
        <v>817.45</v>
      </c>
      <c r="DW143" vm="10950">
        <f ca="1"/>
        <v>828.9</v>
      </c>
      <c r="DX143" vm="10951">
        <f ca="1"/>
        <v>834.9</v>
      </c>
      <c r="DY143" vm="10952">
        <f ca="1"/>
        <v>834.55</v>
      </c>
      <c r="DZ143" vm="3390">
        <f ca="1"/>
        <v>837.5</v>
      </c>
      <c r="EA143" vm="10953">
        <f ca="1"/>
        <v>830.25</v>
      </c>
      <c r="EB143" vm="3387">
        <f ca="1"/>
        <v>834.15</v>
      </c>
      <c r="EC143" vm="10954">
        <f ca="1"/>
        <v>835.65</v>
      </c>
      <c r="ED143" vm="3447">
        <f ca="1"/>
        <v>827.9</v>
      </c>
      <c r="EE143" vm="10955">
        <f ca="1"/>
        <v>813.4</v>
      </c>
      <c r="EF143" vm="8028">
        <f ca="1"/>
        <v>820.2</v>
      </c>
      <c r="EG143" vm="10956">
        <f ca="1"/>
        <v>827.7</v>
      </c>
      <c r="EH143" vm="3433">
        <f ca="1"/>
        <v>829.85</v>
      </c>
      <c r="EI143" vm="10957">
        <f ca="1"/>
        <v>829.3</v>
      </c>
      <c r="EJ143" vm="8984">
        <f ca="1"/>
        <v>814</v>
      </c>
      <c r="EK143" vm="10958">
        <f ca="1"/>
        <v>824.45</v>
      </c>
      <c r="EL143" vm="10959">
        <f ca="1"/>
        <v>821.2</v>
      </c>
      <c r="EM143" vm="10960">
        <f ca="1"/>
        <v>824.95</v>
      </c>
      <c r="EN143" vm="10961">
        <f ca="1"/>
        <v>828.35</v>
      </c>
      <c r="EO143" vm="10962">
        <f ca="1"/>
        <v>843.65</v>
      </c>
      <c r="EP143" vm="3186">
        <f ca="1"/>
        <v>847.9</v>
      </c>
      <c r="EQ143" vm="10963">
        <f ca="1"/>
        <v>835</v>
      </c>
      <c r="ER143" vm="10964">
        <f ca="1"/>
        <v>825</v>
      </c>
      <c r="ES143" vm="10965">
        <f ca="1"/>
        <v>820.45</v>
      </c>
      <c r="ET143" vm="10966">
        <f ca="1"/>
        <v>820.4</v>
      </c>
      <c r="EU143" vm="10967">
        <f ca="1"/>
        <v>827.95</v>
      </c>
      <c r="EV143" vm="10968">
        <f ca="1"/>
        <v>835.5</v>
      </c>
      <c r="EW143" vm="10969">
        <f ca="1"/>
        <v>837.85</v>
      </c>
      <c r="EX143" vm="10970">
        <f ca="1"/>
        <v>832.5</v>
      </c>
      <c r="EY143" vm="9239">
        <f ca="1"/>
        <v>845.05</v>
      </c>
      <c r="EZ143" vm="10971">
        <f ca="1"/>
        <v>866.05</v>
      </c>
      <c r="FA143" vm="10921">
        <f ca="1"/>
        <v>855.45</v>
      </c>
      <c r="FB143" vm="10972">
        <f ca="1"/>
        <v>852.65</v>
      </c>
      <c r="FC143" vm="10973">
        <f ca="1"/>
        <v>851.25</v>
      </c>
      <c r="FD143" vm="10945">
        <f ca="1"/>
        <v>852.4</v>
      </c>
      <c r="FE143" vm="3431">
        <f ca="1"/>
        <v>852.8</v>
      </c>
      <c r="FF143" vm="10974">
        <f ca="1"/>
        <v>859.85</v>
      </c>
      <c r="FG143" vm="10975">
        <f ca="1"/>
        <v>868.75</v>
      </c>
      <c r="FH143" vm="10976">
        <f ca="1"/>
        <v>897.1</v>
      </c>
      <c r="FI143" vm="10977">
        <f ca="1"/>
        <v>928.05</v>
      </c>
      <c r="FJ143" vm="10978">
        <f ca="1"/>
        <v>942.65</v>
      </c>
      <c r="FK143" vm="10979">
        <f ca="1"/>
        <v>947.6</v>
      </c>
      <c r="FL143" vm="10980">
        <f ca="1"/>
        <v>966</v>
      </c>
      <c r="FM143" vm="9010">
        <f ca="1"/>
        <v>985.2</v>
      </c>
      <c r="FN143" vm="10981">
        <f ca="1"/>
        <v>971.55</v>
      </c>
      <c r="FO143" vm="10982">
        <f ca="1"/>
        <v>978.35</v>
      </c>
      <c r="FP143" vm="9027">
        <f ca="1"/>
        <v>977.95</v>
      </c>
      <c r="FQ143" vm="3219">
        <f ca="1"/>
        <v>992.2</v>
      </c>
      <c r="FR143" vm="10983">
        <f ca="1"/>
        <v>986.9</v>
      </c>
      <c r="FS143" vm="10984">
        <f ca="1"/>
        <v>1014.1</v>
      </c>
      <c r="FT143" vm="10985">
        <f ca="1"/>
        <v>1009.2</v>
      </c>
      <c r="FU143" vm="1388">
        <f ca="1"/>
        <v>990.05</v>
      </c>
      <c r="FV143" vm="10986">
        <f ca="1"/>
        <v>993.4</v>
      </c>
      <c r="FW143" vm="10987">
        <f ca="1"/>
        <v>1012.15</v>
      </c>
      <c r="FX143" vm="10988">
        <f ca="1"/>
        <v>1055.7</v>
      </c>
      <c r="FY143" vm="10989">
        <f ca="1"/>
        <v>1056.9000000000001</v>
      </c>
      <c r="FZ143" vm="756">
        <f ca="1"/>
        <v>1060.8499999999999</v>
      </c>
      <c r="GA143" vm="10990">
        <f ca="1"/>
        <v>1051.4000000000001</v>
      </c>
      <c r="GB143" vm="10991">
        <f ca="1"/>
        <v>1052.7</v>
      </c>
      <c r="GC143" vm="10992">
        <f ca="1"/>
        <v>1036.25</v>
      </c>
      <c r="GD143" vm="8322">
        <f ca="1"/>
        <v>1051.0999999999999</v>
      </c>
      <c r="GE143" vm="10993">
        <f ca="1"/>
        <v>1024.55</v>
      </c>
      <c r="GF143" vm="10994">
        <f ca="1"/>
        <v>1007.25</v>
      </c>
      <c r="GG143" vm="674">
        <f ca="1"/>
        <v>1031.75</v>
      </c>
      <c r="GH143" vm="8352">
        <f ca="1"/>
        <v>1005.2</v>
      </c>
      <c r="GI143" vm="8303">
        <f ca="1"/>
        <v>1040.4000000000001</v>
      </c>
      <c r="GJ143" vm="10995">
        <f ca="1"/>
        <v>1016.9</v>
      </c>
      <c r="GK143" vm="5948">
        <f ca="1"/>
        <v>1092.75</v>
      </c>
      <c r="GL143" vm="10996">
        <f ca="1"/>
        <v>1048.75</v>
      </c>
      <c r="GM143" vm="10997">
        <f ca="1"/>
        <v>1058.4000000000001</v>
      </c>
      <c r="GN143" vm="10998">
        <f ca="1"/>
        <v>1023.1</v>
      </c>
      <c r="GO143" vm="10999">
        <f ca="1"/>
        <v>1028.45</v>
      </c>
      <c r="GP143" vm="11000">
        <f ca="1"/>
        <v>1038.9000000000001</v>
      </c>
      <c r="GQ143" vm="11001">
        <f ca="1"/>
        <v>1064.6500000000001</v>
      </c>
      <c r="GR143" vm="11002">
        <f ca="1"/>
        <v>1057.3</v>
      </c>
      <c r="GS143" vm="5957">
        <f ca="1"/>
        <v>1075.3499999999999</v>
      </c>
      <c r="GT143" vm="11003">
        <f ca="1"/>
        <v>1100.1500000000001</v>
      </c>
      <c r="GU143" vm="11004">
        <f ca="1"/>
        <v>1086.0999999999999</v>
      </c>
      <c r="GV143" vm="11005">
        <f ca="1"/>
        <v>1086.8499999999999</v>
      </c>
      <c r="GW143" vm="11006">
        <f ca="1"/>
        <v>1075.0999999999999</v>
      </c>
      <c r="GX143" vm="11007">
        <f ca="1"/>
        <v>1097.25</v>
      </c>
      <c r="GY143" vm="885">
        <f ca="1"/>
        <v>1105.75</v>
      </c>
      <c r="GZ143" vm="870">
        <f ca="1"/>
        <v>1107.0999999999999</v>
      </c>
      <c r="HA143" vm="11008">
        <f ca="1"/>
        <v>1098.45</v>
      </c>
      <c r="HB143" vm="11009">
        <f ca="1"/>
        <v>1095.05</v>
      </c>
      <c r="HC143" vm="8860">
        <f ca="1"/>
        <v>1097.3</v>
      </c>
      <c r="HD143" vm="1414">
        <f ca="1"/>
        <v>1117.25</v>
      </c>
      <c r="HE143" vm="11010">
        <f ca="1"/>
        <v>1110.6500000000001</v>
      </c>
      <c r="HF143" vm="11011">
        <f ca="1"/>
        <v>1109.0999999999999</v>
      </c>
      <c r="HG143" vm="11012">
        <f ca="1"/>
        <v>1085.3499999999999</v>
      </c>
      <c r="HH143" vm="11013">
        <f ca="1"/>
        <v>1109.8499999999999</v>
      </c>
      <c r="HI143" vm="11014">
        <f ca="1"/>
        <v>1110.8499999999999</v>
      </c>
      <c r="HJ143" vm="11015">
        <f ca="1"/>
        <v>1071.3499999999999</v>
      </c>
      <c r="HK143" vm="6517">
        <f ca="1"/>
        <v>1061.95</v>
      </c>
      <c r="HL143" vm="11016">
        <f ca="1"/>
        <v>1082.0999999999999</v>
      </c>
      <c r="HM143" vm="8348">
        <f ca="1"/>
        <v>1073.6500000000001</v>
      </c>
      <c r="HN143" vm="11017">
        <f ca="1"/>
        <v>1053.95</v>
      </c>
      <c r="HO143" vm="1408">
        <f ca="1"/>
        <v>1042.5</v>
      </c>
      <c r="HP143" vm="8348">
        <f ca="1"/>
        <v>1073.6500000000001</v>
      </c>
      <c r="HQ143" vm="11018">
        <f ca="1"/>
        <v>1065.3499999999999</v>
      </c>
      <c r="HR143" vm="5975">
        <f ca="1"/>
        <v>1056.5999999999999</v>
      </c>
      <c r="HS143" vm="11019">
        <f ca="1"/>
        <v>1046.25</v>
      </c>
      <c r="HT143" vm="11020">
        <f ca="1"/>
        <v>1047.8499999999999</v>
      </c>
      <c r="HU143" vm="11021">
        <f ca="1"/>
        <v>1083.95</v>
      </c>
      <c r="HV143" vm="11022">
        <f ca="1"/>
        <v>1064.95</v>
      </c>
      <c r="HW143" vm="11023">
        <f ca="1"/>
        <v>1101.0999999999999</v>
      </c>
      <c r="HX143" vm="11024">
        <f ca="1"/>
        <v>1092.8499999999999</v>
      </c>
      <c r="HY143" vm="3770">
        <f ca="1"/>
        <v>1103.55</v>
      </c>
      <c r="HZ143" vm="11025">
        <f ca="1"/>
        <v>1151.5999999999999</v>
      </c>
      <c r="IA143" vm="11026">
        <f ca="1"/>
        <v>1190.4000000000001</v>
      </c>
      <c r="IB143" vm="11027">
        <f ca="1"/>
        <v>1219.95</v>
      </c>
      <c r="IC143" vm="11028">
        <f ca="1"/>
        <v>1217.95</v>
      </c>
      <c r="ID143" vm="11029">
        <f ca="1"/>
        <v>1232.3</v>
      </c>
      <c r="IE143" vm="11030">
        <f ca="1"/>
        <v>1306.8499999999999</v>
      </c>
      <c r="IF143" vm="11031">
        <f ca="1"/>
        <v>1314.1</v>
      </c>
      <c r="IG143" vm="11032">
        <f ca="1"/>
        <v>1342.75</v>
      </c>
      <c r="IH143" vm="11033">
        <f ca="1"/>
        <v>1309.3499999999999</v>
      </c>
      <c r="II143" vm="11034">
        <f ca="1"/>
        <v>1283.9000000000001</v>
      </c>
      <c r="IJ143" vm="1676">
        <f ca="1"/>
        <v>1297.0999999999999</v>
      </c>
      <c r="IK143" vm="11035">
        <f ca="1"/>
        <v>1291.7</v>
      </c>
      <c r="IL143" vm="11036">
        <f ca="1"/>
        <v>1300.55</v>
      </c>
      <c r="IM143" vm="11037">
        <f ca="1"/>
        <v>1383.15</v>
      </c>
      <c r="IN143" vm="11038">
        <f ca="1"/>
        <v>1395.65</v>
      </c>
      <c r="IO143" vm="11039">
        <f ca="1"/>
        <v>1414.15</v>
      </c>
      <c r="IP143" vm="11040">
        <f ca="1"/>
        <v>1427.4</v>
      </c>
      <c r="IQ143" vm="11041">
        <f ca="1"/>
        <v>1454.75</v>
      </c>
      <c r="IR143" vm="11042">
        <f ca="1"/>
        <v>1467.65</v>
      </c>
    </row>
    <row r="163" spans="5:252" x14ac:dyDescent="0.35">
      <c r="E163" cm="1" vm="4360">
        <f t="array" aca="1" ref="E163:IR163" ca="1">TRANSPOSE((_xlfn.STOCKHISTORY('Portfolio Tracker '!$H$118,TODAY()-365,TODAY(),0,0,1)))</f>
        <v>90.65</v>
      </c>
      <c r="F163" vm="4852">
        <f ca="1"/>
        <v>91.15</v>
      </c>
      <c r="G163" vm="4853">
        <f ca="1"/>
        <v>89.9</v>
      </c>
      <c r="H163" vm="4854">
        <f ca="1"/>
        <v>89.4</v>
      </c>
      <c r="I163" vm="4855">
        <f ca="1"/>
        <v>90.35</v>
      </c>
      <c r="J163" vm="4856">
        <f ca="1"/>
        <v>90.2</v>
      </c>
      <c r="K163" vm="4857">
        <f ca="1"/>
        <v>89.55</v>
      </c>
      <c r="L163" vm="4858">
        <f ca="1"/>
        <v>89.85</v>
      </c>
      <c r="M163" vm="4859">
        <f ca="1"/>
        <v>89.65</v>
      </c>
      <c r="N163" vm="4860">
        <f ca="1"/>
        <v>92.05</v>
      </c>
      <c r="O163" vm="4861">
        <f ca="1"/>
        <v>91.6</v>
      </c>
      <c r="P163" vm="4862">
        <f ca="1"/>
        <v>91.2</v>
      </c>
      <c r="Q163" vm="4863">
        <f ca="1"/>
        <v>90.85</v>
      </c>
      <c r="R163" vm="4366">
        <f ca="1"/>
        <v>90.55</v>
      </c>
      <c r="S163" vm="4864">
        <f ca="1"/>
        <v>90.8</v>
      </c>
      <c r="T163" vm="4865">
        <f ca="1"/>
        <v>91.4</v>
      </c>
      <c r="U163" vm="4866">
        <f ca="1"/>
        <v>91.45</v>
      </c>
      <c r="V163" vm="4630">
        <f ca="1"/>
        <v>94.45</v>
      </c>
      <c r="W163" vm="4378">
        <f ca="1"/>
        <v>95.1</v>
      </c>
      <c r="X163" vm="4373">
        <f ca="1"/>
        <v>96.5</v>
      </c>
      <c r="Y163" vm="4867">
        <f ca="1"/>
        <v>99.15</v>
      </c>
      <c r="Z163" vm="4640">
        <f ca="1"/>
        <v>99.2</v>
      </c>
      <c r="AA163" vm="4868">
        <f ca="1"/>
        <v>99.4</v>
      </c>
      <c r="AB163" vm="4869">
        <f ca="1"/>
        <v>98.9</v>
      </c>
      <c r="AC163" vm="4870">
        <f ca="1"/>
        <v>100</v>
      </c>
      <c r="AD163" vm="4871">
        <f ca="1"/>
        <v>102</v>
      </c>
      <c r="AE163" vm="4356">
        <f ca="1"/>
        <v>102.55</v>
      </c>
      <c r="AF163" vm="4872">
        <f ca="1"/>
        <v>101</v>
      </c>
      <c r="AG163" vm="4873">
        <f ca="1"/>
        <v>101.35</v>
      </c>
      <c r="AH163" vm="4356">
        <f ca="1"/>
        <v>102.55</v>
      </c>
      <c r="AI163" vm="4874">
        <f ca="1"/>
        <v>104.8</v>
      </c>
      <c r="AJ163" vm="4338">
        <f ca="1"/>
        <v>103.5</v>
      </c>
      <c r="AK163" vm="4875">
        <f ca="1"/>
        <v>105.6</v>
      </c>
      <c r="AL163" vm="4876">
        <f ca="1"/>
        <v>108.3</v>
      </c>
      <c r="AM163" vm="4877">
        <f ca="1"/>
        <v>106.9</v>
      </c>
      <c r="AN163" vm="4878">
        <f ca="1"/>
        <v>105.5</v>
      </c>
      <c r="AO163" vm="4879">
        <f ca="1"/>
        <v>102.8</v>
      </c>
      <c r="AP163" vm="4880">
        <f ca="1"/>
        <v>99.9</v>
      </c>
      <c r="AQ163" vm="4881">
        <f ca="1"/>
        <v>98.3</v>
      </c>
      <c r="AR163" vm="4870">
        <f ca="1"/>
        <v>100</v>
      </c>
      <c r="AS163" vm="4341">
        <f ca="1"/>
        <v>102.1</v>
      </c>
      <c r="AT163" vm="4882">
        <f ca="1"/>
        <v>102.3</v>
      </c>
      <c r="AU163" vm="4883">
        <f ca="1"/>
        <v>102.7</v>
      </c>
      <c r="AV163" vm="4884">
        <f ca="1"/>
        <v>109.2</v>
      </c>
      <c r="AW163" vm="4885">
        <f ca="1"/>
        <v>111.2</v>
      </c>
      <c r="AX163" vm="4886">
        <f ca="1"/>
        <v>114.3</v>
      </c>
      <c r="AY163" vm="4887">
        <f ca="1"/>
        <v>113.7</v>
      </c>
      <c r="AZ163" vm="4888">
        <f ca="1"/>
        <v>111.35</v>
      </c>
      <c r="BA163" vm="4889">
        <f ca="1"/>
        <v>110.3</v>
      </c>
      <c r="BB163" vm="4890">
        <f ca="1"/>
        <v>114.8</v>
      </c>
      <c r="BC163" vm="4891">
        <f ca="1"/>
        <v>115.05</v>
      </c>
      <c r="BD163" vm="3480">
        <f ca="1"/>
        <v>112.6</v>
      </c>
      <c r="BE163" vm="4892">
        <f ca="1"/>
        <v>113.85</v>
      </c>
      <c r="BF163" vm="4893">
        <f ca="1"/>
        <v>112.45</v>
      </c>
      <c r="BG163" vm="4894">
        <f ca="1"/>
        <v>111.15</v>
      </c>
      <c r="BH163" vm="4895">
        <f ca="1"/>
        <v>112.35</v>
      </c>
      <c r="BI163" vm="4896">
        <f ca="1"/>
        <v>112.1</v>
      </c>
      <c r="BJ163" vm="4897">
        <f ca="1"/>
        <v>113.35</v>
      </c>
      <c r="BK163" vm="4898">
        <f ca="1"/>
        <v>113.75</v>
      </c>
      <c r="BL163" vm="4899">
        <f ca="1"/>
        <v>113.95</v>
      </c>
      <c r="BM163" vm="4900">
        <f ca="1"/>
        <v>116.2</v>
      </c>
      <c r="BN163" vm="4901">
        <f ca="1"/>
        <v>113.55</v>
      </c>
      <c r="BO163" vm="4902">
        <f ca="1"/>
        <v>115.6</v>
      </c>
      <c r="BP163" vm="4903">
        <f ca="1"/>
        <v>118.75</v>
      </c>
      <c r="BQ163" vm="4904">
        <f ca="1"/>
        <v>120.2</v>
      </c>
      <c r="BR163" vm="4905">
        <f ca="1"/>
        <v>117.85</v>
      </c>
      <c r="BS163" vm="4906">
        <f ca="1"/>
        <v>118.4</v>
      </c>
      <c r="BT163" vm="4907">
        <f ca="1"/>
        <v>118.6</v>
      </c>
      <c r="BU163" vm="4908">
        <f ca="1"/>
        <v>119.45</v>
      </c>
      <c r="BV163" vm="4909">
        <f ca="1"/>
        <v>118.85</v>
      </c>
      <c r="BW163" vm="4910">
        <f ca="1"/>
        <v>119.35</v>
      </c>
      <c r="BX163" vm="4911">
        <f ca="1"/>
        <v>118.35</v>
      </c>
      <c r="BY163" vm="4912">
        <f ca="1"/>
        <v>118.25</v>
      </c>
      <c r="BZ163" vm="4913">
        <f ca="1"/>
        <v>118.55</v>
      </c>
      <c r="CA163" vm="4914">
        <f ca="1"/>
        <v>119.05</v>
      </c>
      <c r="CB163" vm="4915">
        <f ca="1"/>
        <v>119.15</v>
      </c>
      <c r="CC163" vm="4915">
        <f ca="1"/>
        <v>119.15</v>
      </c>
      <c r="CD163" vm="4916">
        <f ca="1"/>
        <v>121.3</v>
      </c>
      <c r="CE163" vm="4917">
        <f ca="1"/>
        <v>123.1</v>
      </c>
      <c r="CF163" vm="4918">
        <f ca="1"/>
        <v>124.4</v>
      </c>
      <c r="CG163" vm="4919">
        <f ca="1"/>
        <v>122.6</v>
      </c>
      <c r="CH163" vm="4920">
        <f ca="1"/>
        <v>121.05</v>
      </c>
      <c r="CI163" vm="4921">
        <f ca="1"/>
        <v>120.9</v>
      </c>
      <c r="CJ163" vm="4904">
        <f ca="1"/>
        <v>120.2</v>
      </c>
      <c r="CK163" vm="4922">
        <f ca="1"/>
        <v>122.4</v>
      </c>
      <c r="CL163" vm="4923">
        <f ca="1"/>
        <v>121.75</v>
      </c>
      <c r="CM163" vm="4924">
        <f ca="1"/>
        <v>123.5</v>
      </c>
      <c r="CN163" vm="4925">
        <f ca="1"/>
        <v>129.25</v>
      </c>
      <c r="CO163" vm="4926">
        <f ca="1"/>
        <v>128.05000000000001</v>
      </c>
      <c r="CP163" vm="4927">
        <f ca="1"/>
        <v>127.2</v>
      </c>
      <c r="CQ163" vm="4928">
        <f ca="1"/>
        <v>128.1</v>
      </c>
      <c r="CR163" vm="4929">
        <f ca="1"/>
        <v>129.1</v>
      </c>
      <c r="CS163" vm="4930">
        <f ca="1"/>
        <v>129.55000000000001</v>
      </c>
      <c r="CT163" vm="4931">
        <f ca="1"/>
        <v>124.55</v>
      </c>
      <c r="CU163" vm="4918">
        <f ca="1"/>
        <v>124.4</v>
      </c>
      <c r="CV163" vm="4932">
        <f ca="1"/>
        <v>125.55</v>
      </c>
      <c r="CW163" vm="4933">
        <f ca="1"/>
        <v>126.45</v>
      </c>
      <c r="CX163" vm="4934">
        <f ca="1"/>
        <v>125.85</v>
      </c>
      <c r="CY163" vm="4935">
        <f ca="1"/>
        <v>127.35</v>
      </c>
      <c r="CZ163" vm="4936">
        <f ca="1"/>
        <v>126.8</v>
      </c>
      <c r="DA163" vm="4937">
        <f ca="1"/>
        <v>125.7</v>
      </c>
      <c r="DB163" vm="4938">
        <f ca="1"/>
        <v>127.15</v>
      </c>
      <c r="DC163" vm="4939">
        <f ca="1"/>
        <v>128.44999999999999</v>
      </c>
      <c r="DD163" vm="4940">
        <f ca="1"/>
        <v>130.69999999999999</v>
      </c>
      <c r="DE163" vm="4938">
        <f ca="1"/>
        <v>127.15</v>
      </c>
      <c r="DF163" vm="4941">
        <f ca="1"/>
        <v>128.85</v>
      </c>
      <c r="DG163" vm="4942">
        <f ca="1"/>
        <v>127.9</v>
      </c>
      <c r="DH163" vm="4943">
        <f ca="1"/>
        <v>124.05</v>
      </c>
      <c r="DI163" vm="4944">
        <f ca="1"/>
        <v>123.7</v>
      </c>
      <c r="DJ163" vm="4918">
        <f ca="1"/>
        <v>124.4</v>
      </c>
      <c r="DK163" vm="4945">
        <f ca="1"/>
        <v>122.75</v>
      </c>
      <c r="DL163" vm="4946">
        <f ca="1"/>
        <v>123.8</v>
      </c>
      <c r="DM163" vm="4947">
        <f ca="1"/>
        <v>125.95</v>
      </c>
      <c r="DN163" vm="4948">
        <f ca="1"/>
        <v>124.85</v>
      </c>
      <c r="DO163" vm="4949">
        <f ca="1"/>
        <v>125.35</v>
      </c>
      <c r="DP163" vm="4950">
        <f ca="1"/>
        <v>125.5</v>
      </c>
      <c r="DQ163" vm="4951">
        <f ca="1"/>
        <v>126.65</v>
      </c>
      <c r="DR163" vm="4952">
        <f ca="1"/>
        <v>126.2</v>
      </c>
      <c r="DS163" vm="4947">
        <f ca="1"/>
        <v>125.95</v>
      </c>
      <c r="DT163" vm="4918">
        <f ca="1"/>
        <v>124.4</v>
      </c>
      <c r="DU163" vm="4953">
        <f ca="1"/>
        <v>119.5</v>
      </c>
      <c r="DV163" vm="4954">
        <f ca="1"/>
        <v>120.1</v>
      </c>
      <c r="DW163" vm="4955">
        <f ca="1"/>
        <v>118.15</v>
      </c>
      <c r="DX163" vm="4956">
        <f ca="1"/>
        <v>120.8</v>
      </c>
      <c r="DY163" vm="4957">
        <f ca="1"/>
        <v>115</v>
      </c>
      <c r="DZ163" vm="4958">
        <f ca="1"/>
        <v>114.5</v>
      </c>
      <c r="EA163" vm="4959">
        <f ca="1"/>
        <v>112.9</v>
      </c>
      <c r="EB163" vm="4960">
        <f ca="1"/>
        <v>113.2</v>
      </c>
      <c r="EC163" vm="4899">
        <f ca="1"/>
        <v>113.95</v>
      </c>
      <c r="ED163" vm="4961">
        <f ca="1"/>
        <v>115.4</v>
      </c>
      <c r="EE163" vm="4902">
        <f ca="1"/>
        <v>115.6</v>
      </c>
      <c r="EF163" vm="4962">
        <f ca="1"/>
        <v>115.7</v>
      </c>
      <c r="EG163" vm="4963">
        <f ca="1"/>
        <v>116.15</v>
      </c>
      <c r="EH163" vm="4964">
        <f ca="1"/>
        <v>117.05</v>
      </c>
      <c r="EI163" vm="4907">
        <f ca="1"/>
        <v>118.6</v>
      </c>
      <c r="EJ163" vm="4965">
        <f ca="1"/>
        <v>118.9</v>
      </c>
      <c r="EK163" vm="4966">
        <f ca="1"/>
        <v>120.45</v>
      </c>
      <c r="EL163" vm="4967">
        <f ca="1"/>
        <v>122.05</v>
      </c>
      <c r="EM163" vm="4968">
        <f ca="1"/>
        <v>118</v>
      </c>
      <c r="EN163" vm="4969">
        <f ca="1"/>
        <v>117.5</v>
      </c>
      <c r="EO163" vm="4970">
        <f ca="1"/>
        <v>118.2</v>
      </c>
      <c r="EP163" vm="4963">
        <f ca="1"/>
        <v>116.15</v>
      </c>
      <c r="EQ163" vm="4971">
        <f ca="1"/>
        <v>116.95</v>
      </c>
      <c r="ER163" vm="4972">
        <f ca="1"/>
        <v>116.35</v>
      </c>
      <c r="ES163" vm="4973">
        <f ca="1"/>
        <v>117.55</v>
      </c>
      <c r="ET163" vm="4905">
        <f ca="1"/>
        <v>117.85</v>
      </c>
      <c r="EU163" vm="4974">
        <f ca="1"/>
        <v>118.45</v>
      </c>
      <c r="EV163" vm="4975">
        <f ca="1"/>
        <v>119</v>
      </c>
      <c r="EW163" vm="4976">
        <f ca="1"/>
        <v>121.1</v>
      </c>
      <c r="EX163" vm="4977">
        <f ca="1"/>
        <v>123.6</v>
      </c>
      <c r="EY163" vm="4978">
        <f ca="1"/>
        <v>124.45</v>
      </c>
      <c r="EZ163" vm="4979">
        <f ca="1"/>
        <v>122.25</v>
      </c>
      <c r="FA163" vm="4648">
        <f ca="1"/>
        <v>122.3</v>
      </c>
      <c r="FB163" vm="4980">
        <f ca="1"/>
        <v>121.2</v>
      </c>
      <c r="FC163" vm="4981">
        <f ca="1"/>
        <v>120.75</v>
      </c>
      <c r="FD163" vm="4648">
        <f ca="1"/>
        <v>122.3</v>
      </c>
      <c r="FE163" vm="4982">
        <f ca="1"/>
        <v>123.2</v>
      </c>
      <c r="FF163" vm="4983">
        <f ca="1"/>
        <v>126.95</v>
      </c>
      <c r="FG163" vm="4984">
        <f ca="1"/>
        <v>125.6</v>
      </c>
      <c r="FH163" vm="4951">
        <f ca="1"/>
        <v>126.65</v>
      </c>
      <c r="FI163" vm="4985">
        <f ca="1"/>
        <v>122</v>
      </c>
      <c r="FJ163" vm="4986">
        <f ca="1"/>
        <v>123.65</v>
      </c>
      <c r="FK163" vm="4987">
        <f ca="1"/>
        <v>124.2</v>
      </c>
      <c r="FL163" vm="4988">
        <f ca="1"/>
        <v>124.35</v>
      </c>
      <c r="FM163" vm="4989">
        <f ca="1"/>
        <v>125</v>
      </c>
      <c r="FN163" vm="4989">
        <f ca="1"/>
        <v>125</v>
      </c>
      <c r="FO163" vm="4951">
        <f ca="1"/>
        <v>126.65</v>
      </c>
      <c r="FP163" vm="4950">
        <f ca="1"/>
        <v>125.5</v>
      </c>
      <c r="FQ163" vm="4990">
        <f ca="1"/>
        <v>123.45</v>
      </c>
      <c r="FR163" vm="4991">
        <f ca="1"/>
        <v>123.9</v>
      </c>
      <c r="FS163" vm="4934">
        <f ca="1"/>
        <v>125.85</v>
      </c>
      <c r="FT163" vm="4992">
        <f ca="1"/>
        <v>124.95</v>
      </c>
      <c r="FU163" vm="4924">
        <f ca="1"/>
        <v>123.5</v>
      </c>
      <c r="FV163" vm="4993">
        <f ca="1"/>
        <v>122.7</v>
      </c>
      <c r="FW163" vm="4994">
        <f ca="1"/>
        <v>121</v>
      </c>
      <c r="FX163" vm="4995">
        <f ca="1"/>
        <v>124.8</v>
      </c>
      <c r="FY163" vm="4948">
        <f ca="1"/>
        <v>124.85</v>
      </c>
      <c r="FZ163" vm="4996">
        <f ca="1"/>
        <v>125.2</v>
      </c>
      <c r="GA163" vm="4997">
        <f ca="1"/>
        <v>127.5</v>
      </c>
      <c r="GB163" vm="4946">
        <f ca="1"/>
        <v>123.8</v>
      </c>
      <c r="GC163" vm="4998">
        <f ca="1"/>
        <v>123.85</v>
      </c>
      <c r="GD163" vm="4648">
        <f ca="1"/>
        <v>122.3</v>
      </c>
      <c r="GE163" vm="4931">
        <f ca="1"/>
        <v>124.55</v>
      </c>
      <c r="GF163" vm="4999">
        <f ca="1"/>
        <v>115.75</v>
      </c>
      <c r="GG163" vm="5000">
        <f ca="1"/>
        <v>115.3</v>
      </c>
      <c r="GH163" vm="5001">
        <f ca="1"/>
        <v>116</v>
      </c>
      <c r="GI163" vm="4955">
        <f ca="1"/>
        <v>118.15</v>
      </c>
      <c r="GJ163" vm="4964">
        <f ca="1"/>
        <v>117.05</v>
      </c>
      <c r="GK163" vm="4908">
        <f ca="1"/>
        <v>119.45</v>
      </c>
      <c r="GL163" vm="4907">
        <f ca="1"/>
        <v>118.6</v>
      </c>
      <c r="GM163" vm="5002">
        <f ca="1"/>
        <v>117.75</v>
      </c>
      <c r="GN163" vm="4907">
        <f ca="1"/>
        <v>118.6</v>
      </c>
      <c r="GO163" vm="4955">
        <f ca="1"/>
        <v>118.15</v>
      </c>
      <c r="GP163" vm="4907">
        <f ca="1"/>
        <v>118.6</v>
      </c>
      <c r="GQ163" vm="5003">
        <f ca="1"/>
        <v>115.85</v>
      </c>
      <c r="GR163" vm="5004">
        <f ca="1"/>
        <v>116.6</v>
      </c>
      <c r="GS163" vm="4960">
        <f ca="1"/>
        <v>113.2</v>
      </c>
      <c r="GT163" vm="5005">
        <f ca="1"/>
        <v>115.2</v>
      </c>
      <c r="GU163" vm="5006">
        <f ca="1"/>
        <v>114.95</v>
      </c>
      <c r="GV163" vm="5007">
        <f ca="1"/>
        <v>116.05</v>
      </c>
      <c r="GW163" vm="4906">
        <f ca="1"/>
        <v>118.4</v>
      </c>
      <c r="GX163" vm="5008">
        <f ca="1"/>
        <v>117.1</v>
      </c>
      <c r="GY163" vm="5004">
        <f ca="1"/>
        <v>116.6</v>
      </c>
      <c r="GZ163" vm="5009">
        <f ca="1"/>
        <v>115.9</v>
      </c>
      <c r="HA163" vm="5010">
        <f ca="1"/>
        <v>116.65</v>
      </c>
      <c r="HB163" vm="5011">
        <f ca="1"/>
        <v>118.8</v>
      </c>
      <c r="HC163" vm="4910">
        <f ca="1"/>
        <v>119.35</v>
      </c>
      <c r="HD163" vm="5012">
        <f ca="1"/>
        <v>118.7</v>
      </c>
      <c r="HE163" vm="5013">
        <f ca="1"/>
        <v>115.45</v>
      </c>
      <c r="HF163" vm="5014">
        <f ca="1"/>
        <v>116.45</v>
      </c>
      <c r="HG163" vm="4973">
        <f ca="1"/>
        <v>117.55</v>
      </c>
      <c r="HH163" vm="5015">
        <f ca="1"/>
        <v>118.1</v>
      </c>
      <c r="HI163" vm="5016">
        <f ca="1"/>
        <v>117.6</v>
      </c>
      <c r="HJ163" vm="4973">
        <f ca="1"/>
        <v>117.55</v>
      </c>
      <c r="HK163" vm="5009">
        <f ca="1"/>
        <v>115.9</v>
      </c>
      <c r="HL163" vm="4961">
        <f ca="1"/>
        <v>115.4</v>
      </c>
      <c r="HM163" vm="5017">
        <f ca="1"/>
        <v>114.2</v>
      </c>
      <c r="HN163" vm="5018">
        <f ca="1"/>
        <v>113.05</v>
      </c>
      <c r="HO163" vm="5019">
        <f ca="1"/>
        <v>108.9</v>
      </c>
      <c r="HP163" vm="5020">
        <f ca="1"/>
        <v>110.6</v>
      </c>
      <c r="HQ163" vm="5021">
        <f ca="1"/>
        <v>110.75</v>
      </c>
      <c r="HR163" vm="5022">
        <f ca="1"/>
        <v>109.4</v>
      </c>
      <c r="HS163" vm="5023">
        <f ca="1"/>
        <v>108.45</v>
      </c>
      <c r="HT163" vm="5024">
        <f ca="1"/>
        <v>107.8</v>
      </c>
      <c r="HU163" vm="5025">
        <f ca="1"/>
        <v>109.6</v>
      </c>
      <c r="HV163" vm="5026">
        <f ca="1"/>
        <v>110.4</v>
      </c>
      <c r="HW163" vm="5027">
        <f ca="1"/>
        <v>110.15</v>
      </c>
      <c r="HX163" vm="5028">
        <f ca="1"/>
        <v>111.25</v>
      </c>
      <c r="HY163" vm="5029">
        <f ca="1"/>
        <v>110.7</v>
      </c>
      <c r="HZ163" vm="4960">
        <f ca="1"/>
        <v>113.2</v>
      </c>
      <c r="IA163" vm="5005">
        <f ca="1"/>
        <v>115.2</v>
      </c>
      <c r="IB163" vm="5030">
        <f ca="1"/>
        <v>114.9</v>
      </c>
      <c r="IC163" vm="5001">
        <f ca="1"/>
        <v>116</v>
      </c>
      <c r="ID163" vm="4969">
        <f ca="1"/>
        <v>117.5</v>
      </c>
      <c r="IE163" vm="5031">
        <f ca="1"/>
        <v>121.45</v>
      </c>
      <c r="IF163" vm="5032">
        <f ca="1"/>
        <v>120.7</v>
      </c>
      <c r="IG163" vm="4931">
        <f ca="1"/>
        <v>124.55</v>
      </c>
      <c r="IH163" vm="5033">
        <f ca="1"/>
        <v>123.55</v>
      </c>
      <c r="II163" vm="5034">
        <f ca="1"/>
        <v>121.95</v>
      </c>
      <c r="IJ163" vm="5035">
        <f ca="1"/>
        <v>122.35</v>
      </c>
      <c r="IK163" vm="5034">
        <f ca="1"/>
        <v>121.95</v>
      </c>
      <c r="IL163" vm="5036">
        <f ca="1"/>
        <v>122.85</v>
      </c>
      <c r="IM163" vm="4998">
        <f ca="1"/>
        <v>123.85</v>
      </c>
      <c r="IN163" vm="4992">
        <f ca="1"/>
        <v>124.95</v>
      </c>
      <c r="IO163" vm="4987">
        <f ca="1"/>
        <v>124.2</v>
      </c>
      <c r="IP163" vm="4988">
        <f ca="1"/>
        <v>124.35</v>
      </c>
      <c r="IQ163" vm="5037">
        <f ca="1"/>
        <v>127.25</v>
      </c>
      <c r="IR163" vm="5038">
        <f ca="1"/>
        <v>121.65</v>
      </c>
    </row>
    <row r="165" spans="5:252" x14ac:dyDescent="0.35">
      <c r="E165" t="str" cm="1">
        <f t="array" aca="1" ref="E165:J184" ca="1">_xlfn.STOCKHISTORY('Portfolio Tracker '!C118,TODAY()-30,TODAY(),0,1,0,5,2,3,4,1)</f>
        <v>Date</v>
      </c>
      <c r="F165" t="str">
        <f ca="1"/>
        <v>Volume</v>
      </c>
      <c r="G165" t="str">
        <f ca="1"/>
        <v>Open</v>
      </c>
      <c r="H165" t="str">
        <f ca="1"/>
        <v>High</v>
      </c>
      <c r="I165" t="str">
        <f ca="1"/>
        <v>Low</v>
      </c>
      <c r="J165" t="str">
        <f ca="1"/>
        <v>Close</v>
      </c>
    </row>
    <row r="166" spans="5:252" x14ac:dyDescent="0.35">
      <c r="E166" vm="186">
        <f ca="1"/>
        <v>45383</v>
      </c>
      <c r="F166" vm="11043">
        <f ca="1"/>
        <v>7682597</v>
      </c>
      <c r="G166" vm="11044">
        <f ca="1"/>
        <v>111.9</v>
      </c>
      <c r="H166" vm="11045">
        <f ca="1"/>
        <v>113.45</v>
      </c>
      <c r="I166" vm="10058">
        <f ca="1"/>
        <v>111.55</v>
      </c>
      <c r="J166" vm="4960">
        <f ca="1"/>
        <v>113.2</v>
      </c>
    </row>
    <row r="167" spans="5:252" x14ac:dyDescent="0.35">
      <c r="E167" vm="189">
        <f ca="1"/>
        <v>45384</v>
      </c>
      <c r="F167" vm="11046">
        <f ca="1"/>
        <v>5620387</v>
      </c>
      <c r="G167" vm="11047">
        <f ca="1"/>
        <v>113.3</v>
      </c>
      <c r="H167" vm="11048">
        <f ca="1"/>
        <v>115.65</v>
      </c>
      <c r="I167" vm="10062">
        <f ca="1"/>
        <v>112.65</v>
      </c>
      <c r="J167" vm="5005">
        <f ca="1"/>
        <v>115.2</v>
      </c>
    </row>
    <row r="168" spans="5:252" x14ac:dyDescent="0.35">
      <c r="E168" vm="192">
        <f ca="1"/>
        <v>45385</v>
      </c>
      <c r="F168" vm="11049">
        <f ca="1"/>
        <v>2923769</v>
      </c>
      <c r="G168" vm="5005">
        <f ca="1"/>
        <v>115.2</v>
      </c>
      <c r="H168" vm="5005">
        <f ca="1"/>
        <v>115.2</v>
      </c>
      <c r="I168" vm="11050">
        <f ca="1"/>
        <v>114</v>
      </c>
      <c r="J168" vm="5030">
        <f ca="1"/>
        <v>114.9</v>
      </c>
    </row>
    <row r="169" spans="5:252" x14ac:dyDescent="0.35">
      <c r="E169" vm="195">
        <f ca="1"/>
        <v>45386</v>
      </c>
      <c r="F169" vm="11051">
        <f ca="1"/>
        <v>4017310</v>
      </c>
      <c r="G169" vm="5014">
        <f ca="1"/>
        <v>116.45</v>
      </c>
      <c r="H169" vm="5014">
        <f ca="1"/>
        <v>116.45</v>
      </c>
      <c r="I169" vm="4890">
        <f ca="1"/>
        <v>114.8</v>
      </c>
      <c r="J169" vm="5001">
        <f ca="1"/>
        <v>116</v>
      </c>
    </row>
    <row r="170" spans="5:252" x14ac:dyDescent="0.35">
      <c r="E170" vm="198">
        <f ca="1"/>
        <v>45387</v>
      </c>
      <c r="F170" vm="11052">
        <f ca="1"/>
        <v>3509083</v>
      </c>
      <c r="G170" vm="5001">
        <f ca="1"/>
        <v>116</v>
      </c>
      <c r="H170" vm="4905">
        <f ca="1"/>
        <v>117.85</v>
      </c>
      <c r="I170" vm="4957">
        <f ca="1"/>
        <v>115</v>
      </c>
      <c r="J170" vm="4969">
        <f ca="1"/>
        <v>117.5</v>
      </c>
    </row>
    <row r="171" spans="5:252" x14ac:dyDescent="0.35">
      <c r="E171" vm="201">
        <f ca="1"/>
        <v>45390</v>
      </c>
      <c r="F171" vm="11053">
        <f ca="1"/>
        <v>11248342</v>
      </c>
      <c r="G171" vm="4975">
        <f ca="1"/>
        <v>119</v>
      </c>
      <c r="H171" vm="5034">
        <f ca="1"/>
        <v>121.95</v>
      </c>
      <c r="I171" vm="11054">
        <f ca="1"/>
        <v>118.65</v>
      </c>
      <c r="J171" vm="5031">
        <f ca="1"/>
        <v>121.45</v>
      </c>
    </row>
    <row r="172" spans="5:252" x14ac:dyDescent="0.35">
      <c r="E172" vm="204">
        <f ca="1"/>
        <v>45391</v>
      </c>
      <c r="F172" vm="11055">
        <f ca="1"/>
        <v>4225726</v>
      </c>
      <c r="G172" vm="11056">
        <f ca="1"/>
        <v>121.6</v>
      </c>
      <c r="H172" vm="7639">
        <f ca="1"/>
        <v>121.85</v>
      </c>
      <c r="I172" vm="11057">
        <f ca="1"/>
        <v>119.85</v>
      </c>
      <c r="J172" vm="5032">
        <f ca="1"/>
        <v>120.7</v>
      </c>
    </row>
    <row r="173" spans="5:252" x14ac:dyDescent="0.35">
      <c r="E173" vm="207">
        <f ca="1"/>
        <v>45392</v>
      </c>
      <c r="F173" vm="11058">
        <f ca="1"/>
        <v>10167428</v>
      </c>
      <c r="G173" vm="4976">
        <f ca="1"/>
        <v>121.1</v>
      </c>
      <c r="H173" vm="11059">
        <f ca="1"/>
        <v>124.9</v>
      </c>
      <c r="I173" vm="10070">
        <f ca="1"/>
        <v>120.6</v>
      </c>
      <c r="J173" vm="4931">
        <f ca="1"/>
        <v>124.55</v>
      </c>
    </row>
    <row r="174" spans="5:252" x14ac:dyDescent="0.35">
      <c r="E174" vm="210">
        <f ca="1"/>
        <v>45394</v>
      </c>
      <c r="F174" vm="11060">
        <f ca="1"/>
        <v>5909245</v>
      </c>
      <c r="G174" vm="11061">
        <f ca="1"/>
        <v>124.5</v>
      </c>
      <c r="H174" vm="4950">
        <f ca="1"/>
        <v>125.5</v>
      </c>
      <c r="I174" vm="11062">
        <f ca="1"/>
        <v>123.3</v>
      </c>
      <c r="J174" vm="5033">
        <f ca="1"/>
        <v>123.55</v>
      </c>
    </row>
    <row r="175" spans="5:252" x14ac:dyDescent="0.35">
      <c r="E175" vm="213">
        <f ca="1"/>
        <v>45397</v>
      </c>
      <c r="F175" vm="11063">
        <f ca="1"/>
        <v>5154055</v>
      </c>
      <c r="G175" vm="4649">
        <f ca="1"/>
        <v>122.9</v>
      </c>
      <c r="H175" vm="7640">
        <f ca="1"/>
        <v>123.4</v>
      </c>
      <c r="I175" vm="7651">
        <f ca="1"/>
        <v>119.8</v>
      </c>
      <c r="J175" vm="5034">
        <f ca="1"/>
        <v>121.95</v>
      </c>
    </row>
    <row r="176" spans="5:252" x14ac:dyDescent="0.35">
      <c r="E176" vm="216">
        <f ca="1"/>
        <v>45398</v>
      </c>
      <c r="F176" vm="11064">
        <f ca="1"/>
        <v>3760380</v>
      </c>
      <c r="G176" vm="5031">
        <f ca="1"/>
        <v>121.45</v>
      </c>
      <c r="H176" vm="4924">
        <f ca="1"/>
        <v>123.5</v>
      </c>
      <c r="I176" vm="3503">
        <f ca="1"/>
        <v>120.95</v>
      </c>
      <c r="J176" vm="5035">
        <f ca="1"/>
        <v>122.35</v>
      </c>
    </row>
    <row r="177" spans="5:10" x14ac:dyDescent="0.35">
      <c r="E177" vm="219">
        <f ca="1"/>
        <v>45400</v>
      </c>
      <c r="F177" vm="11065">
        <f ca="1"/>
        <v>5246681</v>
      </c>
      <c r="G177" vm="5036">
        <f ca="1"/>
        <v>122.85</v>
      </c>
      <c r="H177" vm="4996">
        <f ca="1"/>
        <v>125.2</v>
      </c>
      <c r="I177" vm="11066">
        <f ca="1"/>
        <v>121.4</v>
      </c>
      <c r="J177" vm="5034">
        <f ca="1"/>
        <v>121.95</v>
      </c>
    </row>
    <row r="178" spans="5:10" x14ac:dyDescent="0.35">
      <c r="E178" vm="222">
        <f ca="1"/>
        <v>45401</v>
      </c>
      <c r="F178" vm="11067">
        <f ca="1"/>
        <v>5396738</v>
      </c>
      <c r="G178" vm="7641">
        <f ca="1"/>
        <v>121.35</v>
      </c>
      <c r="H178" vm="4977">
        <f ca="1"/>
        <v>123.6</v>
      </c>
      <c r="I178" vm="4908">
        <f ca="1"/>
        <v>119.45</v>
      </c>
      <c r="J178" vm="5036">
        <f ca="1"/>
        <v>122.85</v>
      </c>
    </row>
    <row r="179" spans="5:10" x14ac:dyDescent="0.35">
      <c r="E179" vm="225">
        <f ca="1"/>
        <v>45404</v>
      </c>
      <c r="F179" vm="11068">
        <f ca="1"/>
        <v>3861316</v>
      </c>
      <c r="G179" vm="4924">
        <f ca="1"/>
        <v>123.5</v>
      </c>
      <c r="H179" vm="11061">
        <f ca="1"/>
        <v>124.5</v>
      </c>
      <c r="I179" vm="11069">
        <f ca="1"/>
        <v>122.95</v>
      </c>
      <c r="J179" vm="4998">
        <f ca="1"/>
        <v>123.85</v>
      </c>
    </row>
    <row r="180" spans="5:10" x14ac:dyDescent="0.35">
      <c r="E180" vm="228">
        <f ca="1"/>
        <v>45405</v>
      </c>
      <c r="F180" vm="11070">
        <f ca="1"/>
        <v>4222729</v>
      </c>
      <c r="G180" vm="11071">
        <f ca="1"/>
        <v>124.75</v>
      </c>
      <c r="H180" vm="11072">
        <f ca="1"/>
        <v>125.45</v>
      </c>
      <c r="I180" vm="11073">
        <f ca="1"/>
        <v>124.1</v>
      </c>
      <c r="J180" vm="4992">
        <f ca="1"/>
        <v>124.95</v>
      </c>
    </row>
    <row r="181" spans="5:10" x14ac:dyDescent="0.35">
      <c r="E181" vm="231">
        <f ca="1"/>
        <v>45406</v>
      </c>
      <c r="F181" vm="11074">
        <f ca="1"/>
        <v>2622393</v>
      </c>
      <c r="G181" vm="4932">
        <f ca="1"/>
        <v>125.55</v>
      </c>
      <c r="H181" vm="4932">
        <f ca="1"/>
        <v>125.55</v>
      </c>
      <c r="I181" vm="4998">
        <f ca="1"/>
        <v>123.85</v>
      </c>
      <c r="J181" vm="4987">
        <f ca="1"/>
        <v>124.2</v>
      </c>
    </row>
    <row r="182" spans="5:10" x14ac:dyDescent="0.35">
      <c r="E182" vm="234">
        <f ca="1"/>
        <v>45407</v>
      </c>
      <c r="F182" vm="11075">
        <f ca="1"/>
        <v>3124993</v>
      </c>
      <c r="G182" vm="4991">
        <f ca="1"/>
        <v>123.9</v>
      </c>
      <c r="H182" vm="11071">
        <f ca="1"/>
        <v>124.75</v>
      </c>
      <c r="I182" vm="5033">
        <f ca="1"/>
        <v>123.55</v>
      </c>
      <c r="J182" vm="4988">
        <f ca="1"/>
        <v>124.35</v>
      </c>
    </row>
    <row r="183" spans="5:10" x14ac:dyDescent="0.35">
      <c r="E183" vm="237">
        <f ca="1"/>
        <v>45408</v>
      </c>
      <c r="F183" vm="11076">
        <f ca="1"/>
        <v>12870973</v>
      </c>
      <c r="G183" vm="11059">
        <f ca="1"/>
        <v>124.9</v>
      </c>
      <c r="H183" vm="7662">
        <f ca="1"/>
        <v>128.69999999999999</v>
      </c>
      <c r="I183" vm="4931">
        <f ca="1"/>
        <v>124.55</v>
      </c>
      <c r="J183" vm="5037">
        <f ca="1"/>
        <v>127.25</v>
      </c>
    </row>
    <row r="184" spans="5:10" x14ac:dyDescent="0.35">
      <c r="E184" vm="240">
        <f ca="1"/>
        <v>45411</v>
      </c>
      <c r="F184" vm="11077">
        <f ca="1"/>
        <v>17493125</v>
      </c>
      <c r="G184" vm="11078">
        <f ca="1"/>
        <v>123</v>
      </c>
      <c r="H184" vm="11078">
        <f ca="1"/>
        <v>123</v>
      </c>
      <c r="I184" vm="4975">
        <f ca="1"/>
        <v>119</v>
      </c>
      <c r="J184" vm="5038">
        <f ca="1"/>
        <v>121.65</v>
      </c>
    </row>
  </sheetData>
  <conditionalFormatting sqref="E76:E77">
    <cfRule type="expression" dxfId="5" priority="3">
      <formula>AND(MOD(ROW($M27),2)=1,$M27&lt;&gt;"")</formula>
    </cfRule>
  </conditionalFormatting>
  <conditionalFormatting sqref="E78:G78">
    <cfRule type="expression" dxfId="4" priority="1">
      <formula>AND(MOD(ROW($M29),2)=1,$M29&lt;&gt;"")</formula>
    </cfRule>
  </conditionalFormatting>
  <conditionalFormatting sqref="F76:G77">
    <cfRule type="expression" dxfId="3" priority="13">
      <formula>AND(MOD(ROW($G76),2)=1,$G76&lt;&gt;"")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393A29E-E68D-4E2B-B3EB-A8264A3676F0}">
  <ds:schemaRefs>
    <ds:schemaRef ds:uri="http://schemas.microsoft.com/DataMashup"/>
  </ds:schemaRefs>
</ds:datastoreItem>
</file>

<file path=customXml/itemProps2.xml><?xml version="1.0" encoding="utf-8"?>
<ds:datastoreItem xmlns:ds="http://schemas.openxmlformats.org/officeDocument/2006/customXml" ds:itemID="{B7BB33FC-ECD7-4B8D-BF2A-6F0CD41CC179}">
  <ds:schemaRefs/>
</ds:datastoreItem>
</file>

<file path=customXml/itemProps3.xml><?xml version="1.0" encoding="utf-8"?>
<ds:datastoreItem xmlns:ds="http://schemas.openxmlformats.org/officeDocument/2006/customXml" ds:itemID="{53AD1CE8-2086-4A99-B70A-0FCBC5CEE0DF}">
  <ds:schemaRefs/>
</ds:datastoreItem>
</file>

<file path=customXml/itemProps4.xml><?xml version="1.0" encoding="utf-8"?>
<ds:datastoreItem xmlns:ds="http://schemas.openxmlformats.org/officeDocument/2006/customXml" ds:itemID="{EA810757-B28A-4756-A8F4-EE3A5304A2B7}">
  <ds:schemaRefs/>
</ds:datastoreItem>
</file>

<file path=customXml/itemProps5.xml><?xml version="1.0" encoding="utf-8"?>
<ds:datastoreItem xmlns:ds="http://schemas.openxmlformats.org/officeDocument/2006/customXml" ds:itemID="{BCDFE615-D67F-4A5D-93AE-AB16F90AD7B4}">
  <ds:schemaRefs/>
</ds:datastoreItem>
</file>

<file path=customXml/itemProps6.xml><?xml version="1.0" encoding="utf-8"?>
<ds:datastoreItem xmlns:ds="http://schemas.openxmlformats.org/officeDocument/2006/customXml" ds:itemID="{706506B1-CDEF-44A3-A8E5-F1ADEDA2EDB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Portfolio Tracker </vt:lpstr>
      <vt:lpstr>Stock Market</vt:lpstr>
      <vt:lpstr>Mutual Fund</vt:lpstr>
      <vt:lpstr>Addition Module </vt:lpstr>
      <vt:lpstr>Analysis</vt:lpstr>
      <vt:lpstr>No_of_Shares</vt:lpstr>
      <vt:lpstr>'Addition Module '!Print_Area</vt:lpstr>
      <vt:lpstr>'Stock Market'!Print_Area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Samith C Sachidanandan</dc:creator>
  <cp:lastModifiedBy>Samith C Sachidanandan</cp:lastModifiedBy>
  <cp:lastPrinted>2024-04-29T15:14:57Z</cp:lastPrinted>
  <dcterms:created xsi:type="dcterms:W3CDTF">2023-08-29T14:12:38Z</dcterms:created>
  <dcterms:modified xsi:type="dcterms:W3CDTF">2024-04-29T15:38:50Z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2023-08-29T14:12:42Z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3262c666-6941-444b-bfa9-acdf6a3f613f</vt:lpwstr>
  </property>
  <property fmtid="{D5CDD505-2E9C-101B-9397-08002B2CF9AE}" pid="7" name="MSIP_Label_defa4170-0d19-0005-0004-bc88714345d2_ActionId">
    <vt:lpwstr>e4999be5-b360-4084-ad35-63d88dc1001f</vt:lpwstr>
  </property>
  <property fmtid="{D5CDD505-2E9C-101B-9397-08002B2CF9AE}" pid="8" name="MSIP_Label_defa4170-0d19-0005-0004-bc88714345d2_ContentBits">
    <vt:lpwstr>0</vt:lpwstr>
  </property>
</Properties>
</file>